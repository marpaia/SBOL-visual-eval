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d.docs.live.net/ac9cfa325501f776/SBOL/SBOL Visual Paper/"/>
    </mc:Choice>
  </mc:AlternateContent>
  <xr:revisionPtr revIDLastSave="658" documentId="13_ncr:1_{F393E8AB-B80A-BD4C-AB40-3B0030668744}" xr6:coauthVersionLast="47" xr6:coauthVersionMax="47" xr10:uidLastSave="{BAD60C09-E247-214D-82D8-E6B2BBD3D0D4}"/>
  <bookViews>
    <workbookView xWindow="120" yWindow="10980" windowWidth="11240" windowHeight="9960" firstSheet="12" activeTab="12" xr2:uid="{4DC01204-2B80-DA4D-8A57-CAAA26815E6B}"/>
  </bookViews>
  <sheets>
    <sheet name="Home" sheetId="10" r:id="rId1"/>
    <sheet name="2013" sheetId="17" r:id="rId2"/>
    <sheet name="2015" sheetId="1" r:id="rId3"/>
    <sheet name="2018" sheetId="4" r:id="rId4"/>
    <sheet name="2019" sheetId="6" r:id="rId5"/>
    <sheet name="2020" sheetId="7" r:id="rId6"/>
    <sheet name="2020 Ontology" sheetId="3" r:id="rId7"/>
    <sheet name="2021" sheetId="5" r:id="rId8"/>
    <sheet name="2021 3.0" sheetId="8" r:id="rId9"/>
    <sheet name="2013 Pigeon" sheetId="18" r:id="rId10"/>
    <sheet name="2016 VisBOL" sheetId="13" r:id="rId11"/>
    <sheet name="2017 DNAplotlib" sheetId="16" r:id="rId12"/>
    <sheet name="2017 SBOLDesigner 2" sheetId="15" r:id="rId13"/>
    <sheet name="2021 paraSBOL" sheetId="14" r:id="rId14"/>
    <sheet name="2021 SBOLCanvas" sheetId="11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C6" i="10"/>
  <c r="C7" i="10"/>
  <c r="C8" i="10"/>
  <c r="C9" i="10"/>
  <c r="C10" i="10"/>
  <c r="C11" i="10"/>
  <c r="C12" i="10"/>
  <c r="C13" i="10"/>
  <c r="C14" i="10"/>
  <c r="C15" i="10"/>
  <c r="C16" i="10"/>
  <c r="C4" i="10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E16" i="11"/>
  <c r="E17" i="11"/>
  <c r="E16" i="14"/>
  <c r="E17" i="14"/>
  <c r="E16" i="15"/>
  <c r="E17" i="15"/>
  <c r="E16" i="16"/>
  <c r="E17" i="16"/>
  <c r="E16" i="13"/>
  <c r="E17" i="13"/>
  <c r="E16" i="8"/>
  <c r="E17" i="8"/>
  <c r="E16" i="5"/>
  <c r="E17" i="5"/>
  <c r="E16" i="3"/>
  <c r="E17" i="3"/>
  <c r="E16" i="7"/>
  <c r="E17" i="7"/>
  <c r="E16" i="6"/>
  <c r="E17" i="6"/>
  <c r="E16" i="4"/>
  <c r="E17" i="4"/>
  <c r="E16" i="1"/>
  <c r="E17" i="1"/>
  <c r="E16" i="17"/>
  <c r="E17" i="17"/>
  <c r="E15" i="17"/>
  <c r="E14" i="17"/>
  <c r="E13" i="17"/>
  <c r="E12" i="17"/>
  <c r="E11" i="17"/>
  <c r="E10" i="17"/>
  <c r="E9" i="17"/>
  <c r="E8" i="17"/>
  <c r="E7" i="17"/>
  <c r="E6" i="17"/>
  <c r="E5" i="17"/>
  <c r="E15" i="16"/>
  <c r="E14" i="16"/>
  <c r="E13" i="16"/>
  <c r="E12" i="16"/>
  <c r="E11" i="16"/>
  <c r="E10" i="16"/>
  <c r="E9" i="16"/>
  <c r="E8" i="16"/>
  <c r="E7" i="16"/>
  <c r="E6" i="16"/>
  <c r="E5" i="16"/>
  <c r="E15" i="15"/>
  <c r="E14" i="15"/>
  <c r="E13" i="15"/>
  <c r="E12" i="15"/>
  <c r="E11" i="15"/>
  <c r="E10" i="15"/>
  <c r="E9" i="15"/>
  <c r="E8" i="15"/>
  <c r="E7" i="15"/>
  <c r="E6" i="15"/>
  <c r="E5" i="15"/>
  <c r="E15" i="13"/>
  <c r="E15" i="14"/>
  <c r="E14" i="14"/>
  <c r="E13" i="14"/>
  <c r="E12" i="14"/>
  <c r="E11" i="14"/>
  <c r="E10" i="14"/>
  <c r="E9" i="14"/>
  <c r="E8" i="14"/>
  <c r="E7" i="14"/>
  <c r="E6" i="14"/>
  <c r="E5" i="14"/>
  <c r="E14" i="13"/>
  <c r="E13" i="13"/>
  <c r="E12" i="13"/>
  <c r="E11" i="13"/>
  <c r="E10" i="13"/>
  <c r="E9" i="13"/>
  <c r="E8" i="13"/>
  <c r="E7" i="13"/>
  <c r="E6" i="13"/>
  <c r="E5" i="13"/>
  <c r="E15" i="11"/>
  <c r="E14" i="11"/>
  <c r="E13" i="11"/>
  <c r="E12" i="11"/>
  <c r="E11" i="11"/>
  <c r="E10" i="11"/>
  <c r="E9" i="11"/>
  <c r="E8" i="11"/>
  <c r="E7" i="11"/>
  <c r="E6" i="11"/>
  <c r="E5" i="11"/>
  <c r="E15" i="8"/>
  <c r="E14" i="8"/>
  <c r="E13" i="8"/>
  <c r="E12" i="8"/>
  <c r="E11" i="8"/>
  <c r="E10" i="8"/>
  <c r="E9" i="8"/>
  <c r="E8" i="8"/>
  <c r="E7" i="8"/>
  <c r="E6" i="8"/>
  <c r="E5" i="8"/>
  <c r="E15" i="7"/>
  <c r="E14" i="7"/>
  <c r="E13" i="7"/>
  <c r="E12" i="7"/>
  <c r="E11" i="7"/>
  <c r="E10" i="7"/>
  <c r="E9" i="7"/>
  <c r="E8" i="7"/>
  <c r="E7" i="7"/>
  <c r="E6" i="7"/>
  <c r="E5" i="7"/>
  <c r="E15" i="6"/>
  <c r="E14" i="6"/>
  <c r="E13" i="6"/>
  <c r="E12" i="6"/>
  <c r="E11" i="6"/>
  <c r="E10" i="6"/>
  <c r="E9" i="6"/>
  <c r="E8" i="6"/>
  <c r="E7" i="6"/>
  <c r="E6" i="6"/>
  <c r="E5" i="6"/>
  <c r="E15" i="5"/>
  <c r="E14" i="5"/>
  <c r="E13" i="5"/>
  <c r="E12" i="5"/>
  <c r="E11" i="5"/>
  <c r="E10" i="5"/>
  <c r="E9" i="5"/>
  <c r="E8" i="5"/>
  <c r="E7" i="5"/>
  <c r="E6" i="5"/>
  <c r="E5" i="5"/>
  <c r="E15" i="4"/>
  <c r="E14" i="4"/>
  <c r="E13" i="4"/>
  <c r="E12" i="4"/>
  <c r="E11" i="4"/>
  <c r="E10" i="4"/>
  <c r="E9" i="4"/>
  <c r="E8" i="4"/>
  <c r="E7" i="4"/>
  <c r="E6" i="4"/>
  <c r="E5" i="4"/>
  <c r="E15" i="3"/>
  <c r="E14" i="3"/>
  <c r="E13" i="3"/>
  <c r="E12" i="3"/>
  <c r="E11" i="3"/>
  <c r="E10" i="3"/>
  <c r="E9" i="3"/>
  <c r="E8" i="3"/>
  <c r="E7" i="3"/>
  <c r="E6" i="3"/>
  <c r="E5" i="3"/>
  <c r="E6" i="1"/>
  <c r="E7" i="1"/>
  <c r="E8" i="1"/>
  <c r="E9" i="1"/>
  <c r="E10" i="1"/>
  <c r="E11" i="1"/>
  <c r="E12" i="1"/>
  <c r="E13" i="1"/>
  <c r="E14" i="1"/>
  <c r="E15" i="1"/>
  <c r="E5" i="1"/>
</calcChain>
</file>

<file path=xl/sharedStrings.xml><?xml version="1.0" encoding="utf-8"?>
<sst xmlns="http://schemas.openxmlformats.org/spreadsheetml/2006/main" count="444" uniqueCount="264">
  <si>
    <t>SBOL Visual Citations</t>
  </si>
  <si>
    <t>Title</t>
  </si>
  <si>
    <t>Year</t>
  </si>
  <si>
    <t>SBOL Visual: A Graphical Language for Genetic Designs</t>
  </si>
  <si>
    <t>Automated Visualization of Genetic Designs Using DNAplotlib.</t>
  </si>
  <si>
    <t>Genetic Constructor: An Online DNA Design Platform.</t>
  </si>
  <si>
    <t>DNAplotlib: Programmable Visualization of Genetic Designs and Associated Data.</t>
  </si>
  <si>
    <t>SBOLDesigner 2: An Intuitive Tool for Structural Genetic Design.</t>
  </si>
  <si>
    <t>Communicating Structure and Function in Synthetic Biology Diagrams.</t>
  </si>
  <si>
    <t>A Visual Language for Protein Design.</t>
  </si>
  <si>
    <t>DNA assembly standards: Setting the low-level programming code for plant biotechnology.</t>
  </si>
  <si>
    <t>Sharing Structure and Function in Biological Design with SBOL 2.0.</t>
  </si>
  <si>
    <t>The Synthetic Biology Open Language (SBOL) Version 3: Simplified Data Exchange for Bioengineering</t>
  </si>
  <si>
    <t>A standard-enabled workflow for synthetic biology.</t>
  </si>
  <si>
    <t>An experimentally verified mechanistic model for predicting quorum sensing-based switches</t>
  </si>
  <si>
    <t>Unravelling the regulatory network behind chitin degradation in Serratia marcescens.</t>
  </si>
  <si>
    <t>Characterization and orthogonality assessment of two quorum sensing systems for synthetic biology applications</t>
  </si>
  <si>
    <t>Energy Aware Technology Mapping of Genetic Logic Circuits</t>
  </si>
  <si>
    <t>Fundamentals and Exceptions of the LysR-type Transcriptional Regulators.</t>
  </si>
  <si>
    <t>Delaying production with prokaryotic inducible expression systems</t>
  </si>
  <si>
    <t>DSCI: a database of synthetic biology components for innate immunity and cell engineering decision-making processes</t>
  </si>
  <si>
    <t>Theory and design in the biotechnical age: A schematic understanding of Bio Design and Synthetic Biology practice</t>
  </si>
  <si>
    <t>Automated Platform for the Plasmid Construction Process</t>
  </si>
  <si>
    <t>A tuneable genetic switch for tight control of tac promoters in Escherichia coli boosts expression of synthetic injectisomes</t>
  </si>
  <si>
    <t>Optimization of CRISPR–Cas system for clinical cancer therapy</t>
  </si>
  <si>
    <t>Engineering genetic circuits: advancements in genetic design automation tools and standards for synthetic biology.</t>
  </si>
  <si>
    <t>Tyto: A Python Tool Enabling Better Annotation Practices for Synthetic Biology Data-Sharing.</t>
  </si>
  <si>
    <t>EMMA-CAD: Design Automation for Synthetic Mammalian Constructs.</t>
  </si>
  <si>
    <t>Synthetic biology tools: Engineering microbes for biotechnological applications</t>
  </si>
  <si>
    <t>Stochastic Hazard Analysis of Genetic Circuits in iBioSim and STAMINA.</t>
  </si>
  <si>
    <t>Data sharing policies: share well and you shall be rewarded</t>
  </si>
  <si>
    <t>BioParts-A Biological Parts Search Portal and Updates to the ICE Parts Registry Software Platform.</t>
  </si>
  <si>
    <t>Synthetic Biology in Plants, a Boon for Coming Decades</t>
  </si>
  <si>
    <t>Engineering and standardization of posttranscriptional biocircuitry in Saccharomyces cerevisiae.</t>
  </si>
  <si>
    <t>Comparative analysis of three studies measuring fluorescence from engineered bacterial genetic constructs</t>
  </si>
  <si>
    <t>SynBiopython: an open-source software library for Synthetic Biology</t>
  </si>
  <si>
    <t>Status and Challenges of Reproducibility in Computational Systems and Synthetic Biology</t>
  </si>
  <si>
    <t>Automated Execution of Simulation Studies in Systems Medicine Using SED-ML and COMBINE Archive</t>
  </si>
  <si>
    <t>Synthetic biology open language (SBOL) version 3.0.0</t>
  </si>
  <si>
    <t>The first 10 years of the international coordination network for standards in systems and synthetic biology (COMBINE)</t>
  </si>
  <si>
    <t>The long journey towards standards for engineering biosystems</t>
  </si>
  <si>
    <t>Beyond natural: synthetic expansions of botanical form and function</t>
  </si>
  <si>
    <t>Contemporary Tools for Regulating Gene Expression in Bacteria.</t>
  </si>
  <si>
    <t>SBOL Visual 2 Ontology</t>
  </si>
  <si>
    <t>An Integrated Computer-Aided Design and Manufacturing Workflow for Synthetic Biology.</t>
  </si>
  <si>
    <t>Combinatorial-Hierarchical DNA Library Design Using the TeselaGen DESIGN Module with j5.</t>
  </si>
  <si>
    <t>: The long journey towards standards for engineering biosystems SUBTITLE: Is the Molecular Biology and the Biotech community ready?</t>
  </si>
  <si>
    <t>Towards a fully automated algorithm driven platform for biosystems design</t>
  </si>
  <si>
    <t>Digitalizing heterologous gene expression in Gram‐negative bacteria with a portable ON/OFF module</t>
  </si>
  <si>
    <t>Industrializing a bacterial strain for L-serine production through translation initiation optimization.</t>
  </si>
  <si>
    <t>SBOLExplorer: Data Infrastructure and Data Mining for Genetic Design Repositories.</t>
  </si>
  <si>
    <t>A Computational Workflow for the Automated Generation of Models of Genetic Designs.</t>
  </si>
  <si>
    <t>Design of Asynchronous Genetic Circuits</t>
  </si>
  <si>
    <t>Lessons from Two Design-Build-Test-Learn Cycles of Dodecanol Production in Escherichia coli Aided by Machine Learning.</t>
  </si>
  <si>
    <t>SBOL-OWL: An Ontological Approach for Formal and Semantic Representation of Synthetic Biology Information.</t>
  </si>
  <si>
    <t>Riboswitch identification using Ligase-Assisted Selection for the Enrichment of Responsive Ribozymes (LigASERR)</t>
  </si>
  <si>
    <t>Opportunities and Challenges in Applying Artificial Intelligence to Bioengineering</t>
  </si>
  <si>
    <t>Efficient learning in metabolic pathway designs through optimal assembling</t>
  </si>
  <si>
    <t>Pathway Design</t>
  </si>
  <si>
    <t>Cellular checkpoint control using programmable sequential logic</t>
  </si>
  <si>
    <t>Quantification of bacterial fluorescence using independent calibrants</t>
  </si>
  <si>
    <t>SynBioHub: A Standards-Enabled Design Repository for Synthetic Biology.</t>
  </si>
  <si>
    <t>Metabolic Engineering and Molecular Tool Development in Yeast for Production of Bulk Chemicals</t>
  </si>
  <si>
    <t>Part by Part: Synthetic Biology Parts Used in Solventogenic Clostridia.</t>
  </si>
  <si>
    <t>Proceedings of the 2017 Winter Simulation Conference</t>
  </si>
  <si>
    <t>A brief history of COMBINE</t>
  </si>
  <si>
    <t>PartsGenie: an integrated tool for optimising and sharing synthetic biology parts</t>
  </si>
  <si>
    <t>Gas fermentation: cellular engineering possibilities and scale up</t>
  </si>
  <si>
    <t>Design Automation in Synthetic Biology.</t>
  </si>
  <si>
    <t>Synthetic Biology: Engineering Living Systems from Biophysical Principles.</t>
  </si>
  <si>
    <t>A Validator and Converter for the Synthetic Biology Open Language.</t>
  </si>
  <si>
    <t>GB3.0: a platform for plant bio-design that connects functional DNA elements with associated biological data</t>
  </si>
  <si>
    <t>A new agent-based platform for simulating multicellular biocircuits with conjugative plasmids</t>
  </si>
  <si>
    <t>RSMLab : a web-based tool for recombinase-based state machine design and visualization</t>
  </si>
  <si>
    <t>Agent-based modelling in synthetic biology</t>
  </si>
  <si>
    <t>A Cas9-based toolkit to program gene expression in Saccharomyces cerevisiae</t>
  </si>
  <si>
    <t>DESIGN OF GENETIC ELEMENTS AND SOFTWARE TOOLS FOR PLANT SYNTHETIC BIOLOGY</t>
  </si>
  <si>
    <t>SYNBIOCHEM Synthetic Biology Research Centre, Manchester – A UK foundry for fine and speciality chemicals production</t>
  </si>
  <si>
    <t>GeneMill: A 21st century platform for innovation</t>
  </si>
  <si>
    <t>The SBOL Stack: A Platform for Storing, Publishing, and Sharing Synthetic Biology Designs.</t>
  </si>
  <si>
    <t>Improving Synthetic Biology Communication: Recommended Practices for Visual Depiction and Digital Submission of Genetic Designs.</t>
  </si>
  <si>
    <t>Synthetic Biology: fostering the cyber-biological revolution</t>
  </si>
  <si>
    <t>Bioinformatics for the synthetic biology of natural products: integrating across the Design–Build–Test cycle</t>
  </si>
  <si>
    <t>Double Dutch: A Tool for Designing Combinatorial Libraries of Biological Systems.</t>
  </si>
  <si>
    <t>Genetic circuit design automation</t>
  </si>
  <si>
    <t>Foundations and Emerging Paradigms for Computing in Living Cells.</t>
  </si>
  <si>
    <t>A Converter from the Systems Biology Markup Language to the Synthetic Biology Open Language.</t>
  </si>
  <si>
    <t>Deriving stress-specific biomarkers for Bacillus subtilis from the integration of RNA-seq and tiling data</t>
  </si>
  <si>
    <t>Computational Synthetic Biology: Progress and the Road Ahead</t>
  </si>
  <si>
    <t>Citations</t>
  </si>
  <si>
    <t>paraSBOLv: a foundation for standard-compliant genetic design visualization tools</t>
  </si>
  <si>
    <t>Combinatorial metabolic pathway assembly approaches and toolkits for modular assembly.</t>
  </si>
  <si>
    <t>A systematic approach to inserting split inteins for Boolean logic gate engineering and basal activity reduction</t>
  </si>
  <si>
    <t>Towards collaborative and automated development of resources for data standards in synthetic biology</t>
  </si>
  <si>
    <t>Synthetic Biology Open Language Visual (SBOL Visual) Version 2.0</t>
  </si>
  <si>
    <t>Principles of synthetic biology</t>
  </si>
  <si>
    <t>In Silico Design and Analysis of Genetic Circuit-Based Whole-Cell Biosensors for Detecting Groundwater Contaminants</t>
  </si>
  <si>
    <t>Edition of complex gene families in tobacco with GoldenBraid 4.0, a multipurpose web-based platform for plant genome engineering</t>
  </si>
  <si>
    <t>Engineered Pseudomonas putida simultaneously catabolizes five major components of lignocellulosic biomass: Glucose, xylose, arabinose, coumaric acid, and acetic acid.</t>
  </si>
  <si>
    <t>Overview: Standards for Modeling in Systems Medicine</t>
  </si>
  <si>
    <t>DNA-BOT: a low-cost, automated DNA assembly platform for synthetic biology</t>
  </si>
  <si>
    <t>Tunable genetic devices through simultaneous control of transcription and translation</t>
  </si>
  <si>
    <t>Specifying Combinatorial Designs with the Synthetic Biology Open Language (SBOL).</t>
  </si>
  <si>
    <t>Specifications of Standards in Systems and Synthetic Biology: Status and Developments in 2019</t>
  </si>
  <si>
    <t>CRISPR/Cas12a Multiplex Genome Editing of Saccharomyces cerevisiae and the Creation of Yeast Pixel Art.</t>
  </si>
  <si>
    <t>Towards engineering the microalga Chlorella sorokiniana for the production of tailored high-value oils</t>
  </si>
  <si>
    <t>A systems engineering approach to model, tune and test synthetic gene circuits</t>
  </si>
  <si>
    <t>Gsmodutils: a python based framework for test-driven genome scale metabolic model development</t>
  </si>
  <si>
    <t>Synthetic genome defenses against selfish DNA elements stabilize engineered bacteria against evolutionary failure</t>
  </si>
  <si>
    <t>Engineering synthetic regulatory circuits in plants.</t>
  </si>
  <si>
    <t>Specifications of Standards in Systems and Synthetic Biology: Status and Developments in 2017</t>
  </si>
  <si>
    <t>Data model for biopart datasheets</t>
  </si>
  <si>
    <t>Grid-based temporal logic inference</t>
  </si>
  <si>
    <t>1 Stochastic Model Checking of Genetic Circuits</t>
  </si>
  <si>
    <t>Synthetic Biology Open Language Visual (SBOL Visual) Version 2.1</t>
  </si>
  <si>
    <t>Python for gene expression</t>
  </si>
  <si>
    <t>A Framework for Implementing Metaheuristic Algorithms Using Intercellular Communication</t>
  </si>
  <si>
    <t>Synthetic biology, engineering biology, market expectation</t>
  </si>
  <si>
    <t>Synthetic biology open language visual (SBOL visual) version 2.2</t>
  </si>
  <si>
    <t>Advances, challenges, and opportunities in DNA sequencing technology</t>
  </si>
  <si>
    <t>The GB4.0 Platform, an All-In-One Tool for CRISPR/Cas-Based Multiplex Genome Engineering in Plants</t>
  </si>
  <si>
    <t>Massively parallel characterization of engineered transcript isoforms using direct RNA sequencing</t>
  </si>
  <si>
    <t>Specifications of standards in systems and synthetic biology: status and developments in 2020</t>
  </si>
  <si>
    <t>Synthetic biology open language visual (SBOL Visual) version 2.3</t>
  </si>
  <si>
    <t>Specifications of standards in systems and synthetic biology: status, developments, and tools in 2024</t>
  </si>
  <si>
    <t>Specifications of standards in systems and synthetic biology: status and developments in 2022 and the COMBINE meeting 2022</t>
  </si>
  <si>
    <t>A Network Approach to Genetic Circuit Designs</t>
  </si>
  <si>
    <t>Specifications of standards in systems and synthetic biology: status and developments in 2021</t>
  </si>
  <si>
    <t>Virtual Parts Repository 2: Model-driven design of genetic regulatory circuits</t>
  </si>
  <si>
    <t>Synthetic biology open language visual (SBOL visual) version 3.0</t>
  </si>
  <si>
    <t>BioPAX in 2024: Where we are and where we are heading</t>
  </si>
  <si>
    <t>Translating weighted probabilistic bits to synthetic genetic circuits</t>
  </si>
  <si>
    <t>Data hazards in synthetic biology</t>
  </si>
  <si>
    <t>Engineering is evolution: a perspective on design processes to engineer biology.</t>
  </si>
  <si>
    <t>Simulations predict stronger CRISPRi transcriptional repression in plants for identical than heterogeneous gRNA target sites</t>
  </si>
  <si>
    <t>Automatic design of gene regulatory mechanisms for spatial pattern formation</t>
  </si>
  <si>
    <t>Genetic Parts and Enabling Tools for Biocircuit Design.</t>
  </si>
  <si>
    <t>Base editing enables duplex point mutagenesis in Clostridium autoethanogenum at the price of numerous off-target mutations</t>
  </si>
  <si>
    <t>SynBioSuite: A Tool for Improving the Workflow for Genetic Design and Modeling.</t>
  </si>
  <si>
    <t>Advancing reproducibility can ease the 'hard truths' of synthetic biology.</t>
  </si>
  <si>
    <t>Python for gene expression [version 1; peer review: 2 approved]</t>
  </si>
  <si>
    <t>SBOLCanvas: A Visual Editor for Genetic Designs.</t>
  </si>
  <si>
    <t>pyBrick-DNA: A Python-Based Environment for Automated Genetic Component Assembly</t>
  </si>
  <si>
    <t>Excel-SBOL Converter: Creating SBOL from Excel Templates and Vice Versa</t>
  </si>
  <si>
    <t>LOICA: Integrating Models with Data for Genetic Network Design Automation</t>
  </si>
  <si>
    <t>Synthetic Biology Knowledge System.</t>
  </si>
  <si>
    <t>Digitalized design of cell factory enables green biomanufacturing Digitalized design of cell factory enables green biomanufacturing</t>
  </si>
  <si>
    <t>VisBOL: Web-Based Tools for Synthetic Biology Design Visualization.</t>
  </si>
  <si>
    <t>Flapjack: a data management and analysis tool for genetic circuit characterization</t>
  </si>
  <si>
    <t>Teaching Experience</t>
  </si>
  <si>
    <t>ShortBOL: A language for scripting designs for engineered biological systems using SyntheticBiology Open Language (SBOL).</t>
  </si>
  <si>
    <t>Digital Circuit Design for Biological and Silicon Computers</t>
  </si>
  <si>
    <t>sboljs: Bringing the Synthetic Biology Open Language to the Web Browser.</t>
  </si>
  <si>
    <t>Evaluating the Contribution of Model Complexity in Predicting Robustness in Synthetic Genetic Circuits.</t>
  </si>
  <si>
    <t>GOLDBAR: A Framework for Combinatorial Biological Design.</t>
  </si>
  <si>
    <t>Technologies for design-build-test-learn automation and computational modelling across the synthetic biology workflow: a review</t>
  </si>
  <si>
    <t>SynBio2Easy—a biologist-friendly tool for batch operations on SBOL designs with Excel inputs</t>
  </si>
  <si>
    <t>Synthetic Biology Curation Tools (SYNBICT).</t>
  </si>
  <si>
    <t>Plant Biosystems Design Research Roadmap 1.0</t>
  </si>
  <si>
    <t>Genetic Circuit Dynamics: Hazard and Glitch Analysis.</t>
  </si>
  <si>
    <t>Data-driven rational biosynthesis design: from molecules to cell factories</t>
  </si>
  <si>
    <t>Enhanced production of taxadiene in Saccharomyces cerevisiae</t>
  </si>
  <si>
    <t>Opinion Plant Biosystem Design Research Roadmap 1.0</t>
  </si>
  <si>
    <t>Fundamentals of Molecular Biology and Genetic Circuits</t>
  </si>
  <si>
    <t>Phase space characterization for gene circuit design</t>
  </si>
  <si>
    <t>Plant Synthetic Biology: Quantifying the “Known Unknowns” and Discovering the “Unknown Unknowns”1[OPEN]</t>
  </si>
  <si>
    <t>Better research by efficient sharing: evaluation of free management platforms for synthetic biology designs</t>
  </si>
  <si>
    <t>Scalable and Reproducible Modeling and Simulation for Heterogeneous Populations</t>
  </si>
  <si>
    <t>The Synthetic Biology Open Language Supports Integration of the Engineering Life-Cycle for Synthetic Biologists</t>
  </si>
  <si>
    <t>Opening options for material transfer</t>
  </si>
  <si>
    <t>Standardization in synthetic biology: an engineering discipline coming of age</t>
  </si>
  <si>
    <t>iBioSim 3: A Tool for Model-Based Genetic Circuit Design.</t>
  </si>
  <si>
    <t>Standard Enabled Model Generator for Genetic Circuit Design</t>
  </si>
  <si>
    <t>Methods and Tools for the Analysis, Verification and Synthesis of Genetic Logic Circuits,</t>
  </si>
  <si>
    <t>Edinburgh Research Explorer Better research by efficient sharing</t>
  </si>
  <si>
    <t>Living Material with Temperature‐Dependent Light Absorption</t>
  </si>
  <si>
    <t>Pan-genome survey of the fish pathogen Yersinia ruckeri links accessory- and amplified genes to virulence</t>
  </si>
  <si>
    <t>Cross-kingdom expression of synthetic genetic elements promotes discovery of metabolites in the human microbiome</t>
  </si>
  <si>
    <t>Genetic circuit design automation with Cello 2.0</t>
  </si>
  <si>
    <t>Evolution of genome fragility enables microbial division of labor</t>
  </si>
  <si>
    <t>Characterizing Genetic Parts and Devices Using RNA Sequencing.</t>
  </si>
  <si>
    <t>Engineering Sensors for Gene Expression Burden.</t>
  </si>
  <si>
    <t>Engineering Logical Inflammation Sensing and Secreting Circuit for Gut Modulation</t>
  </si>
  <si>
    <t>Diagnostic and Therapeutic Microbial Circuit with Application to Intestinal Inflammation</t>
  </si>
  <si>
    <t>Synthetic neural-like computing in microbial consortia for pattern recognition</t>
  </si>
  <si>
    <t>A role for Biofoundries in rapid development and validation of automated SARS-CoV-2 clinical diagnostics</t>
  </si>
  <si>
    <t>BioCRNpyler: Compiling chemical reaction networks from biomolecular parts in diverse contexts</t>
  </si>
  <si>
    <t>Harnessing the central dogma for stringent multi-level control of gene expression</t>
  </si>
  <si>
    <t>Cheetah: a computational toolkit for cybergenetic control</t>
  </si>
  <si>
    <t>Dynamical model fitting to a synthetic positive feedback circuit in E. coli</t>
  </si>
  <si>
    <t>Sparse estimation of mutual information landscapes quantifies information transmission through cellular biochemical reaction networks</t>
  </si>
  <si>
    <t>From genotypes to organisms: State-of-the-art and perspectives of a cornerstone in evolutionary dynamics.</t>
  </si>
  <si>
    <t>DNA Features Viewer, a sequence annotations formatting and plotting library for Python</t>
  </si>
  <si>
    <t>Simultaneous repression of multiple bacterial genes using nonrepetitive extra-long sgRNA arrays</t>
  </si>
  <si>
    <t>An Automated Biomodel Selection System (BMSS) for Gene Circuit Designs.</t>
  </si>
  <si>
    <t>Towards an Aspect-Oriented Design and Modelling Framework for Synthetic Biology</t>
  </si>
  <si>
    <t>Engineering DNA vaccines against infectious diseases</t>
  </si>
  <si>
    <t>Genetic circuit characterization and debugging using RNA‐seq</t>
  </si>
  <si>
    <t>Burden-driven feedback control of gene expression</t>
  </si>
  <si>
    <t>Internal workings of a genetic circuit</t>
  </si>
  <si>
    <t>Structure-guided design of protein attachment points for functional augmentation of complex molecular machines</t>
  </si>
  <si>
    <t>A Visual Comprehensive Evaluation of Cultural and Creative Industry Projects Based on Improved Literature Measurement Method</t>
  </si>
  <si>
    <t>SBOL Visual Papers</t>
  </si>
  <si>
    <t>SBOL Visual Tools</t>
  </si>
  <si>
    <t>Synthetic Biology Open Language Visual 
(SBOL Visual), version 1.0.0</t>
  </si>
  <si>
    <t>Developments in the tools and methodologies of synthetic biology</t>
  </si>
  <si>
    <t>A standard-enabled workflow for synthetic biology</t>
  </si>
  <si>
    <t>Sharing structure and function in biological design with SBOL 2.0</t>
  </si>
  <si>
    <t>Communicating structure and function in synthetic biology diagrams</t>
  </si>
  <si>
    <t>Pigeon: a design visualizer for synthetic biology</t>
  </si>
  <si>
    <t>Metabolomics, standards, and metabolic modeling for synthetic biology in plants</t>
  </si>
  <si>
    <t>Directed acyclic graph-based technology mapping of genetic circuit models</t>
  </si>
  <si>
    <t>Generating systems biology markup language models from the synthetic biology open language</t>
  </si>
  <si>
    <t>Improving synthetic biology communication: recommended practices for visual depiction and digital submission of genetic designs</t>
  </si>
  <si>
    <t>A methodology to annotate systems biology markup language models with the synthetic biology open language</t>
  </si>
  <si>
    <t>Proposed data model for the next version of the Synthetic Biology Open Language</t>
  </si>
  <si>
    <t>Stochastic model checking of genetic circuits</t>
  </si>
  <si>
    <t>A Forward-Design Approach to Increase the Production of Poly-3-Hydroxybutyrate in Genetically Engineered Escherichia coli</t>
  </si>
  <si>
    <t>Web-based software tool for constraint-based design specification of synthetic biological systems</t>
  </si>
  <si>
    <t>Tuning receiver characteristics in bacterial quorum communication: An evolutionary approach using standard virtual biological parts</t>
  </si>
  <si>
    <t>SBOL visual 2 ontology</t>
  </si>
  <si>
    <t>Platforms for genetic design automation</t>
  </si>
  <si>
    <t>SBOL: A community standard for communicating designs in synthetic biology</t>
  </si>
  <si>
    <t>A visual language for protein design</t>
  </si>
  <si>
    <t>The synthetic biology open language</t>
  </si>
  <si>
    <t>Introduction to the Special Issue on Computational Synthetic Biology</t>
  </si>
  <si>
    <t>Technology mapping of genetic circuit designs</t>
  </si>
  <si>
    <t>Synthetic biology open language visual: an ontological use case</t>
  </si>
  <si>
    <t>Recent Advances in the Synthetic Biology Open Language</t>
  </si>
  <si>
    <t>Synthetic Biology Open Language Visual: An Open-Source Graphical Notation for Synthetic Biology</t>
  </si>
  <si>
    <t>Pigeon: a design visualizer for synthetic biology.</t>
  </si>
  <si>
    <t>Antimicrobial solid media for screening non‐sterile Arabidopsis thaliana seeds</t>
  </si>
  <si>
    <t>Antimicrobial solid media for screening non-sterile Arabidopsis thaliana seeds</t>
  </si>
  <si>
    <t>Modeling transcriptional factor cross-talk to understand parabolic kinetics, bimodal gene expression and retroactivity in biosensor design</t>
  </si>
  <si>
    <t>Natural Bio-active Compounds: Volume 1: Production and Applications</t>
  </si>
  <si>
    <t>Production and Application of Novel Bio-active Compounds by Endophytic Microbes</t>
  </si>
  <si>
    <t>Automated Robotic Liquid Handling Assembly of Modular DNA Devices</t>
  </si>
  <si>
    <t>De novo assembly of genomes from long sequence reads reveals uncharted territories of Propionibacterium freudenreichii</t>
  </si>
  <si>
    <t>[Application of microelectronics CAD tools to synthetic biology].</t>
  </si>
  <si>
    <t>Determining virus-host interactions and glycerol metabolism profiles in geographically diverse solar salterns with metagenomics</t>
  </si>
  <si>
    <t>An end-to-end solution for automation of biological protocols</t>
  </si>
  <si>
    <t>Development of a Bacillus subtilis cell-free transcription-translation system for prototyping regulatory elements.</t>
  </si>
  <si>
    <t>GeNeDA: An Open-Source Workflow for Design Automation of Gene Regulatory Networks Inspired from Microelectronics</t>
  </si>
  <si>
    <t>CRISPR/Cas9 Based Genome Editing of Penicillium chrysogenum.</t>
  </si>
  <si>
    <t>A protease-based biosensor for the detection of schistosome cercariae</t>
  </si>
  <si>
    <t>Theory and Construction of Semi-Synthetic Minimal Cells</t>
  </si>
  <si>
    <t>Harnessing QbD, Programming Languages, and Automation for Reproducible Biology.</t>
  </si>
  <si>
    <t>Design Tools for Synthetic Biology</t>
  </si>
  <si>
    <t>CIDAR MoClo: Improved MoClo Assembly Standard and New E. coli Part Library Enable Rapid Combinatorial Design for Synthetic and Traditional Biology.</t>
  </si>
  <si>
    <t>Web-based software tool for constraint-based design specification of synthetic biological systems.</t>
  </si>
  <si>
    <t>Generating Systems Biology Markup Language Models from the Synthetic Biology Open Language.</t>
  </si>
  <si>
    <t>Proposed data model for the next version of the synthetic biology open language.</t>
  </si>
  <si>
    <t>The synthetic biology open language.</t>
  </si>
  <si>
    <t>Lawrence Berkeley National Laboratory Recent Work Title SBOL Visual : A Graphical Language for Genetic Designs Permalink</t>
  </si>
  <si>
    <t>Composable Modular Models for Synthetic Biology</t>
  </si>
  <si>
    <t>A Rule-Based Design Specification Language for Synthetic Biology</t>
  </si>
  <si>
    <t>Stochastic Model Checking of Genetic Circuits</t>
  </si>
  <si>
    <t>Owl: electronic datasheet generator.</t>
  </si>
  <si>
    <t>On Industrial Strength Bio-design Automation</t>
  </si>
  <si>
    <t>Interactive assembly algorithms for molecular cloning</t>
  </si>
  <si>
    <t>Principles of genetic circuit design</t>
  </si>
  <si>
    <t>A modelling framework for Synthetic Biology</t>
  </si>
  <si>
    <t>MoClo planner: Interactive visualization for Modular Cloning bio-design</t>
  </si>
  <si>
    <t>Platforms for Genetic Design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</si>
</sst>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Helvetica Neue"/>
      <family val="2"/>
      <scheme val="minor"/>
    </font>
    <font>
      <b/>
      <sz val="12"/>
      <color theme="1"/>
      <name val="Helvetica Neue"/>
      <family val="2"/>
      <scheme val="minor"/>
    </font>
    <font>
      <b/>
      <sz val="16"/>
      <color theme="1"/>
      <name val="Helvetica Neue"/>
      <family val="2"/>
      <scheme val="minor"/>
    </font>
    <font>
      <u/>
      <sz val="12"/>
      <color theme="10"/>
      <name val="Helvetica Neue"/>
      <family val="2"/>
      <scheme val="minor"/>
    </font>
    <font>
      <u/>
      <sz val="12"/>
      <color theme="10"/>
      <name val="Helvetica Neue"/>
      <family val="1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4" fillId="0" borderId="0" xfId="1" applyFont="1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03867297325795"/>
          <c:y val="0.18055555555555552"/>
          <c:w val="0.85034592661197728"/>
          <c:h val="0.61074803149606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Home!$B$3</c:f>
              <c:strCache>
                <c:ptCount val="1"/>
                <c:pt idx="0">
                  <c:v>SBOL Visual Papers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Home!$A$4:$A$14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Home!$B$4:$B$14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6</c:v>
                </c:pt>
                <c:pt idx="3">
                  <c:v>18</c:v>
                </c:pt>
                <c:pt idx="4">
                  <c:v>25</c:v>
                </c:pt>
                <c:pt idx="5">
                  <c:v>11</c:v>
                </c:pt>
                <c:pt idx="6">
                  <c:v>29</c:v>
                </c:pt>
                <c:pt idx="7">
                  <c:v>28</c:v>
                </c:pt>
                <c:pt idx="8">
                  <c:v>28</c:v>
                </c:pt>
                <c:pt idx="9">
                  <c:v>8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A-9E4D-B0A0-34BDD8A3DA80}"/>
            </c:ext>
          </c:extLst>
        </c:ser>
        <c:ser>
          <c:idx val="1"/>
          <c:order val="1"/>
          <c:tx>
            <c:strRef>
              <c:f>Home!$C$3</c:f>
              <c:strCache>
                <c:ptCount val="1"/>
                <c:pt idx="0">
                  <c:v>SBOL Visual Tools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Home!$A$4:$A$14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Home!$C$4:$C$14</c:f>
              <c:numCache>
                <c:formatCode>General</c:formatCode>
                <c:ptCount val="11"/>
                <c:pt idx="0">
                  <c:v>5</c:v>
                </c:pt>
                <c:pt idx="1">
                  <c:v>9</c:v>
                </c:pt>
                <c:pt idx="2">
                  <c:v>6</c:v>
                </c:pt>
                <c:pt idx="3">
                  <c:v>13</c:v>
                </c:pt>
                <c:pt idx="4">
                  <c:v>21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B-1C41-ADFF-FE8561283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Publication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Number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of Citations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763589740654461"/>
          <c:y val="2.1388159813356671E-2"/>
          <c:w val="0.31088181977947249"/>
          <c:h val="0.1591673957421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'2013'!$E$4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'2013'!$D$5:$D$17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'2013'!$E$5:$E$17</c:f>
              <c:numCache>
                <c:formatCode>General</c:formatCode>
                <c:ptCount val="13"/>
                <c:pt idx="0">
                  <c:v>6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4-D342-86E9-FEE9EDEDB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'2015'!$D$5:$D$17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'2015'!$E$5:$E$17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15</c:v>
                </c:pt>
                <c:pt idx="4">
                  <c:v>16</c:v>
                </c:pt>
                <c:pt idx="5">
                  <c:v>6</c:v>
                </c:pt>
                <c:pt idx="6">
                  <c:v>13</c:v>
                </c:pt>
                <c:pt idx="7">
                  <c:v>10</c:v>
                </c:pt>
                <c:pt idx="8">
                  <c:v>9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7-4B45-A35A-D3008BF8F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'2018'!$E$4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'2018'!$D$5:$D$17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'2018'!$E$5:$E$17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5</c:v>
                </c:pt>
                <c:pt idx="6">
                  <c:v>9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B-CE4C-8E67-033D3B16B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'2019'!$E$4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'2019'!$D$5:$D$17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'2019'!$E$5:$E$17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4-CE49-8765-AD822C517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'2020'!$E$4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'2020'!$D$5:$D$17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'2020'!$E$5:$E$17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1-4649-B1AE-F5892C34D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'2020 Ontology'!$E$4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'2020 Ontology'!$D$5:$D$17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'2020 Ontology'!$E$5:$E$17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C-F447-89B0-519DBF40A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'2021'!$D$5:$D$17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'2021'!$E$5:$E$17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71-FC4B-A5E8-8167B36A2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 3.0'!$E$4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'2021 3.0'!$D$5:$D$17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'2021 3.0'!$E$5:$E$17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C-5749-92B4-EC6E8717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'2013 Pigeon'!$E$4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'2013 Pigeon'!$D$5:$D$17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'2013 Pigeon'!$E$5:$E$17</c:f>
              <c:numCache>
                <c:formatCode>General</c:formatCode>
                <c:ptCount val="13"/>
                <c:pt idx="0">
                  <c:v>5</c:v>
                </c:pt>
                <c:pt idx="1">
                  <c:v>9</c:v>
                </c:pt>
                <c:pt idx="2">
                  <c:v>6</c:v>
                </c:pt>
                <c:pt idx="3">
                  <c:v>10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7-C548-9AD2-3D473E979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'2016 VisBOL'!$E$4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'2016 VisBOL'!$D$5:$D$17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'2016 VisBOL'!$E$5:$E$17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B-2C41-9E89-18C5E944C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'2017 DNAplotlib'!$E$4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'2017 DNAplotlib'!$D$5:$D$17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'2017 DNAplotlib'!$E$5:$E$17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12</c:v>
                </c:pt>
                <c:pt idx="8">
                  <c:v>8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1-2940-B728-6CC978369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'2017 SBOLDesigner 2'!$E$4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'2017 SBOLDesigner 2'!$D$5:$D$17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'2017 SBOLDesigner 2'!$E$5:$E$17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11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1-BA46-A66F-798FA5ACA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 paraSBOL'!$E$4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'2021 paraSBOL'!$D$5:$D$17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'2021 paraSBOL'!$E$5:$E$17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2-664F-B218-1BF60E28A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 SBOLCanvas'!$E$4</c:f>
              <c:strCache>
                <c:ptCount val="1"/>
                <c:pt idx="0">
                  <c:v>Citations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'2021 SBOLCanvas'!$D$5:$D$17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'2021 SBOLCanvas'!$E$5:$E$17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0-1E44-BAFD-5FA571315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899408"/>
        <c:axId val="995698224"/>
      </c:barChart>
      <c:catAx>
        <c:axId val="99589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698224"/>
        <c:crosses val="autoZero"/>
        <c:auto val="1"/>
        <c:lblAlgn val="ctr"/>
        <c:lblOffset val="100"/>
        <c:noMultiLvlLbl val="0"/>
      </c:catAx>
      <c:valAx>
        <c:axId val="9956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156937</xdr:rowOff>
    </xdr:from>
    <xdr:to>
      <xdr:col>4</xdr:col>
      <xdr:colOff>762000</xdr:colOff>
      <xdr:row>30</xdr:row>
      <xdr:rowOff>106137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17A7E8-8DBB-D144-8F46-1D15DC365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22</xdr:row>
      <xdr:rowOff>184150</xdr:rowOff>
    </xdr:from>
    <xdr:to>
      <xdr:col>7</xdr:col>
      <xdr:colOff>771072</xdr:colOff>
      <xdr:row>36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3205C-3794-044B-B382-8C50B406B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20</xdr:row>
      <xdr:rowOff>11794</xdr:rowOff>
    </xdr:from>
    <xdr:to>
      <xdr:col>7</xdr:col>
      <xdr:colOff>762001</xdr:colOff>
      <xdr:row>33</xdr:row>
      <xdr:rowOff>160565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2B8766-B2F2-E9F1-383B-53AD11019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95EB9-ED87-EA40-8276-3BB3B72C6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18</xdr:row>
      <xdr:rowOff>2722</xdr:rowOff>
    </xdr:from>
    <xdr:to>
      <xdr:col>7</xdr:col>
      <xdr:colOff>771072</xdr:colOff>
      <xdr:row>31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93C93-E4E9-874D-AD1E-503A168A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23EED-1B56-E54C-8B9B-2419017B7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49601-0D19-3548-A5D7-F7FC0FC35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158F64-7659-4B44-8123-CEA2F9875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4A229-4C05-414D-B299-D8E38E61E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21</xdr:row>
      <xdr:rowOff>11793</xdr:rowOff>
    </xdr:from>
    <xdr:to>
      <xdr:col>7</xdr:col>
      <xdr:colOff>762000</xdr:colOff>
      <xdr:row>34</xdr:row>
      <xdr:rowOff>160563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C6F60-28F1-9F42-9CA3-2D13A6105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21</xdr:row>
      <xdr:rowOff>11793</xdr:rowOff>
    </xdr:from>
    <xdr:to>
      <xdr:col>7</xdr:col>
      <xdr:colOff>762000</xdr:colOff>
      <xdr:row>34</xdr:row>
      <xdr:rowOff>160563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A7EF52-3424-FC41-AEDC-02D7A8E5F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35888-C67B-1248-B752-A19BA2592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94CA5-49A5-394C-B575-ECADEF334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6599C-D25B-3C4D-80CB-41AFCF21C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9072</xdr:colOff>
      <xdr:row>16</xdr:row>
      <xdr:rowOff>2722</xdr:rowOff>
    </xdr:from>
    <xdr:to>
      <xdr:col>7</xdr:col>
      <xdr:colOff>771072</xdr:colOff>
      <xdr:row>29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A6BA0-2D57-4946-BD5F-2D53D9E39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BA673D-9BDB-2144-957B-A61067D55285}" name="Table29151719" displayName="Table29151719" ref="A3:C16" totalsRowShown="0">
  <autoFilter ref="A3:C16" xr:uid="{1AA9F6AE-0F53-134A-8DB5-6D24CF29557A}"/>
  <tableColumns count="3">
    <tableColumn id="1" xr3:uid="{4E4DCAFE-4FD9-264C-9A30-5E8DB35A2F0D}" name="Year"/>
    <tableColumn id="2" xr3:uid="{9A4AD57A-EE8E-0F48-A51D-BC037CE310C7}" name="SBOL Visual Papers" dataDxfId="1">
      <calculatedColumnFormula>SUM('2013'!E5,'2015'!E5,'2018'!E5,'2019'!E5,'2020'!E5,'2020 Ontology'!E5,'2021'!E5,'2021 3.0'!E5)</calculatedColumnFormula>
    </tableColumn>
    <tableColumn id="3" xr3:uid="{9F59E16C-29F3-BE41-A553-E00A7953D064}" name="SBOL Visual Tools" dataDxfId="0">
      <calculatedColumnFormula>SUM('2013 Pigeon'!E5,'2016 VisBOL'!E5,'2017 DNAplotlib'!E5,'2017 SBOLDesigner 2'!E5,'2021 paraSBOL'!E5,'2021 SBOLCanvas'!E5)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AD7DE99-87B3-9F41-9215-D682FC1E6B88}" name="Table123" displayName="Table123" ref="A4:B30" totalsRowShown="0">
  <autoFilter ref="A4:B30" xr:uid="{C811008A-D6F2-1B4F-BC1F-00104255461B}"/>
  <tableColumns count="2">
    <tableColumn id="1" xr3:uid="{1DB9A283-1A1D-1542-A537-354DC54F0483}" name="Title"/>
    <tableColumn id="2" xr3:uid="{C5753572-1ADF-0C40-847F-EFF5948528D4}" name="Ye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F339241-2271-DF44-8330-158DE4A36C15}" name="Table228" displayName="Table228" ref="D4:E17" totalsRowShown="0">
  <autoFilter ref="D4:E17" xr:uid="{1AA9F6AE-0F53-134A-8DB5-6D24CF29557A}"/>
  <tableColumns count="2">
    <tableColumn id="1" xr3:uid="{5A8E761F-03D3-AB4D-93EE-638162F70017}" name="Year"/>
    <tableColumn id="2" xr3:uid="{834D4121-BB7A-AC41-84A3-41B621AA6405}" name="Citations">
      <calculatedColumnFormula>COUNTIF(Table123[Year],D5)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1008A-D6F2-1B4F-BC1F-00104255461B}" name="Table1" displayName="Table1" ref="A4:B89" totalsRowShown="0">
  <autoFilter ref="A4:B89" xr:uid="{C811008A-D6F2-1B4F-BC1F-00104255461B}"/>
  <tableColumns count="2">
    <tableColumn id="1" xr3:uid="{C595EB60-DA9D-1049-815F-656B42E54207}" name="Title"/>
    <tableColumn id="2" xr3:uid="{EC0059BF-0A99-3F41-8D63-B7A5EE0C7B2F}" name="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A9F6AE-0F53-134A-8DB5-6D24CF29557A}" name="Table2" displayName="Table2" ref="D4:E17" totalsRowShown="0">
  <autoFilter ref="D4:E17" xr:uid="{1AA9F6AE-0F53-134A-8DB5-6D24CF29557A}"/>
  <tableColumns count="2">
    <tableColumn id="1" xr3:uid="{A69CB724-DF68-5A4C-B586-670AB4281997}" name="Year"/>
    <tableColumn id="2" xr3:uid="{050CEBDF-9BD2-CE42-B04E-3260696BBD5F}" name="Citations">
      <calculatedColumnFormula>COUNTIF(Table1[Year],D5)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4E47FC-95D6-1A4B-B79A-1A0AB507F117}" name="Table16" displayName="Table16" ref="A4:B33" totalsRowShown="0">
  <autoFilter ref="A4:B33" xr:uid="{C811008A-D6F2-1B4F-BC1F-00104255461B}"/>
  <tableColumns count="2">
    <tableColumn id="1" xr3:uid="{2742F925-AF7B-764F-A71B-C531E2DD4225}" name="Title"/>
    <tableColumn id="2" xr3:uid="{19BC289B-6C41-EF4F-8910-D79A27533849}" name="Ye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12513A-BBDF-5347-AA76-18E70C740C2D}" name="Table27" displayName="Table27" ref="D4:E17" totalsRowShown="0">
  <autoFilter ref="D4:E17" xr:uid="{1AA9F6AE-0F53-134A-8DB5-6D24CF29557A}"/>
  <tableColumns count="2">
    <tableColumn id="1" xr3:uid="{CE1E03BD-DBEF-CE42-9E11-DD1DCBD13F2F}" name="Year"/>
    <tableColumn id="2" xr3:uid="{4299B24B-1DBD-BA41-AE57-1889449553AB}" name="Citations">
      <calculatedColumnFormula>COUNTIF(Table16[Year],D5)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CBB3F0-B53C-7941-8BE5-3B59D48712BD}" name="Table1810" displayName="Table1810" ref="A4:B17" totalsRowShown="0">
  <autoFilter ref="A4:B17" xr:uid="{C811008A-D6F2-1B4F-BC1F-00104255461B}"/>
  <tableColumns count="2">
    <tableColumn id="1" xr3:uid="{8CE403C4-3588-7949-B221-2A78E33B3B06}" name="Title"/>
    <tableColumn id="2" xr3:uid="{E978BBA3-0057-0C4C-B89D-916C8F597791}" name="Yea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B604F3A-FF29-0541-9304-C918C8FE001F}" name="Table2911" displayName="Table2911" ref="D4:E17" totalsRowShown="0">
  <autoFilter ref="D4:E17" xr:uid="{1AA9F6AE-0F53-134A-8DB5-6D24CF29557A}"/>
  <tableColumns count="2">
    <tableColumn id="1" xr3:uid="{C99E5469-FF23-634C-B3AE-E9DACD8DCF79}" name="Year"/>
    <tableColumn id="2" xr3:uid="{61E62782-91C0-2440-9D10-7DE032569394}" name="Citations">
      <calculatedColumnFormula>COUNTIF(Table1810[Year],D5)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034E80-B416-7049-B5F3-EDC85FDE2A9C}" name="Table1812" displayName="Table1812" ref="A4:B14" totalsRowShown="0">
  <autoFilter ref="A4:B14" xr:uid="{C811008A-D6F2-1B4F-BC1F-00104255461B}"/>
  <tableColumns count="2">
    <tableColumn id="1" xr3:uid="{8F1626F5-5F4E-EE40-AE82-8EF3135A2A40}" name="Title"/>
    <tableColumn id="2" xr3:uid="{75D56BDE-89C9-4B46-A915-E35F00E8ADBF}" name="Yea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9256FE-746F-F244-8CBB-F7E62126A841}" name="Table2913" displayName="Table2913" ref="D4:E17" totalsRowShown="0">
  <autoFilter ref="D4:E17" xr:uid="{1AA9F6AE-0F53-134A-8DB5-6D24CF29557A}"/>
  <tableColumns count="2">
    <tableColumn id="1" xr3:uid="{E8CE6FA8-CB66-B948-975D-A1C487B89CCB}" name="Year"/>
    <tableColumn id="2" xr3:uid="{4426D711-7560-8749-A3D0-D271A85BA628}" name="Citations">
      <calculatedColumnFormula>COUNTIF(Table1812[Year],D5)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E523F8-EC08-7F4F-9AE8-672A818E0BCD}" name="Table14" displayName="Table14" ref="A4:B9" totalsRowShown="0">
  <autoFilter ref="A4:B9" xr:uid="{C811008A-D6F2-1B4F-BC1F-00104255461B}"/>
  <tableColumns count="2">
    <tableColumn id="1" xr3:uid="{18FB2843-F9A5-5F43-8F40-C44E6A84CC89}" name="Title"/>
    <tableColumn id="2" xr3:uid="{D7747258-8A5C-584D-AB2F-98AA0CD16A68}" name="Yea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4223B7-0B83-D44F-887F-62A346CE9B42}" name="Table25" displayName="Table25" ref="D4:E17" totalsRowShown="0">
  <autoFilter ref="D4:E17" xr:uid="{1AA9F6AE-0F53-134A-8DB5-6D24CF29557A}"/>
  <tableColumns count="2">
    <tableColumn id="1" xr3:uid="{CE8CF26B-2F74-B746-BE5D-9CC7A2C867AE}" name="Year"/>
    <tableColumn id="2" xr3:uid="{37DBF1C5-FAC1-274C-AEA4-29BE11B52B61}" name="Citations">
      <calculatedColumnFormula>COUNTIF(Table14[Year],D5)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006CFB-82AB-8646-A763-2D30B4CCEB96}" name="Table18" displayName="Table18" ref="A4:B11" totalsRowShown="0">
  <autoFilter ref="A4:B11" xr:uid="{C811008A-D6F2-1B4F-BC1F-00104255461B}"/>
  <tableColumns count="2">
    <tableColumn id="1" xr3:uid="{405D13A5-A68C-144D-997E-41EB53D4F511}" name="Title"/>
    <tableColumn id="2" xr3:uid="{C17AE7B2-B746-824B-8D37-2A6540BFECCD}" name="Yea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4AAFA6-60AE-2345-89E3-F182F0E8A706}" name="Table29" displayName="Table29" ref="D4:E17" totalsRowShown="0">
  <autoFilter ref="D4:E17" xr:uid="{1AA9F6AE-0F53-134A-8DB5-6D24CF29557A}"/>
  <tableColumns count="2">
    <tableColumn id="1" xr3:uid="{54A1CEFD-67AB-B943-A735-721A2191A4A5}" name="Year"/>
    <tableColumn id="2" xr3:uid="{8ECC4461-09DC-804B-B16E-FE537791A78E}" name="Citations">
      <calculatedColumnFormula>COUNTIF(Table18[Year],D5)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39CE82-CF43-4445-94D0-5FE8E41E3A2A}" name="Table1814" displayName="Table1814" ref="A4:B20" totalsRowShown="0">
  <autoFilter ref="A4:B20" xr:uid="{C811008A-D6F2-1B4F-BC1F-00104255461B}"/>
  <tableColumns count="2">
    <tableColumn id="1" xr3:uid="{C7AC8F88-FDF7-6F46-9E4F-AC798A7F0B70}" name="Title"/>
    <tableColumn id="2" xr3:uid="{0E218994-ADF6-6C43-8E46-0A74902050A9}" name="Yea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1894B1-06D1-D44F-9C86-2497C8411F2C}" name="Table2915" displayName="Table2915" ref="D4:E17" totalsRowShown="0">
  <autoFilter ref="D4:E17" xr:uid="{1AA9F6AE-0F53-134A-8DB5-6D24CF29557A}"/>
  <tableColumns count="2">
    <tableColumn id="1" xr3:uid="{9C9DED36-B938-9043-86F9-A17FDB1361E3}" name="Year"/>
    <tableColumn id="2" xr3:uid="{F329BD22-7647-A840-A734-6E1B8DBB0628}" name="Citations">
      <calculatedColumnFormula>COUNTIF(Table1814[Year],D5)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4471208-4092-434F-8F57-ACF8211A7157}" name="Table181416202429" displayName="Table181416202429" ref="A4:B56" totalsRowShown="0">
  <autoFilter ref="A4:B56" xr:uid="{C811008A-D6F2-1B4F-BC1F-00104255461B}"/>
  <tableColumns count="2">
    <tableColumn id="1" xr3:uid="{35B28E55-A1B2-0943-88A9-C72B54D01AB0}" name="Title"/>
    <tableColumn id="2" xr3:uid="{4ADD76D3-9F05-654A-BC6D-14FA87332208}" name="Year"/>
  </tableColumns>
  <tableStyleInfo name="TableStyleMedium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A687F7A-B92D-024A-9E87-C4D3EA4C13F1}" name="Table291517212530" displayName="Table291517212530" ref="D4:E17" totalsRowShown="0">
  <autoFilter ref="D4:E17" xr:uid="{1AA9F6AE-0F53-134A-8DB5-6D24CF29557A}"/>
  <tableColumns count="2">
    <tableColumn id="1" xr3:uid="{441741F5-B126-A94F-8DB6-3530C62D3E52}" name="Year"/>
    <tableColumn id="2" xr3:uid="{F554D63F-6371-B24B-A228-49C3980ACFFA}" name="Citations">
      <calculatedColumnFormula>COUNTIF(Table181416202429[Year],D5)</calculatedColumnFormula>
    </tableColumn>
  </tableColumns>
  <tableStyleInfo name="TableStyleMedium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C46DAA8-2364-6E4B-877A-9573B2DD1795}" name="Table1814162024" displayName="Table1814162024" ref="A4:B22" totalsRowShown="0">
  <autoFilter ref="A4:B22" xr:uid="{C811008A-D6F2-1B4F-BC1F-00104255461B}"/>
  <tableColumns count="2">
    <tableColumn id="1" xr3:uid="{5D08F5F8-FF3E-044C-A79F-855124414CDD}" name="Title"/>
    <tableColumn id="2" xr3:uid="{E32E7497-0F82-A347-ABEF-C3CF379420E7}" name="Year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945E294-8BDA-AB44-A483-EA5ED011568C}" name="Table2915172125" displayName="Table2915172125" ref="D4:E17" totalsRowShown="0">
  <autoFilter ref="D4:E17" xr:uid="{1AA9F6AE-0F53-134A-8DB5-6D24CF29557A}"/>
  <tableColumns count="2">
    <tableColumn id="1" xr3:uid="{4B49DB23-FCEE-2B44-9776-B392CDB0CA4A}" name="Year"/>
    <tableColumn id="2" xr3:uid="{8AC8973A-1EB7-9D4C-84DF-2C67AF8AD941}" name="Citations">
      <calculatedColumnFormula>COUNTIF(Table1814162024[Year],D5)</calculatedColumnFormula>
    </tableColumn>
  </tableColumns>
  <tableStyleInfo name="TableStyleMedium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C228147-C278-C04C-B6CD-7F867E84CB32}" name="Table18141620242618" displayName="Table18141620242618" ref="A4:B45" totalsRowShown="0">
  <autoFilter ref="A4:B45" xr:uid="{C811008A-D6F2-1B4F-BC1F-00104255461B}"/>
  <tableColumns count="2">
    <tableColumn id="1" xr3:uid="{9426DD22-5AF8-7842-A6E3-C1C68BF2AE1B}" name="Title"/>
    <tableColumn id="2" xr3:uid="{62B26BE3-65C3-E346-9168-AF45F1B98743}" name="Year"/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597A534-9F87-5842-879D-0D0A18AD62DF}" name="Table29151721252722" displayName="Table29151721252722" ref="D4:E17" totalsRowShown="0">
  <autoFilter ref="D4:E17" xr:uid="{1AA9F6AE-0F53-134A-8DB5-6D24CF29557A}"/>
  <tableColumns count="2">
    <tableColumn id="1" xr3:uid="{5F98E7AA-74CD-DC45-A38A-D1DE212B6A00}" name="Year"/>
    <tableColumn id="2" xr3:uid="{7BB955AC-5D2C-AC43-8540-9A51A6086426}" name="Citations">
      <calculatedColumnFormula>COUNTIF(Table18141620242618[Year],D5)</calculatedColumnFormula>
    </tableColumn>
  </tableColumns>
  <tableStyleInfo name="TableStyleMedium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1AE9F12-97EC-6E48-8651-9DA47E2CF872}" name="Table18141620242616" displayName="Table18141620242616" ref="A4:B43" totalsRowShown="0">
  <autoFilter ref="A4:B43" xr:uid="{C811008A-D6F2-1B4F-BC1F-00104255461B}"/>
  <tableColumns count="2">
    <tableColumn id="1" xr3:uid="{8EB7BB64-C915-3240-A3CC-CA2A40FB6F1D}" name="Title"/>
    <tableColumn id="2" xr3:uid="{614C94D0-0F86-D54D-891D-3F8E248D1B03}" name="Year"/>
  </tableColumns>
  <tableStyleInfo name="TableStyleMedium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EF1EA2D-A059-CA49-B230-4B5FBBD032AD}" name="Table29151721252717" displayName="Table29151721252717" ref="D4:E17" totalsRowShown="0">
  <autoFilter ref="D4:E17" xr:uid="{1AA9F6AE-0F53-134A-8DB5-6D24CF29557A}"/>
  <tableColumns count="2">
    <tableColumn id="1" xr3:uid="{825A4153-8BE4-CE40-A1CC-55F6653E70E8}" name="Year"/>
    <tableColumn id="2" xr3:uid="{58E04EE9-7A01-E347-84BA-048A796AF11A}" name="Citations">
      <calculatedColumnFormula>COUNTIF(Table18141620242616[Year],D5)</calculatedColumnFormula>
    </tableColumn>
  </tableColumns>
  <tableStyleInfo name="TableStyleMedium3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4CEB11D-5D2A-6441-A9C9-37F54F32C472}" name="Table181416202426" displayName="Table181416202426" ref="A4:B8" totalsRowShown="0">
  <autoFilter ref="A4:B8" xr:uid="{C811008A-D6F2-1B4F-BC1F-00104255461B}"/>
  <tableColumns count="2">
    <tableColumn id="1" xr3:uid="{087C8FC2-39FC-ED4C-82AE-F56574FD159E}" name="Title"/>
    <tableColumn id="2" xr3:uid="{920D6C95-48DD-E94D-8B87-75BE8FC8357A}" name="Year"/>
  </tableColumns>
  <tableStyleInfo name="TableStyleMedium3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F7CAB8F-A68A-F74A-8DEA-CB2319DB106C}" name="Table291517212527" displayName="Table291517212527" ref="D4:E17" totalsRowShown="0">
  <autoFilter ref="D4:E17" xr:uid="{1AA9F6AE-0F53-134A-8DB5-6D24CF29557A}"/>
  <tableColumns count="2">
    <tableColumn id="1" xr3:uid="{18097E10-D807-7E47-BB7B-02101C6C79B4}" name="Year"/>
    <tableColumn id="2" xr3:uid="{73608205-C65C-2047-B046-242FDC7F9547}" name="Citations">
      <calculatedColumnFormula>COUNTIF(Table181416202426[Year],D5)</calculatedColumnFormula>
    </tableColumn>
  </tableColumns>
  <tableStyleInfo name="TableStyleMedium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BBC7A9A-D7B8-8441-BF02-A7129AA94C32}" name="Table18141620" displayName="Table18141620" ref="A4:B15" totalsRowShown="0">
  <autoFilter ref="A4:B15" xr:uid="{C811008A-D6F2-1B4F-BC1F-00104255461B}"/>
  <tableColumns count="2">
    <tableColumn id="1" xr3:uid="{46D3720A-F652-B446-AF16-D8994E4F5B32}" name="Title"/>
    <tableColumn id="2" xr3:uid="{8D2F2B97-A277-FE40-9CFD-D7D5164B81E5}" name="Year"/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2056DB4-DCFB-2442-9EB1-F08E5A95AF51}" name="Table29151721" displayName="Table29151721" ref="D4:E17" totalsRowShown="0">
  <autoFilter ref="D4:E17" xr:uid="{1AA9F6AE-0F53-134A-8DB5-6D24CF29557A}"/>
  <tableColumns count="2">
    <tableColumn id="1" xr3:uid="{60958E20-9D09-1B45-8AB0-9E6FCA1E94E4}" name="Year"/>
    <tableColumn id="2" xr3:uid="{6CE42D59-338C-2D41-8F93-288801A4113C}" name="Citations">
      <calculatedColumnFormula>COUNTIF(Table18141620[Year],D5)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alifornia">
      <a:dk1>
        <a:srgbClr val="000000"/>
      </a:dk1>
      <a:lt1>
        <a:srgbClr val="FFFFFF"/>
      </a:lt1>
      <a:dk2>
        <a:srgbClr val="42474D"/>
      </a:dk2>
      <a:lt2>
        <a:srgbClr val="FBF7F4"/>
      </a:lt2>
      <a:accent1>
        <a:srgbClr val="157CD5"/>
      </a:accent1>
      <a:accent2>
        <a:srgbClr val="D63D44"/>
      </a:accent2>
      <a:accent3>
        <a:srgbClr val="6D4ECC"/>
      </a:accent3>
      <a:accent4>
        <a:srgbClr val="FFAA01"/>
      </a:accent4>
      <a:accent5>
        <a:srgbClr val="2191BA"/>
      </a:accent5>
      <a:accent6>
        <a:srgbClr val="2DA69E"/>
      </a:accent6>
      <a:hlink>
        <a:srgbClr val="0066CC"/>
      </a:hlink>
      <a:folHlink>
        <a:srgbClr val="A04B75"/>
      </a:folHlink>
    </a:clrScheme>
    <a:fontScheme name="Helvetica Neue">
      <a:majorFont>
        <a:latin typeface="Helvetica Neue"/>
        <a:ea typeface=""/>
        <a:cs typeface=""/>
      </a:majorFont>
      <a:minorFont>
        <a:latin typeface="Helvetica Neu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abs/10.1021/sb400135t" TargetMode="External"/><Relationship Id="rId13" Type="http://schemas.openxmlformats.org/officeDocument/2006/relationships/hyperlink" Target="https://dl.acm.org/doi/abs/10.1145/2644817" TargetMode="External"/><Relationship Id="rId18" Type="http://schemas.openxmlformats.org/officeDocument/2006/relationships/hyperlink" Target="https://www.sciencedirect.com/science/article/pii/B9780124170292000078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s://pubs.acs.org/doi/abs/10.1021/acssynbio.5b00215" TargetMode="External"/><Relationship Id="rId21" Type="http://schemas.openxmlformats.org/officeDocument/2006/relationships/hyperlink" Target="https://link.springer.com/protocol/10.1007/978-1-4939-1878-2_16" TargetMode="External"/><Relationship Id="rId7" Type="http://schemas.openxmlformats.org/officeDocument/2006/relationships/hyperlink" Target="https://www.frontiersin.org/journals/bioengineering-and-biotechnology/articles/10.3389/fbioe.2015.00167/full" TargetMode="External"/><Relationship Id="rId12" Type="http://schemas.openxmlformats.org/officeDocument/2006/relationships/hyperlink" Target="https://pubs.acs.org/doi/abs/10.1021/sb500176h" TargetMode="External"/><Relationship Id="rId17" Type="http://schemas.openxmlformats.org/officeDocument/2006/relationships/hyperlink" Target="https://pubs.acs.org/doi/abs/10.1021/acssynbio.0c00046" TargetMode="External"/><Relationship Id="rId25" Type="http://schemas.openxmlformats.org/officeDocument/2006/relationships/hyperlink" Target="https://jakebeal.github.io/Publications/IWBDA2013-SBOL.pdf" TargetMode="External"/><Relationship Id="rId2" Type="http://schemas.openxmlformats.org/officeDocument/2006/relationships/hyperlink" Target="https://portlandpress.com/biochemsoctrans/article-abstract/45/3/793/66896" TargetMode="External"/><Relationship Id="rId16" Type="http://schemas.openxmlformats.org/officeDocument/2006/relationships/hyperlink" Target="https://ieeexplore.ieee.org/abstract/document/6845520/" TargetMode="External"/><Relationship Id="rId20" Type="http://schemas.openxmlformats.org/officeDocument/2006/relationships/hyperlink" Target="https://pubs.acs.org/doi/abs/10.1021/acssynbio.6b00286" TargetMode="External"/><Relationship Id="rId1" Type="http://schemas.openxmlformats.org/officeDocument/2006/relationships/hyperlink" Target="https://www.frontiersin.org/journals/bioengineering-and-biotechnology/articles/10.3389/fbioe.2014.00060/full" TargetMode="External"/><Relationship Id="rId6" Type="http://schemas.openxmlformats.org/officeDocument/2006/relationships/hyperlink" Target="https://ieeexplore.ieee.org/abstract/document/8264452/" TargetMode="External"/><Relationship Id="rId11" Type="http://schemas.openxmlformats.org/officeDocument/2006/relationships/hyperlink" Target="https://pubs.acs.org/doi/abs/10.1021/sb400066m" TargetMode="External"/><Relationship Id="rId24" Type="http://schemas.openxmlformats.org/officeDocument/2006/relationships/hyperlink" Target="https://jakebeal.github.io/Publications/SBOLv-BioOntologies-2013.pdf" TargetMode="External"/><Relationship Id="rId5" Type="http://schemas.openxmlformats.org/officeDocument/2006/relationships/hyperlink" Target="https://pubs.acs.org/doi/abs/10.1021/sb400024s" TargetMode="External"/><Relationship Id="rId15" Type="http://schemas.openxmlformats.org/officeDocument/2006/relationships/hyperlink" Target="https://pubs.acs.org/doi/abs/10.1021/sb500352b" TargetMode="External"/><Relationship Id="rId23" Type="http://schemas.openxmlformats.org/officeDocument/2006/relationships/hyperlink" Target="https://search.proquest.com/openview/d41128797ae2ffba48cd2d12dcb7a1c3/1?pq-origsite=gscholar&amp;cbl=18750" TargetMode="External"/><Relationship Id="rId28" Type="http://schemas.openxmlformats.org/officeDocument/2006/relationships/table" Target="../tables/table3.xml"/><Relationship Id="rId10" Type="http://schemas.openxmlformats.org/officeDocument/2006/relationships/hyperlink" Target="https://pubs.acs.org/doi/abs/10.1021/acssynbio.6b00146" TargetMode="External"/><Relationship Id="rId19" Type="http://schemas.openxmlformats.org/officeDocument/2006/relationships/hyperlink" Target="http://pfigshare-u-files.s3.amazonaws.com/3096584/Galdzicki_etal_SBOL_Manuscript_20130802.pdf" TargetMode="External"/><Relationship Id="rId4" Type="http://schemas.openxmlformats.org/officeDocument/2006/relationships/hyperlink" Target="https://pubs.acs.org/doi/abs/10.1021/acssynbio.9b00139" TargetMode="External"/><Relationship Id="rId9" Type="http://schemas.openxmlformats.org/officeDocument/2006/relationships/hyperlink" Target="https://pubs.acs.org/doi/abs/10.1021/sb5003289" TargetMode="External"/><Relationship Id="rId14" Type="http://schemas.openxmlformats.org/officeDocument/2006/relationships/hyperlink" Target="https://journals.plos.org/plosone/article?id=10.1371/journal.pone.0117202" TargetMode="External"/><Relationship Id="rId22" Type="http://schemas.openxmlformats.org/officeDocument/2006/relationships/hyperlink" Target="https://dl.acm.org/doi/abs/10.1145/2668126" TargetMode="External"/><Relationship Id="rId27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manticscholar.org/paper/Synthetic-biology-open-language-(SBOL)-version-Baig-Fontanarrosa/8bc672d75aae7c86da1d578941352ef2324bb614" TargetMode="External"/><Relationship Id="rId21" Type="http://schemas.openxmlformats.org/officeDocument/2006/relationships/hyperlink" Target="https://www.semanticscholar.org/paper/Comparative-analysis-of-three-studies-measuring-Beal-Baldwin/2f3937e4028dac2eed246af17613b200c100de2b" TargetMode="External"/><Relationship Id="rId42" Type="http://schemas.openxmlformats.org/officeDocument/2006/relationships/hyperlink" Target="https://www.semanticscholar.org/paper/Lessons-from-Two-Design-Build-Test-Learn-Cycles-of-Opgenorth-Costello/44b0c3da947c32b5ec98d4e171a300dce1287afd" TargetMode="External"/><Relationship Id="rId47" Type="http://schemas.openxmlformats.org/officeDocument/2006/relationships/hyperlink" Target="https://www.semanticscholar.org/paper/Pathway-Design-Carbonell/8baf9e039c0f461d5056890b4b654650a685c1e4" TargetMode="External"/><Relationship Id="rId63" Type="http://schemas.openxmlformats.org/officeDocument/2006/relationships/hyperlink" Target="https://www.semanticscholar.org/paper/Design-Automation-in-Synthetic-Biology.-Appleton-Madsen/a07320d661c65ef7349e4bd0933e7da01c44ac5b" TargetMode="External"/><Relationship Id="rId68" Type="http://schemas.openxmlformats.org/officeDocument/2006/relationships/hyperlink" Target="https://www.semanticscholar.org/paper/A-new-agent-based-platform-for-simulating-with-Pescarmona/e13a08e437e184aa762bf2fb3a6b30c688630544" TargetMode="External"/><Relationship Id="rId84" Type="http://schemas.openxmlformats.org/officeDocument/2006/relationships/hyperlink" Target="https://www.semanticscholar.org/paper/Deriving-stress-specific-biomarkers-for-Bacillus-of-Pastor-Wipat/b5347be81c0b01bf3e6b5a8c450f0920116690e4" TargetMode="External"/><Relationship Id="rId16" Type="http://schemas.openxmlformats.org/officeDocument/2006/relationships/hyperlink" Target="https://www.semanticscholar.org/paper/Delaying-production-with-prokaryotic-inducible-Baets-Paepe/8b4890ec270e1ba2f0c930b328adfccbe8060455" TargetMode="External"/><Relationship Id="rId11" Type="http://schemas.openxmlformats.org/officeDocument/2006/relationships/hyperlink" Target="https://www.semanticscholar.org/paper/An-experimentally-verified-mechanistic-model-for-Jasmine-Brecht/688bdf69a9f2691dd0c31b5bda5882806a552dd2" TargetMode="External"/><Relationship Id="rId32" Type="http://schemas.openxmlformats.org/officeDocument/2006/relationships/hyperlink" Target="https://www.semanticscholar.org/paper/An-Integrated-Computer-Aided-Design-and-Workflow-Oberortner-Evans/16bd6b9f6afd25b80c42af9e87f2b1a2cfb3fb20" TargetMode="External"/><Relationship Id="rId37" Type="http://schemas.openxmlformats.org/officeDocument/2006/relationships/hyperlink" Target="https://www.semanticscholar.org/paper/Industrializing-a-bacterial-strain-for-L-serine-Rennig-Mundhada/a7799363136a817923b1e8592deaf2e213a31239" TargetMode="External"/><Relationship Id="rId53" Type="http://schemas.openxmlformats.org/officeDocument/2006/relationships/hyperlink" Target="https://www.semanticscholar.org/paper/Metabolic-Engineering-and-Molecular-Tool-in-Yeast-Fabre/568abb94967f8aa0196fe7b001e1d56af1c74d8d" TargetMode="External"/><Relationship Id="rId58" Type="http://schemas.openxmlformats.org/officeDocument/2006/relationships/hyperlink" Target="https://www.semanticscholar.org/paper/PartsGenie%3A-an-integrated-tool-for-optimising-and-Swainston-Dunstan/ae84b9b0090c454eb6e3d4845e38cf0bf7b9ece9" TargetMode="External"/><Relationship Id="rId74" Type="http://schemas.openxmlformats.org/officeDocument/2006/relationships/hyperlink" Target="https://www.semanticscholar.org/paper/GeneMill%3A-A-21st-century-platform-for-innovation-Johnson-D'Amore/ce7ec508de4e660f66f9df01636acdf03d4e2dc2" TargetMode="External"/><Relationship Id="rId79" Type="http://schemas.openxmlformats.org/officeDocument/2006/relationships/hyperlink" Target="https://www.semanticscholar.org/paper/Sharing-Structure-and-Function-in-Biological-Design-Roehner-Beal/85fcd7e6ffa489c68bc1dfaf87d76a8063b455da" TargetMode="External"/><Relationship Id="rId5" Type="http://schemas.openxmlformats.org/officeDocument/2006/relationships/hyperlink" Target="https://www.semanticscholar.org/paper/Synthetic-biology-tools%3A-Engineering-microbes-for-Goyal-Kohli/387ce851dbe31ace01fe52e46b2a697e920418ee" TargetMode="External"/><Relationship Id="rId19" Type="http://schemas.openxmlformats.org/officeDocument/2006/relationships/hyperlink" Target="https://www.semanticscholar.org/paper/Automated-Platform-for-the-Plasmid-Construction-Nava-Fear/7dc675ae2903bea1f1aa2d617c4fc7ca506aa916" TargetMode="External"/><Relationship Id="rId14" Type="http://schemas.openxmlformats.org/officeDocument/2006/relationships/hyperlink" Target="https://www.semanticscholar.org/paper/Energy-Aware-Technology-Mapping-of-Genetic-Logic-Kubaczka-Gehri/368d1ff5f2248a6d4f3ecbcc3436ad699bd62826" TargetMode="External"/><Relationship Id="rId22" Type="http://schemas.openxmlformats.org/officeDocument/2006/relationships/hyperlink" Target="https://www.semanticscholar.org/paper/SynBiopython%3A-an-open-source-software-library-for-Yeoh-Swainston/1f3894b3d7aba2c48d01ca4b191d717a12a28c14" TargetMode="External"/><Relationship Id="rId27" Type="http://schemas.openxmlformats.org/officeDocument/2006/relationships/hyperlink" Target="https://www.semanticscholar.org/paper/The-first-10-years-of-the-international-network-for-Waltemath-Golebiewski/56fcb0902e43ea4d8c9778643adcee5e52d56087" TargetMode="External"/><Relationship Id="rId30" Type="http://schemas.openxmlformats.org/officeDocument/2006/relationships/hyperlink" Target="https://www.semanticscholar.org/paper/Contemporary-Tools-for-Regulating-Gene-Expression-Kent-Dixon/8a03b46735df7aad7ed7c109477b45e995898d9d" TargetMode="External"/><Relationship Id="rId35" Type="http://schemas.openxmlformats.org/officeDocument/2006/relationships/hyperlink" Target="https://www.semanticscholar.org/paper/Towards-a-fully-automated-algorithm-driven-platform-HamediRad-Chao/9f3a70fccaddeef22770914c9831f3e1f22afe5b" TargetMode="External"/><Relationship Id="rId43" Type="http://schemas.openxmlformats.org/officeDocument/2006/relationships/hyperlink" Target="https://www.semanticscholar.org/paper/SBOL-OWL%3A-An-Ontological-Approach-for-Formal-and-of-Misirli-Taylor/4f3ff75a148140f15f962844aece8b66fa4a4737" TargetMode="External"/><Relationship Id="rId48" Type="http://schemas.openxmlformats.org/officeDocument/2006/relationships/hyperlink" Target="https://www.semanticscholar.org/paper/Cellular-checkpoint-control-using-programmable-Andrews-Nielsen/36778256f46ab26c14393679bba52017adfa260e" TargetMode="External"/><Relationship Id="rId56" Type="http://schemas.openxmlformats.org/officeDocument/2006/relationships/hyperlink" Target="https://www.semanticscholar.org/paper/A-brief-history-of-COMBINE-Myers-Bader/8539b78b176b731c0554f6f57261d2cc80b6322a" TargetMode="External"/><Relationship Id="rId64" Type="http://schemas.openxmlformats.org/officeDocument/2006/relationships/hyperlink" Target="https://www.semanticscholar.org/paper/Synthetic-Biology%3A-Engineering-Living-Systems-from-Bartley-Kim/66045191b4fb9bb92e28ac47fe04d73fdc3c13e0" TargetMode="External"/><Relationship Id="rId69" Type="http://schemas.openxmlformats.org/officeDocument/2006/relationships/hyperlink" Target="https://www.semanticscholar.org/paper/RSMLab-%3A-a-web-based-tool-for-recombinase-based-and-Kugener/1f8c390855c17d1d3a599bb53aabf42b40734f50" TargetMode="External"/><Relationship Id="rId77" Type="http://schemas.openxmlformats.org/officeDocument/2006/relationships/hyperlink" Target="https://www.semanticscholar.org/paper/Synthetic-Biology%3A-fostering-the-cyber-biological-Peccoud/a24856c536a480ffdaeb7f40c35ac001774dba93" TargetMode="External"/><Relationship Id="rId8" Type="http://schemas.openxmlformats.org/officeDocument/2006/relationships/hyperlink" Target="https://www.semanticscholar.org/paper/BioParts-A-Biological-Parts-Search-Portal-and-to-Plahar-Rich/bb9dde6ebf15f1ea1dea06cb7cf4203b89496daf" TargetMode="External"/><Relationship Id="rId51" Type="http://schemas.openxmlformats.org/officeDocument/2006/relationships/hyperlink" Target="https://www.semanticscholar.org/paper/Automated-Visualization-of-Genetic-Designs-Using-Bartoli-Dixon/46a419649aba0e0bc8a17d7e3daf13316df8f1c1" TargetMode="External"/><Relationship Id="rId72" Type="http://schemas.openxmlformats.org/officeDocument/2006/relationships/hyperlink" Target="https://www.semanticscholar.org/paper/DESIGN-OF-GENETIC-ELEMENTS-AND-SOFTWARE-TOOLS-FOR-Vilar/02a7a3b117f760baa7689d96506807128db08f69" TargetMode="External"/><Relationship Id="rId80" Type="http://schemas.openxmlformats.org/officeDocument/2006/relationships/hyperlink" Target="https://www.semanticscholar.org/paper/Double-Dutch%3A-A-Tool-for-Designing-Combinatorial-of-Roehner-Young/c345255e21e9e31820d927cf8dadacce4f6ba493" TargetMode="External"/><Relationship Id="rId85" Type="http://schemas.openxmlformats.org/officeDocument/2006/relationships/hyperlink" Target="https://www.semanticscholar.org/paper/Computational-Synthetic-Biology%3A-Progress-and-the-Myers/10303f05a110cf218c050affb9b1b4aba90e5e54" TargetMode="External"/><Relationship Id="rId3" Type="http://schemas.openxmlformats.org/officeDocument/2006/relationships/hyperlink" Target="https://www.semanticscholar.org/paper/Tyto%3A-A-Python-Tool-Enabling-Better-Annotation-for-Bartley/5a98d45623e002e070fef7ce8e728dc2e09783a2" TargetMode="External"/><Relationship Id="rId12" Type="http://schemas.openxmlformats.org/officeDocument/2006/relationships/hyperlink" Target="https://www.semanticscholar.org/paper/Unravelling-the-regulatory-network-behind-chitin-in-Demeester-Paepe/d239e2999e82983725cf4fcc382c15593585c49c" TargetMode="External"/><Relationship Id="rId17" Type="http://schemas.openxmlformats.org/officeDocument/2006/relationships/hyperlink" Target="https://www.semanticscholar.org/paper/DSCI%3A-a-database-of-synthetic-biology-components-Zhang-Chen/6da06da3788111cf7461fd7cee80d1accedeb265" TargetMode="External"/><Relationship Id="rId25" Type="http://schemas.openxmlformats.org/officeDocument/2006/relationships/hyperlink" Target="https://www.semanticscholar.org/paper/The-Synthetic-Biology-Open-Language-(SBOL)-Version-McLaughlin-Beal/6dfcd20a4abfb0f7231a755f31c04f3c44d1ac4f" TargetMode="External"/><Relationship Id="rId33" Type="http://schemas.openxmlformats.org/officeDocument/2006/relationships/hyperlink" Target="https://www.semanticscholar.org/paper/Combinatorial-Hierarchical-DNA-Library-Design-Using-Fero-Craft/a808da305ea5d966b691605ce9b79ce334fe3655" TargetMode="External"/><Relationship Id="rId38" Type="http://schemas.openxmlformats.org/officeDocument/2006/relationships/hyperlink" Target="https://www.semanticscholar.org/paper/SBOLExplorer%3A-Data-Infrastructure-and-Data-Mining-Zhang-Zundel/4bfbe2f54ca095eef6eb0eb5b0982dd1fe33caf5" TargetMode="External"/><Relationship Id="rId46" Type="http://schemas.openxmlformats.org/officeDocument/2006/relationships/hyperlink" Target="https://www.semanticscholar.org/paper/Efficient-learning-in-metabolic-pathway-designs-Carbonell-Faulon/16cc03177f06bd85a75cf5e6d3b1a1ce5e96edb4" TargetMode="External"/><Relationship Id="rId59" Type="http://schemas.openxmlformats.org/officeDocument/2006/relationships/hyperlink" Target="https://www.semanticscholar.org/paper/DNAplotlib%3A-Programmable-Visualization-of-Genetic-Der-Glassey/551849c6a4b324d5aae95fd70df05f5a52d977e5" TargetMode="External"/><Relationship Id="rId67" Type="http://schemas.openxmlformats.org/officeDocument/2006/relationships/hyperlink" Target="https://www.semanticscholar.org/paper/GB3.0%3A-a-platform-for-plant-bio-design-that-DNA-V%C3%A1zquez-Vilar-Quijano-Rubio/200c4fda90e581814e30e5b2dfc4ee20991bc94e" TargetMode="External"/><Relationship Id="rId20" Type="http://schemas.openxmlformats.org/officeDocument/2006/relationships/hyperlink" Target="https://www.semanticscholar.org/paper/A-tuneable-genetic-switch-for-tight-control-of-tac-Asensio-Calavia-Ceballos-Munuera/b4dfe1fa67d94b7a213214c5dc0c9a71d80a2a3e" TargetMode="External"/><Relationship Id="rId41" Type="http://schemas.openxmlformats.org/officeDocument/2006/relationships/hyperlink" Target="https://www.semanticscholar.org/paper/Design-of-Asynchronous-Genetic-Circuits-Nguyen-Jones/c08e6903bdc23bb3c18421d92556db75da9c58b1" TargetMode="External"/><Relationship Id="rId54" Type="http://schemas.openxmlformats.org/officeDocument/2006/relationships/hyperlink" Target="https://www.semanticscholar.org/paper/Part-by-Part%3A-Synthetic-Biology-Parts-Used-in-Gyulev-Willson/cbf6941383133a727fe32ddcb9099fe509b196d5" TargetMode="External"/><Relationship Id="rId62" Type="http://schemas.openxmlformats.org/officeDocument/2006/relationships/hyperlink" Target="https://www.semanticscholar.org/paper/Gas-fermentation%3A-cellular-engineering-and-scale-up-Heijstra-Leang/4552c83ed0f4545dc483acd26e9ab88dd6b3eb0d" TargetMode="External"/><Relationship Id="rId70" Type="http://schemas.openxmlformats.org/officeDocument/2006/relationships/hyperlink" Target="https://www.semanticscholar.org/paper/Agent-based-modelling-in-synthetic-biology-Gorochowski/cfd1c88a43d96b916de2e4bacf081aa52a0f4173" TargetMode="External"/><Relationship Id="rId75" Type="http://schemas.openxmlformats.org/officeDocument/2006/relationships/hyperlink" Target="https://www.semanticscholar.org/paper/The-SBOL-Stack%3A-A-Platform-for-Storing%2C-Publishing%2C-Madsen-McLaughlin/4c88cdab1a6db8f88a73331cd1158e6ce42b8f02" TargetMode="External"/><Relationship Id="rId83" Type="http://schemas.openxmlformats.org/officeDocument/2006/relationships/hyperlink" Target="https://www.semanticscholar.org/paper/A-Converter-from-the-Systems-Biology-Markup-to-the-Nguyen-Roehner/8c6553cc0e847037ba06041a3ef6422dc72eef3c" TargetMode="External"/><Relationship Id="rId88" Type="http://schemas.openxmlformats.org/officeDocument/2006/relationships/table" Target="../tables/table5.xml"/><Relationship Id="rId1" Type="http://schemas.openxmlformats.org/officeDocument/2006/relationships/hyperlink" Target="https://www.semanticscholar.org/paper/Optimization-of-CRISPR%E2%80%93Cas-system-for-clinical-Meng-Wu/51a01cf76f4e70d88b33c42a3d9aed0493472681" TargetMode="External"/><Relationship Id="rId6" Type="http://schemas.openxmlformats.org/officeDocument/2006/relationships/hyperlink" Target="https://www.semanticscholar.org/paper/Stochastic-Hazard-Analysis-of-Genetic-Circuits-in-Buecherl-Roberts/54a62c24ef4c376f44daaea5303fef85f60538b1" TargetMode="External"/><Relationship Id="rId15" Type="http://schemas.openxmlformats.org/officeDocument/2006/relationships/hyperlink" Target="https://www.semanticscholar.org/paper/Fundamentals-and-Exceptions-of-the-LysR-type-Demeester-Paepe/73124096337206158c455b89d541ca8dda0b525c" TargetMode="External"/><Relationship Id="rId23" Type="http://schemas.openxmlformats.org/officeDocument/2006/relationships/hyperlink" Target="https://www.semanticscholar.org/paper/Status-and-Challenges-of-Reproducibility-in-Systems-Choi-Karr/e7d74d722cc0148cb46a3ece0998fa0e4c45cf2f" TargetMode="External"/><Relationship Id="rId28" Type="http://schemas.openxmlformats.org/officeDocument/2006/relationships/hyperlink" Target="https://www.semanticscholar.org/paper/The-long-journey-towards-standards-for-engineering-Beal-Go%C3%B1i-More%C3%B1o/dc73921f1cc580f0698b51b93b080128a70335f5" TargetMode="External"/><Relationship Id="rId36" Type="http://schemas.openxmlformats.org/officeDocument/2006/relationships/hyperlink" Target="https://www.semanticscholar.org/paper/Digitalizing-heterologous-gene-expression-in-with-a-Calles-Go%C3%B1i-More%C3%B1o/cec083bd33cd9a6b9f27734bfb35b020eacc3ca5" TargetMode="External"/><Relationship Id="rId49" Type="http://schemas.openxmlformats.org/officeDocument/2006/relationships/hyperlink" Target="https://www.semanticscholar.org/paper/DNA-assembly-standards%3A-Setting-the-low-level-code-V%C3%A1zquez-Vilar-Orz%C3%A1ez/ce3da6fde8770a7b5e07a2e698cb4185b1f070be" TargetMode="External"/><Relationship Id="rId57" Type="http://schemas.openxmlformats.org/officeDocument/2006/relationships/hyperlink" Target="https://www.semanticscholar.org/paper/Genetic-Constructor%3A-An-Online-DNA-Design-Platform.-Bates-Lachoff/563e6b754ad8c82e5cd79909f3ac6263bb9a0f47" TargetMode="External"/><Relationship Id="rId10" Type="http://schemas.openxmlformats.org/officeDocument/2006/relationships/hyperlink" Target="https://www.semanticscholar.org/paper/Engineering-and-standardization-of-biocircuitry-in-McCarthy/12869cb5d215a54cd8b6e89eef359c385639e70d" TargetMode="External"/><Relationship Id="rId31" Type="http://schemas.openxmlformats.org/officeDocument/2006/relationships/hyperlink" Target="https://www.semanticscholar.org/paper/SBOL-Visual-2-Ontology-Misirli-Beal/044b88be414c4911f39019925dd79687ba9bfbec" TargetMode="External"/><Relationship Id="rId44" Type="http://schemas.openxmlformats.org/officeDocument/2006/relationships/hyperlink" Target="https://www.semanticscholar.org/paper/Riboswitch-identification-using-Ligase-Assisted-for-Haines-Storch/3227d0736a171e5818d5b46f4bd7c87ad5719376" TargetMode="External"/><Relationship Id="rId52" Type="http://schemas.openxmlformats.org/officeDocument/2006/relationships/hyperlink" Target="https://www.semanticscholar.org/paper/SynBioHub%3A-A-Standards-Enabled-Design-Repository-McLaughlin-Myers/d7e09b5e245b93e605a1207d13abe4cec70834c4" TargetMode="External"/><Relationship Id="rId60" Type="http://schemas.openxmlformats.org/officeDocument/2006/relationships/hyperlink" Target="https://www.semanticscholar.org/paper/A-standard-enabled-workflow-for-synthetic-biology.-Myers-Beal/b3252fe069b409ea5126e2ff22a91c91ffcabbea" TargetMode="External"/><Relationship Id="rId65" Type="http://schemas.openxmlformats.org/officeDocument/2006/relationships/hyperlink" Target="https://www.semanticscholar.org/paper/A-Visual-Language-for-Protein-Design.-Cox-McLaughlin/e6d0eddc313e03ca8d28fa6d9c9d458ebef8961c" TargetMode="External"/><Relationship Id="rId73" Type="http://schemas.openxmlformats.org/officeDocument/2006/relationships/hyperlink" Target="https://www.semanticscholar.org/paper/SYNBIOCHEM-Synthetic-Biology-Research-Centre%2C-%E2%80%93-A-Ra-Carbonell/e24c21d56180545d03b69f4baa2123a5acddc0af" TargetMode="External"/><Relationship Id="rId78" Type="http://schemas.openxmlformats.org/officeDocument/2006/relationships/hyperlink" Target="https://www.semanticscholar.org/paper/Bioinformatics-for-the-synthetic-biology-of-natural-Carbonell-Currin/62b8216bcb4873ba8bf34a8a4d56d6fb67cf2869" TargetMode="External"/><Relationship Id="rId81" Type="http://schemas.openxmlformats.org/officeDocument/2006/relationships/hyperlink" Target="https://www.semanticscholar.org/paper/Genetic-circuit-design-automation-Nielsen-Der/04239decdd90422ec30a98d7b1a8170d03724a75" TargetMode="External"/><Relationship Id="rId86" Type="http://schemas.openxmlformats.org/officeDocument/2006/relationships/drawing" Target="../drawings/drawing3.xml"/><Relationship Id="rId4" Type="http://schemas.openxmlformats.org/officeDocument/2006/relationships/hyperlink" Target="https://www.semanticscholar.org/paper/EMMA-CAD%3A-Design-Automation-for-Synthetic-Mammalian-Luo-James/36c8383a06987ec951c79c9baca9adc642441f20" TargetMode="External"/><Relationship Id="rId9" Type="http://schemas.openxmlformats.org/officeDocument/2006/relationships/hyperlink" Target="https://www.semanticscholar.org/paper/Synthetic-Biology-in-Plants%2C-a-Boon-for-Coming-Gupta-Sharma/ced6ba66f50ddc4d90eb8c451f5df66f33d9b366" TargetMode="External"/><Relationship Id="rId13" Type="http://schemas.openxmlformats.org/officeDocument/2006/relationships/hyperlink" Target="https://www.semanticscholar.org/paper/Characterization-and-orthogonality-assessment-of-Jasmine-Brecht/9a69914e7bd3f144f57728f80873d620c5ae6370" TargetMode="External"/><Relationship Id="rId18" Type="http://schemas.openxmlformats.org/officeDocument/2006/relationships/hyperlink" Target="https://www.semanticscholar.org/paper/Theory-and-design-in-the-biotechnical-age%3A-A-of-Bio-Dade-Robertson-Zhang/9e9262b444856ff005043fb278ec2a390e42b2c2" TargetMode="External"/><Relationship Id="rId39" Type="http://schemas.openxmlformats.org/officeDocument/2006/relationships/hyperlink" Target="https://www.semanticscholar.org/paper/Communicating-Structure-and-Function-in-Synthetic-Beal-Nguyen/fd928bd543c77845da28c0f1dd30eaebb0b3c10e" TargetMode="External"/><Relationship Id="rId34" Type="http://schemas.openxmlformats.org/officeDocument/2006/relationships/hyperlink" Target="https://www.semanticscholar.org/paper/%3A-The-long-journey-towards-standards-for-biosystems-Beal-Go%C3%B1i-More%C3%B1o/aeaf0f7faa528d4cc4d41af2c4866990e54ff9df" TargetMode="External"/><Relationship Id="rId50" Type="http://schemas.openxmlformats.org/officeDocument/2006/relationships/hyperlink" Target="https://www.semanticscholar.org/paper/Quantification-of-bacterial-fluorescence-using-Beal-Haddock-Angelli/9abb4f493c1e1d567af392eb47ed8af125368504" TargetMode="External"/><Relationship Id="rId55" Type="http://schemas.openxmlformats.org/officeDocument/2006/relationships/hyperlink" Target="https://www.semanticscholar.org/paper/Proceedings-of-the-2017-Winter-Simulation-Chan-D%E2%80%99Ambrogio/05e24ff19ba3e6960847d86ca82cde7c664bfd9b" TargetMode="External"/><Relationship Id="rId76" Type="http://schemas.openxmlformats.org/officeDocument/2006/relationships/hyperlink" Target="https://www.semanticscholar.org/paper/Improving-Synthetic-Biology-Communication%3A-for-and-Hillson-Plahar/34851ee7baf69fdbcf590bf35656d81c33419456" TargetMode="External"/><Relationship Id="rId7" Type="http://schemas.openxmlformats.org/officeDocument/2006/relationships/hyperlink" Target="https://www.semanticscholar.org/paper/Data-sharing-policies%3A-share-well-and-you-shall-be-Peccoud/7ebdca34987c67270f1429570154ebacd79d1b97" TargetMode="External"/><Relationship Id="rId71" Type="http://schemas.openxmlformats.org/officeDocument/2006/relationships/hyperlink" Target="https://www.semanticscholar.org/paper/A-Cas9-based-toolkit-to-program-gene-expression-in-Apel-d%E2%80%99Espaux/a8557eace9f062695572716d554cdec0adb06f67" TargetMode="External"/><Relationship Id="rId2" Type="http://schemas.openxmlformats.org/officeDocument/2006/relationships/hyperlink" Target="https://www.semanticscholar.org/paper/Engineering-genetic-circuits%3A-advancements-in-tools-Buecherl-Myers/d608bf8ab0d596dc5ea50b4250a83f57a61950d8" TargetMode="External"/><Relationship Id="rId29" Type="http://schemas.openxmlformats.org/officeDocument/2006/relationships/hyperlink" Target="https://www.semanticscholar.org/paper/Beyond-natural%3A-synthetic-expansions-of-botanical-Patron/2b8e99e35ec15f174f031be38a7bb845e96477dd" TargetMode="External"/><Relationship Id="rId24" Type="http://schemas.openxmlformats.org/officeDocument/2006/relationships/hyperlink" Target="https://www.semanticscholar.org/paper/Automated-Execution-of-Simulation-Studies-in-Using-Rampadarath-Nickerson/86d9f2196da5017351c4239cd0e796497300332f" TargetMode="External"/><Relationship Id="rId40" Type="http://schemas.openxmlformats.org/officeDocument/2006/relationships/hyperlink" Target="https://www.semanticscholar.org/paper/A-Computational-Workflow-for-the-Automated-of-of-Misirli-Nguyen/92d96e75a6bbc39c0ee4eafed1542bd59db53adc" TargetMode="External"/><Relationship Id="rId45" Type="http://schemas.openxmlformats.org/officeDocument/2006/relationships/hyperlink" Target="https://www.semanticscholar.org/paper/Opportunities-and-Challenges-in-Applying-Artificial-Yaman-Adler/782bb3e7de8fff124a1ec85d07818cdea0154534" TargetMode="External"/><Relationship Id="rId66" Type="http://schemas.openxmlformats.org/officeDocument/2006/relationships/hyperlink" Target="https://www.semanticscholar.org/paper/A-Validator-and-Converter-for-the-Synthetic-Biology-Zundel-Samineni/640fb89bcdee9fccb8b4887ae345e03b6e6dd7e1" TargetMode="External"/><Relationship Id="rId87" Type="http://schemas.openxmlformats.org/officeDocument/2006/relationships/table" Target="../tables/table4.xml"/><Relationship Id="rId61" Type="http://schemas.openxmlformats.org/officeDocument/2006/relationships/hyperlink" Target="https://www.semanticscholar.org/paper/SBOLDesigner-2%3A-An-Intuitive-Tool-for-Structural-Zhang-McLaughlin/f893e4e8473595859c96b2775651b780bdf71f32" TargetMode="External"/><Relationship Id="rId82" Type="http://schemas.openxmlformats.org/officeDocument/2006/relationships/hyperlink" Target="https://www.semanticscholar.org/paper/Foundations-and-Emerging-Paradigms-for-Computing-in-Ma-Perli/6fb6309613982fc5a64fd2883b055fe472afe55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manticscholar.org/paper/Contemporary-Tools-for-Regulating-Gene-Expression-Kent-Dixon/8a03b46735df7aad7ed7c109477b45e995898d9d" TargetMode="External"/><Relationship Id="rId13" Type="http://schemas.openxmlformats.org/officeDocument/2006/relationships/hyperlink" Target="https://www.semanticscholar.org/paper/Tunable-genetic-devices-through-simultaneous-of-and-Bartoli-Meaker/253dfc9ae08dce2e8ce7cb541b545829ba10d7b3" TargetMode="External"/><Relationship Id="rId18" Type="http://schemas.openxmlformats.org/officeDocument/2006/relationships/hyperlink" Target="https://www.semanticscholar.org/paper/Opportunities-and-Challenges-in-Applying-Artificial-Yaman-Adler/782bb3e7de8fff124a1ec85d07818cdea0154534" TargetMode="External"/><Relationship Id="rId26" Type="http://schemas.openxmlformats.org/officeDocument/2006/relationships/hyperlink" Target="https://www.semanticscholar.org/paper/A-standard-enabled-workflow-for-synthetic-biology.-Myers-Beal/b3252fe069b409ea5126e2ff22a91c91ffcabbea" TargetMode="External"/><Relationship Id="rId3" Type="http://schemas.openxmlformats.org/officeDocument/2006/relationships/hyperlink" Target="https://www.semanticscholar.org/paper/In-Silico-Design-and-Analysis-of-Genetic-Whole-Cell-Fajemilua-Bada/0c14e1d22bbb1e992d14be62bb2949c5efc6c98e" TargetMode="External"/><Relationship Id="rId21" Type="http://schemas.openxmlformats.org/officeDocument/2006/relationships/hyperlink" Target="https://www.semanticscholar.org/paper/Synthetic-genome-defenses-against-selfish-DNA-Geng-Leonard/7e0471022672f4cad33107db0970717c1311c09c" TargetMode="External"/><Relationship Id="rId7" Type="http://schemas.openxmlformats.org/officeDocument/2006/relationships/hyperlink" Target="https://www.semanticscholar.org/paper/Overview%3A-Standards-for-Modeling-in-Systems-Dr%C3%A4ger-Waltemath/6a91ce9672f61e27ad85e2f5a97485a1ba1b8b8b" TargetMode="External"/><Relationship Id="rId12" Type="http://schemas.openxmlformats.org/officeDocument/2006/relationships/hyperlink" Target="https://www.semanticscholar.org/paper/Communicating-Structure-and-Function-in-Synthetic-Beal-Nguyen/fd928bd543c77845da28c0f1dd30eaebb0b3c10e" TargetMode="External"/><Relationship Id="rId17" Type="http://schemas.openxmlformats.org/officeDocument/2006/relationships/hyperlink" Target="https://www.semanticscholar.org/paper/Towards-engineering-the-microalga-Chlorella-for-the-Spencer-Milnes/5448a5c1e1b6e47c27375433dc703821fb543c14" TargetMode="External"/><Relationship Id="rId25" Type="http://schemas.openxmlformats.org/officeDocument/2006/relationships/hyperlink" Target="https://www.semanticscholar.org/paper/Grid-based-temporal-logic-inference-Vaidyanathan-Ivison/f654b82c3df3a8b5ff3375726348b2ead4dcc23c" TargetMode="External"/><Relationship Id="rId2" Type="http://schemas.openxmlformats.org/officeDocument/2006/relationships/hyperlink" Target="https://www.semanticscholar.org/paper/Principles-of-synthetic-biology-Garner/9877f96462d4aa41b2d7d881ee0dc1e063bb4bf6" TargetMode="External"/><Relationship Id="rId16" Type="http://schemas.openxmlformats.org/officeDocument/2006/relationships/hyperlink" Target="https://www.semanticscholar.org/paper/CRISPR-Cas12a-Multiplex-Genome-Editing-of-and-the-Ciurkot-Vonk/25c01e46602d6c589e741bd41622b8bab3d65f38" TargetMode="External"/><Relationship Id="rId20" Type="http://schemas.openxmlformats.org/officeDocument/2006/relationships/hyperlink" Target="https://www.semanticscholar.org/paper/Gsmodutils%3A-a-python-based-framework-for-genome-Gilbert-Pearcy/2215ba6395747e2f7e8042433604e007d4a44841" TargetMode="External"/><Relationship Id="rId29" Type="http://schemas.openxmlformats.org/officeDocument/2006/relationships/hyperlink" Target="https://www.semanticscholar.org/paper/Sharing-Structure-and-Function-in-Biological-Design-Roehner-Beal/85fcd7e6ffa489c68bc1dfaf87d76a8063b455da" TargetMode="External"/><Relationship Id="rId1" Type="http://schemas.openxmlformats.org/officeDocument/2006/relationships/hyperlink" Target="https://www.semanticscholar.org/paper/Synthetic-biology-tools%3A-Engineering-microbes-for-Goyal-Kohli/387ce851dbe31ace01fe52e46b2a697e920418ee" TargetMode="External"/><Relationship Id="rId6" Type="http://schemas.openxmlformats.org/officeDocument/2006/relationships/hyperlink" Target="https://www.semanticscholar.org/paper/Engineered-Pseudomonas-putida-simultaneously-five-Elmore-Dexter/1f5439ae94932d3b48558b916f00efecb08d81d9" TargetMode="External"/><Relationship Id="rId11" Type="http://schemas.openxmlformats.org/officeDocument/2006/relationships/hyperlink" Target="https://www.semanticscholar.org/paper/Industrializing-a-bacterial-strain-for-L-serine-Rennig-Mundhada/a7799363136a817923b1e8592deaf2e213a31239" TargetMode="External"/><Relationship Id="rId24" Type="http://schemas.openxmlformats.org/officeDocument/2006/relationships/hyperlink" Target="https://www.semanticscholar.org/paper/Data-model-for-biopart-datasheets-Murieta-Bultelle/77205bcb51b21967f13071409d6421c0784422ed" TargetMode="External"/><Relationship Id="rId32" Type="http://schemas.openxmlformats.org/officeDocument/2006/relationships/table" Target="../tables/table7.xml"/><Relationship Id="rId5" Type="http://schemas.openxmlformats.org/officeDocument/2006/relationships/hyperlink" Target="https://www.semanticscholar.org/paper/The-Synthetic-Biology-Open-Language-(SBOL)-Version-McLaughlin-Beal/6dfcd20a4abfb0f7231a755f31c04f3c44d1ac4f" TargetMode="External"/><Relationship Id="rId15" Type="http://schemas.openxmlformats.org/officeDocument/2006/relationships/hyperlink" Target="https://www.semanticscholar.org/paper/Specifications-of-Standards-in-Systems-and-Biology%3A-Schreiber-Sommer/7e81b0b6f6b849b6ff8ef3a121cc274c01259387" TargetMode="External"/><Relationship Id="rId23" Type="http://schemas.openxmlformats.org/officeDocument/2006/relationships/hyperlink" Target="https://www.semanticscholar.org/paper/Specifications-of-Standards-in-Systems-and-Biology%3A-Schreiber-Bader/31b529d0fcd63878e218c3cd656ddfed232687b8" TargetMode="External"/><Relationship Id="rId28" Type="http://schemas.openxmlformats.org/officeDocument/2006/relationships/hyperlink" Target="https://www.semanticscholar.org/paper/1-Stochastic-Model-Checking-of-Genetic-Circuits-Madsen/88e3e82a3e42324e65421282f0705c80570c8dbb" TargetMode="External"/><Relationship Id="rId10" Type="http://schemas.openxmlformats.org/officeDocument/2006/relationships/hyperlink" Target="https://www.semanticscholar.org/paper/DNA-BOT%3A-a-low-cost%2C-automated-DNA-assembly-for-Storch-Haines/9025baf6e3b8816d732c70e1316ad016a3d6dc26" TargetMode="External"/><Relationship Id="rId19" Type="http://schemas.openxmlformats.org/officeDocument/2006/relationships/hyperlink" Target="https://www.semanticscholar.org/paper/A-systems-engineering-approach-to-model%2C-tune-and-Acosta-Fernanda/f5150a266b4a876af7d973219b6978b086cd0e3b" TargetMode="External"/><Relationship Id="rId31" Type="http://schemas.openxmlformats.org/officeDocument/2006/relationships/table" Target="../tables/table6.xml"/><Relationship Id="rId4" Type="http://schemas.openxmlformats.org/officeDocument/2006/relationships/hyperlink" Target="https://www.semanticscholar.org/paper/Edition-of-complex-gene-families-in-tobacco-with-a-V%C3%A1zquez-Vilar-Garcia-Carpintero/176b4fb6107bce3ce90761ef3cdfe584c47c7f7e" TargetMode="External"/><Relationship Id="rId9" Type="http://schemas.openxmlformats.org/officeDocument/2006/relationships/hyperlink" Target="https://www.semanticscholar.org/paper/SBOL-Visual-2-Ontology-Misirli-Beal/044b88be414c4911f39019925dd79687ba9bfbec" TargetMode="External"/><Relationship Id="rId14" Type="http://schemas.openxmlformats.org/officeDocument/2006/relationships/hyperlink" Target="https://www.semanticscholar.org/paper/Specifying-Combinatorial-Designs-with-the-Synthetic-Roehner-Bartley/583729aa951d4fc8f3ad15f0a9d724d9c35c0670" TargetMode="External"/><Relationship Id="rId22" Type="http://schemas.openxmlformats.org/officeDocument/2006/relationships/hyperlink" Target="https://www.semanticscholar.org/paper/Engineering-synthetic-regulatory-circuits-in-Kassaw-Donayre-Torres/1c33ba6ad49b8515544dbf3c8d7d508aeac21748" TargetMode="External"/><Relationship Id="rId27" Type="http://schemas.openxmlformats.org/officeDocument/2006/relationships/hyperlink" Target="https://www.semanticscholar.org/paper/A-Visual-Language-for-Protein-Design.-Cox-McLaughlin/e6d0eddc313e03ca8d28fa6d9c9d458ebef8961c" TargetMode="External"/><Relationship Id="rId30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manticscholar.org/paper/%3A-The-long-journey-towards-standards-for-biosystems-Beal-Go%C3%B1i-More%C3%B1o/aeaf0f7faa528d4cc4d41af2c4866990e54ff9df" TargetMode="External"/><Relationship Id="rId13" Type="http://schemas.openxmlformats.org/officeDocument/2006/relationships/hyperlink" Target="https://www.semanticscholar.org/paper/A-Visual-Language-for-Protein-Design.-Cox-McLaughlin/e6d0eddc313e03ca8d28fa6d9c9d458ebef8961c" TargetMode="External"/><Relationship Id="rId3" Type="http://schemas.openxmlformats.org/officeDocument/2006/relationships/hyperlink" Target="https://www.semanticscholar.org/paper/A-Framework-for-Implementing-Metaheuristic-Using-Ortiz-Carri%C3%B3n/c7366b2ca4c0e3fcb638084c7c5fe6a9a1fc2aa6" TargetMode="External"/><Relationship Id="rId7" Type="http://schemas.openxmlformats.org/officeDocument/2006/relationships/hyperlink" Target="https://www.semanticscholar.org/paper/The-long-journey-towards-standards-for-engineering-Beal-Go%C3%B1i-More%C3%B1o/dc73921f1cc580f0698b51b93b080128a70335f5" TargetMode="External"/><Relationship Id="rId12" Type="http://schemas.openxmlformats.org/officeDocument/2006/relationships/hyperlink" Target="https://www.semanticscholar.org/paper/Specifications-of-Standards-in-Systems-and-Biology%3A-Schreiber-Sommer/7e81b0b6f6b849b6ff8ef3a121cc274c01259387" TargetMode="External"/><Relationship Id="rId2" Type="http://schemas.openxmlformats.org/officeDocument/2006/relationships/hyperlink" Target="https://www.semanticscholar.org/paper/Engineering-and-standardization-of-biocircuitry-in-McCarthy/12869cb5d215a54cd8b6e89eef359c385639e70d" TargetMode="External"/><Relationship Id="rId16" Type="http://schemas.openxmlformats.org/officeDocument/2006/relationships/table" Target="../tables/table9.xml"/><Relationship Id="rId1" Type="http://schemas.openxmlformats.org/officeDocument/2006/relationships/hyperlink" Target="https://www.semanticscholar.org/paper/Python-for-gene-expression-Bystrykh/272150eee1e1557d14ebad43a41252e63dcab02b" TargetMode="External"/><Relationship Id="rId6" Type="http://schemas.openxmlformats.org/officeDocument/2006/relationships/hyperlink" Target="https://www.semanticscholar.org/paper/The-Synthetic-Biology-Open-Language-(SBOL)-Version-McLaughlin-Beal/6dfcd20a4abfb0f7231a755f31c04f3c44d1ac4f" TargetMode="External"/><Relationship Id="rId11" Type="http://schemas.openxmlformats.org/officeDocument/2006/relationships/hyperlink" Target="https://www.semanticscholar.org/paper/Communicating-Structure-and-Function-in-Synthetic-Beal-Nguyen/fd928bd543c77845da28c0f1dd30eaebb0b3c10e" TargetMode="External"/><Relationship Id="rId5" Type="http://schemas.openxmlformats.org/officeDocument/2006/relationships/hyperlink" Target="https://www.semanticscholar.org/paper/Synthetic-biology%2C-engineering-biology%2C-market-Clarke/5718370acd46848d9f677d7ca45c3b2bb198bdf4" TargetMode="External"/><Relationship Id="rId15" Type="http://schemas.openxmlformats.org/officeDocument/2006/relationships/table" Target="../tables/table8.xml"/><Relationship Id="rId10" Type="http://schemas.openxmlformats.org/officeDocument/2006/relationships/hyperlink" Target="https://www.semanticscholar.org/paper/Digitalizing-heterologous-gene-expression-in-with-a-Calles-Go%C3%B1i-More%C3%B1o/cec083bd33cd9a6b9f27734bfb35b020eacc3ca5" TargetMode="External"/><Relationship Id="rId4" Type="http://schemas.openxmlformats.org/officeDocument/2006/relationships/hyperlink" Target="https://www.semanticscholar.org/paper/Combinatorial-metabolic-pathway-assembly-approaches-Young-Haines/62ce435ae8ac90cc841fb66e2ccae669922efbb4" TargetMode="External"/><Relationship Id="rId9" Type="http://schemas.openxmlformats.org/officeDocument/2006/relationships/hyperlink" Target="https://www.semanticscholar.org/paper/DNA-BOT%3A-a-low-cost%2C-automated-DNA-assembly-for-Storch-Haines/9025baf6e3b8816d732c70e1316ad016a3d6dc26" TargetMode="External"/><Relationship Id="rId1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manticscholar.org/paper/Synthetic-biology-open-language-(SBOL)-version-Baig-Fontanarrosa/8bc672d75aae7c86da1d578941352ef2324bb614" TargetMode="External"/><Relationship Id="rId13" Type="http://schemas.openxmlformats.org/officeDocument/2006/relationships/table" Target="../tables/table11.xml"/><Relationship Id="rId3" Type="http://schemas.openxmlformats.org/officeDocument/2006/relationships/hyperlink" Target="https://www.semanticscholar.org/paper/paraSBOLv%3A-a-foundation-for-standard-compliant-Clark-Scott-Brown/71d8f5cdbf50f2f0ef2c9333a4542ddbd45f588a" TargetMode="External"/><Relationship Id="rId7" Type="http://schemas.openxmlformats.org/officeDocument/2006/relationships/hyperlink" Target="https://www.semanticscholar.org/paper/Edition-of-complex-gene-families-in-tobacco-with-a-V%C3%A1zquez-Vilar-Garcia-Carpintero/176b4fb6107bce3ce90761ef3cdfe584c47c7f7e" TargetMode="External"/><Relationship Id="rId12" Type="http://schemas.openxmlformats.org/officeDocument/2006/relationships/table" Target="../tables/table10.xml"/><Relationship Id="rId2" Type="http://schemas.openxmlformats.org/officeDocument/2006/relationships/hyperlink" Target="https://www.semanticscholar.org/paper/Principles-of-synthetic-biology-Garner/9877f96462d4aa41b2d7d881ee0dc1e063bb4bf6" TargetMode="External"/><Relationship Id="rId1" Type="http://schemas.openxmlformats.org/officeDocument/2006/relationships/hyperlink" Target="https://www.semanticscholar.org/paper/Advances%2C-challenges%2C-and-opportunities-in-DNA-Enguita-Leit%C3%A3o/6ff23422bb58b8f790cd196384f2acff10a7e88e" TargetMode="External"/><Relationship Id="rId6" Type="http://schemas.openxmlformats.org/officeDocument/2006/relationships/hyperlink" Target="https://www.semanticscholar.org/paper/Massively-parallel-characterization-of-engineered-Tarnowski-Gorochowski/53c6e7eec4292c465dadabc41b767962472d37f8" TargetMode="External"/><Relationship Id="rId11" Type="http://schemas.openxmlformats.org/officeDocument/2006/relationships/drawing" Target="../drawings/drawing6.xml"/><Relationship Id="rId5" Type="http://schemas.openxmlformats.org/officeDocument/2006/relationships/hyperlink" Target="https://www.semanticscholar.org/paper/A-Framework-for-Implementing-Metaheuristic-Using-Ortiz-Carri%C3%B3n/c7366b2ca4c0e3fcb638084c7c5fe6a9a1fc2aa6" TargetMode="External"/><Relationship Id="rId10" Type="http://schemas.openxmlformats.org/officeDocument/2006/relationships/hyperlink" Target="https://www.semanticscholar.org/paper/Communicating-Structure-and-Function-in-Synthetic-Beal-Nguyen/fd928bd543c77845da28c0f1dd30eaebb0b3c10e" TargetMode="External"/><Relationship Id="rId4" Type="http://schemas.openxmlformats.org/officeDocument/2006/relationships/hyperlink" Target="https://www.semanticscholar.org/paper/The-GB4.0-Platform%2C-an-All-In-One-Tool-for-CRISPR-V%C3%A1zquez-Vilar-Garcia-Carpintero/1c6126095746abdbbd717c8598f8cefaeac67584" TargetMode="External"/><Relationship Id="rId9" Type="http://schemas.openxmlformats.org/officeDocument/2006/relationships/hyperlink" Target="https://www.semanticscholar.org/paper/Specifications-of-standards-in-systems-and-biology%3A-Schreiber-Sommer/8b99b859be774e3651ab1de2d108742740716704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hyperlink" Target="https://www.semanticscholar.org/paper/Combinatorial-metabolic-pathway-assembly-approaches-Young-Haines/62ce435ae8ac90cc841fb66e2ccae669922efbb4" TargetMode="External"/><Relationship Id="rId7" Type="http://schemas.openxmlformats.org/officeDocument/2006/relationships/table" Target="../tables/table12.xml"/><Relationship Id="rId2" Type="http://schemas.openxmlformats.org/officeDocument/2006/relationships/hyperlink" Target="https://www.semanticscholar.org/paper/A-systematic-approach-to-inserting-split-inteins-Ho-Shao/ff4d433107fd9593739a9d546025319db35b9972" TargetMode="External"/><Relationship Id="rId1" Type="http://schemas.openxmlformats.org/officeDocument/2006/relationships/hyperlink" Target="https://www.semanticscholar.org/paper/paraSBOLv%3A-a-foundation-for-standard-compliant-Clark-Scott-Brown/71d8f5cdbf50f2f0ef2c9333a4542ddbd45f588a" TargetMode="External"/><Relationship Id="rId6" Type="http://schemas.openxmlformats.org/officeDocument/2006/relationships/drawing" Target="../drawings/drawing7.xml"/><Relationship Id="rId5" Type="http://schemas.openxmlformats.org/officeDocument/2006/relationships/hyperlink" Target="https://www.semanticscholar.org/paper/Towards-collaborative-and-automated-development-of-Ajibode-Beal/b6dfa2a2cae2b396f93b3f2ee9f003a7fefac11c" TargetMode="External"/><Relationship Id="rId4" Type="http://schemas.openxmlformats.org/officeDocument/2006/relationships/hyperlink" Target="https://www.semanticscholar.org/paper/The-Synthetic-Biology-Open-Language-(SBOL)-Version-McLaughlin-Beal/6dfcd20a4abfb0f7231a755f31c04f3c44d1ac4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https://www.semanticscholar.org/paper/A-Network-Approach-to-Genetic-Circuit-Designs-Crowther-Wipat/bc5878ab6ffe81e3d8c90e8fba6e52fe35d8dce9" TargetMode="External"/><Relationship Id="rId7" Type="http://schemas.openxmlformats.org/officeDocument/2006/relationships/hyperlink" Target="https://www.semanticscholar.org/paper/Towards-collaborative-and-automated-development-of-Ajibode-Beal/b6dfa2a2cae2b396f93b3f2ee9f003a7fefac11c" TargetMode="External"/><Relationship Id="rId2" Type="http://schemas.openxmlformats.org/officeDocument/2006/relationships/hyperlink" Target="https://www.semanticscholar.org/paper/Specifications-of-standards-in-systems-and-biology%3A-K%C3%B6nig-Gleeson/10cf5589618702f94c3110f1fdd0555dae92a947" TargetMode="External"/><Relationship Id="rId1" Type="http://schemas.openxmlformats.org/officeDocument/2006/relationships/hyperlink" Target="https://www.semanticscholar.org/paper/Specifications-of-standards-in-systems-and-biology%3A-Golebiewski-Bader/ea67fe2db24f8615bfe0aef923986875d422f345" TargetMode="External"/><Relationship Id="rId6" Type="http://schemas.openxmlformats.org/officeDocument/2006/relationships/hyperlink" Target="https://www.semanticscholar.org/paper/DNA-BOT%3A-a-low-cost%2C-automated-DNA-assembly-for-Storch-Haines/9025baf6e3b8816d732c70e1316ad016a3d6dc26" TargetMode="External"/><Relationship Id="rId5" Type="http://schemas.openxmlformats.org/officeDocument/2006/relationships/hyperlink" Target="https://www.semanticscholar.org/paper/Virtual-Parts-Repository-2%3A-Model-driven-design-of-Misirli-Yang/dcdb229c321d6c3ced65630073a84b0c47642f4f" TargetMode="External"/><Relationship Id="rId10" Type="http://schemas.openxmlformats.org/officeDocument/2006/relationships/table" Target="../tables/table15.xml"/><Relationship Id="rId4" Type="http://schemas.openxmlformats.org/officeDocument/2006/relationships/hyperlink" Target="https://www.semanticscholar.org/paper/Specifications-of-standards-in-systems-and-biology%3A-Schreiber-Gleeson/e3ed593e8d3d1e2e2b1c6ee9a58c2ec80cdd34ef" TargetMode="External"/><Relationship Id="rId9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manticscholar.org/paper/Genetic-Parts-and-Enabling-Tools-for-Biocircuit-Buson-Gao/dc9b8f6aba3ffff97b2b02b91cd46faf7bf655d9" TargetMode="External"/><Relationship Id="rId13" Type="http://schemas.openxmlformats.org/officeDocument/2006/relationships/hyperlink" Target="https://www.semanticscholar.org/paper/Python-for-gene-expression-%5Bversion-1%3B-peer-review%3A-Bystrykh/ac6e2cf4688eb8fcfe9bdbf0f1b434aef95bceb1" TargetMode="External"/><Relationship Id="rId18" Type="http://schemas.openxmlformats.org/officeDocument/2006/relationships/table" Target="../tables/table16.xml"/><Relationship Id="rId3" Type="http://schemas.openxmlformats.org/officeDocument/2006/relationships/hyperlink" Target="https://www.semanticscholar.org/paper/Data-hazards-in-synthetic-biology-Zelenka-Cara/993a0859db6bdf23a69bbfc26332b2731030205e" TargetMode="External"/><Relationship Id="rId7" Type="http://schemas.openxmlformats.org/officeDocument/2006/relationships/hyperlink" Target="https://www.semanticscholar.org/paper/Specifications-of-standards-in-systems-and-biology%3A-Golebiewski-Bader/ea67fe2db24f8615bfe0aef923986875d422f345" TargetMode="External"/><Relationship Id="rId12" Type="http://schemas.openxmlformats.org/officeDocument/2006/relationships/hyperlink" Target="https://www.semanticscholar.org/paper/Advancing-reproducibility-can-ease-the-'hard-Lux-Strychalski/695480f5ef2598e076697b82d9e1db920702d598" TargetMode="External"/><Relationship Id="rId17" Type="http://schemas.openxmlformats.org/officeDocument/2006/relationships/drawing" Target="../drawings/drawing9.xml"/><Relationship Id="rId2" Type="http://schemas.openxmlformats.org/officeDocument/2006/relationships/hyperlink" Target="https://www.semanticscholar.org/paper/Translating-weighted-probabilistic-bits-to-genetic-Ciccone-Messina/d7e3ab773e7092cd85563a6dd02c81c4c8cd76c0" TargetMode="External"/><Relationship Id="rId16" Type="http://schemas.openxmlformats.org/officeDocument/2006/relationships/hyperlink" Target="https://www.semanticscholar.org/paper/The-GB4.0-Platform%2C-an-All-In-One-Tool-for-CRISPR-V%C3%A1zquez-Vilar-Garcia-Carpintero/1c6126095746abdbbd717c8598f8cefaeac67584" TargetMode="External"/><Relationship Id="rId1" Type="http://schemas.openxmlformats.org/officeDocument/2006/relationships/hyperlink" Target="https://www.semanticscholar.org/paper/BioPAX-in-2024%3A-Where-we-are-and-where-we-are-Beust-Becker/0e483ae1b5505f4a191a18a5161681633eb1555c" TargetMode="External"/><Relationship Id="rId6" Type="http://schemas.openxmlformats.org/officeDocument/2006/relationships/hyperlink" Target="https://www.semanticscholar.org/paper/Automatic-design-of-gene-regulatory-mechanisms-for-Mousavi-Lobo/d0a9f61fdab177217fc947916c308a723a07e3c1" TargetMode="External"/><Relationship Id="rId11" Type="http://schemas.openxmlformats.org/officeDocument/2006/relationships/hyperlink" Target="https://www.semanticscholar.org/paper/Specifications-of-standards-in-systems-and-biology%3A-K%C3%B6nig-Gleeson/10cf5589618702f94c3110f1fdd0555dae92a947" TargetMode="External"/><Relationship Id="rId5" Type="http://schemas.openxmlformats.org/officeDocument/2006/relationships/hyperlink" Target="https://www.semanticscholar.org/paper/Simulations-predict-stronger-CRISPRi-repression-in-Scott-Occhialini/88689550ae075a522fd2db7a1a5dfe62558c6158" TargetMode="External"/><Relationship Id="rId15" Type="http://schemas.openxmlformats.org/officeDocument/2006/relationships/hyperlink" Target="https://www.semanticscholar.org/paper/Specifications-of-standards-in-systems-and-biology%3A-Schreiber-Gleeson/e3ed593e8d3d1e2e2b1c6ee9a58c2ec80cdd34ef" TargetMode="External"/><Relationship Id="rId10" Type="http://schemas.openxmlformats.org/officeDocument/2006/relationships/hyperlink" Target="https://www.semanticscholar.org/paper/SynBioSuite%3A-A-Tool-for-Improving-the-Workflow-for-Sents-Stoughton/f9fcd46ddd13318add37a865c20c2a0e681543a3" TargetMode="External"/><Relationship Id="rId19" Type="http://schemas.openxmlformats.org/officeDocument/2006/relationships/table" Target="../tables/table17.xml"/><Relationship Id="rId4" Type="http://schemas.openxmlformats.org/officeDocument/2006/relationships/hyperlink" Target="https://www.semanticscholar.org/paper/Engineering-is-evolution%3A-a-perspective-on-design-Castle-Stock/18a3538f5d6b0e43cc8cb0dfba0c2a036163cad0" TargetMode="External"/><Relationship Id="rId9" Type="http://schemas.openxmlformats.org/officeDocument/2006/relationships/hyperlink" Target="https://www.semanticscholar.org/paper/Base-editing-enables-duplex-point-mutagenesis-in-at-Seys-Humphreys/5ee87403f8168766fa76329a544d70ba8171f2d1" TargetMode="External"/><Relationship Id="rId14" Type="http://schemas.openxmlformats.org/officeDocument/2006/relationships/hyperlink" Target="https://www.semanticscholar.org/paper/Stochastic-Hazard-Analysis-of-Genetic-Circuits-in-Buecherl-Roberts/54a62c24ef4c376f44daaea5303fef85f60538b1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manticscholar.org/paper/Automated-Robotic-Liquid-Handling-Assembly-of-DNA-Ortiz-Pavan/b707c62fdc49bc36dce092b2fdc726cda767d8a6" TargetMode="External"/><Relationship Id="rId18" Type="http://schemas.openxmlformats.org/officeDocument/2006/relationships/hyperlink" Target="https://www.semanticscholar.org/paper/%5BApplication-of-microelectronics-CAD-tools-to-Madec-Haiech/3f423a19fa9d4fb087305ee7d3a983fde2f92fef" TargetMode="External"/><Relationship Id="rId26" Type="http://schemas.openxmlformats.org/officeDocument/2006/relationships/hyperlink" Target="https://www.semanticscholar.org/paper/CRISPR-Cas9-Based-Genome-Editing-of-Penicillium-Pohl-Kiel/1961ee182e2da7402f83eb7ff33d028aabf6f083" TargetMode="External"/><Relationship Id="rId39" Type="http://schemas.openxmlformats.org/officeDocument/2006/relationships/hyperlink" Target="https://www.semanticscholar.org/paper/Composable-Modular-Models-for-Synthetic-Biology-Misirli-Hallinan/dfb7e40079e618b23e9e16ed13d466433e212d71" TargetMode="External"/><Relationship Id="rId21" Type="http://schemas.openxmlformats.org/officeDocument/2006/relationships/hyperlink" Target="https://www.semanticscholar.org/paper/1-Stochastic-Model-Checking-of-Genetic-Circuits-Madsen/88e3e82a3e42324e65421282f0705c80570c8dbb" TargetMode="External"/><Relationship Id="rId34" Type="http://schemas.openxmlformats.org/officeDocument/2006/relationships/hyperlink" Target="https://www.semanticscholar.org/paper/Web-based-software-tool-for-constraint-based-design-Oberortner-Densmore/5667d6eb94f3cf026e8c1ec93e1e3a6bf16bae53" TargetMode="External"/><Relationship Id="rId42" Type="http://schemas.openxmlformats.org/officeDocument/2006/relationships/hyperlink" Target="https://www.semanticscholar.org/paper/Owl%3A-electronic-datasheet-generator.-Appleton-Tao/e62d35604ff0a3b027fb56caa91c0085c299b956" TargetMode="External"/><Relationship Id="rId47" Type="http://schemas.openxmlformats.org/officeDocument/2006/relationships/hyperlink" Target="https://www.semanticscholar.org/paper/A-modelling-framework-for-Synthetic-Biology-Boysen-Laursen/24aa5298bd25c20d4b49902292a8e9462b318fcf" TargetMode="External"/><Relationship Id="rId50" Type="http://schemas.openxmlformats.org/officeDocument/2006/relationships/hyperlink" Target="https://www.semanticscholar.org/paper/Recent-Advances-in-the-Synthetic-Biology-Open-Galdzicki-Oberortner/116383a709e2eae871b7808ec31e8062755519e5" TargetMode="External"/><Relationship Id="rId55" Type="http://schemas.openxmlformats.org/officeDocument/2006/relationships/table" Target="../tables/table19.xml"/><Relationship Id="rId7" Type="http://schemas.openxmlformats.org/officeDocument/2006/relationships/hyperlink" Target="https://www.semanticscholar.org/paper/Natural-Bio-active-Compounds%3A-Volume-1%3A-Production-Akhtar-Swamy/342418d453f2394dd2e836b2ea7a8886cb325599" TargetMode="External"/><Relationship Id="rId2" Type="http://schemas.openxmlformats.org/officeDocument/2006/relationships/hyperlink" Target="https://www.semanticscholar.org/paper/paraSBOLv%3A-a-foundation-for-standard-compliant-Clark-Scott-Brown/71d8f5cdbf50f2f0ef2c9333a4542ddbd45f588a" TargetMode="External"/><Relationship Id="rId16" Type="http://schemas.openxmlformats.org/officeDocument/2006/relationships/hyperlink" Target="https://www.semanticscholar.org/paper/A-standard-enabled-workflow-for-synthetic-biology.-Myers-Beal/b3252fe069b409ea5126e2ff22a91c91ffcabbea" TargetMode="External"/><Relationship Id="rId29" Type="http://schemas.openxmlformats.org/officeDocument/2006/relationships/hyperlink" Target="https://www.semanticscholar.org/paper/Harnessing-QbD%2C-Programming-Languages%2C-and-for-Sadowski-Grant/5982dbb98dba2b38fac6ca253ad9f0eb77261296" TargetMode="External"/><Relationship Id="rId11" Type="http://schemas.openxmlformats.org/officeDocument/2006/relationships/hyperlink" Target="https://www.semanticscholar.org/paper/SynBioHub%3A-A-Standards-Enabled-Design-Repository-McLaughlin-Myers/d7e09b5e245b93e605a1207d13abe4cec70834c4" TargetMode="External"/><Relationship Id="rId24" Type="http://schemas.openxmlformats.org/officeDocument/2006/relationships/hyperlink" Target="https://www.semanticscholar.org/paper/GeNeDA%3A-An-Open-Source-Workflow-for-Design-of-Gene-Madec-P%C3%AAcheux/6d9238163bf5a28eaa10f8e1fac6e8c05ccd7b5b" TargetMode="External"/><Relationship Id="rId32" Type="http://schemas.openxmlformats.org/officeDocument/2006/relationships/hyperlink" Target="https://www.semanticscholar.org/paper/CIDAR-MoClo%3A-Improved-MoClo-Assembly-Standard-and-Iverson-Haddock/b5ef39ab3a0e72cd0a60d707232435157d71dd99" TargetMode="External"/><Relationship Id="rId37" Type="http://schemas.openxmlformats.org/officeDocument/2006/relationships/hyperlink" Target="https://www.semanticscholar.org/paper/The-synthetic-biology-open-language.-Myers-Clancy/6221f4cfbdaa503d2aedc998a52d965e4606e82f" TargetMode="External"/><Relationship Id="rId40" Type="http://schemas.openxmlformats.org/officeDocument/2006/relationships/hyperlink" Target="https://www.semanticscholar.org/paper/A-Rule-Based-Design-Specification-Language-for-Oberortner-Bhatia/a337e752c7aa456e07e401c14df15e037b243a32" TargetMode="External"/><Relationship Id="rId45" Type="http://schemas.openxmlformats.org/officeDocument/2006/relationships/hyperlink" Target="https://www.semanticscholar.org/paper/Principles-of-genetic-circuit-design-Brophy-Voigt/8aec0df176f2c4c06f9b67d021eec83585cc8af0" TargetMode="External"/><Relationship Id="rId53" Type="http://schemas.openxmlformats.org/officeDocument/2006/relationships/drawing" Target="../drawings/drawing10.xml"/><Relationship Id="rId5" Type="http://schemas.openxmlformats.org/officeDocument/2006/relationships/hyperlink" Target="https://www.semanticscholar.org/paper/Antimicrobial-solid-media-for-screening-non-sterile-Behrendorff-Borr%C3%A0s-Gas/1693535c71ab2583a7b533cf2f02191383cc77de" TargetMode="External"/><Relationship Id="rId10" Type="http://schemas.openxmlformats.org/officeDocument/2006/relationships/hyperlink" Target="https://www.semanticscholar.org/paper/Automated-Visualization-of-Genetic-Designs-Using-Bartoli-Dixon/46a419649aba0e0bc8a17d7e3daf13316df8f1c1" TargetMode="External"/><Relationship Id="rId19" Type="http://schemas.openxmlformats.org/officeDocument/2006/relationships/hyperlink" Target="https://www.semanticscholar.org/paper/Determining-virus-host-interactions-and-glycerol-in-Moller-Liang/582182b5041f7a64576fdb4fbd879e6bd423f0a8" TargetMode="External"/><Relationship Id="rId31" Type="http://schemas.openxmlformats.org/officeDocument/2006/relationships/hyperlink" Target="https://www.semanticscholar.org/paper/Design-Tools-for-Synthetic-Biology-Boeing-Ozdemir/4a4b4d3bdd3af7373621af7c536881724f95f07c" TargetMode="External"/><Relationship Id="rId44" Type="http://schemas.openxmlformats.org/officeDocument/2006/relationships/hyperlink" Target="https://www.semanticscholar.org/paper/Interactive-assembly-algorithms-for-molecular-Appleton-Tao/51fabd0cf58c4e5907c46550b84fee853f74b754" TargetMode="External"/><Relationship Id="rId52" Type="http://schemas.openxmlformats.org/officeDocument/2006/relationships/hyperlink" Target="https://www.semanticscholar.org/paper/Synthetic-Biology-Open-Language-Visual%3A-An-Notation-Quinn-Beal/c17574e6a79289a7cb52edc5494e0ca69676a40b" TargetMode="External"/><Relationship Id="rId4" Type="http://schemas.openxmlformats.org/officeDocument/2006/relationships/hyperlink" Target="https://www.semanticscholar.org/paper/Antimicrobial-solid-media-for-screening-non%E2%80%90sterile-Behrendorff-Borr%C3%A0s-Gas/5694e608468aeb7dd967ad989330122eb73510ab" TargetMode="External"/><Relationship Id="rId9" Type="http://schemas.openxmlformats.org/officeDocument/2006/relationships/hyperlink" Target="https://www.semanticscholar.org/paper/Towards-an-Aspect-Oriented-Design-and-Modelling-for-Boeing-Leon/1ae21bda5e1a9b09a245d93fc9e207eae45ba47f" TargetMode="External"/><Relationship Id="rId14" Type="http://schemas.openxmlformats.org/officeDocument/2006/relationships/hyperlink" Target="https://www.semanticscholar.org/paper/De-novo-assembly-of-genomes-from-long-sequence-of-Deptula-Laine/8eabd748bd06a0d7deb525b56a0a5c3586cf7322" TargetMode="External"/><Relationship Id="rId22" Type="http://schemas.openxmlformats.org/officeDocument/2006/relationships/hyperlink" Target="https://www.semanticscholar.org/paper/RSMLab-%3A-a-web-based-tool-for-recombinase-based-and-Kugener/1f8c390855c17d1d3a599bb53aabf42b40734f50" TargetMode="External"/><Relationship Id="rId27" Type="http://schemas.openxmlformats.org/officeDocument/2006/relationships/hyperlink" Target="https://www.semanticscholar.org/paper/A-protease-based-biosensor-for-the-detection-of-Webb-Kelwick/c89028a8e4269faae5f56404c0ded42d3bef4354" TargetMode="External"/><Relationship Id="rId30" Type="http://schemas.openxmlformats.org/officeDocument/2006/relationships/hyperlink" Target="https://www.semanticscholar.org/paper/VisBOL%3A-Web-Based-Tools-for-Synthetic-Biology-McLaughlin-Pocock/27951453a376e907cff97e7f3d3167c024c7cf87" TargetMode="External"/><Relationship Id="rId35" Type="http://schemas.openxmlformats.org/officeDocument/2006/relationships/hyperlink" Target="https://www.semanticscholar.org/paper/Generating-Systems-Biology-Markup-Language-Models-Roehner-Zhang/7ed442a9c7663023559600f27eecd251e2dcef0b" TargetMode="External"/><Relationship Id="rId43" Type="http://schemas.openxmlformats.org/officeDocument/2006/relationships/hyperlink" Target="https://www.semanticscholar.org/paper/On-Industrial-Strength-Bio-design-Automation-Matzke-Barnes/324164966b2db9d7dba3a9c1e129518c2824ffe0" TargetMode="External"/><Relationship Id="rId48" Type="http://schemas.openxmlformats.org/officeDocument/2006/relationships/hyperlink" Target="https://www.semanticscholar.org/paper/MoClo-planner%3A-Interactive-visualization-for-Shaer-Valdes/bebe7b33bffef9abfb32f4c5cc0665769234c94a" TargetMode="External"/><Relationship Id="rId8" Type="http://schemas.openxmlformats.org/officeDocument/2006/relationships/hyperlink" Target="https://www.semanticscholar.org/paper/Production-and-Application-of-Novel-Bio-active-by-Filho/0fea84a71136e840beaa9b19e0f3e247d7ce7773" TargetMode="External"/><Relationship Id="rId51" Type="http://schemas.openxmlformats.org/officeDocument/2006/relationships/hyperlink" Target="https://www.semanticscholar.org/paper/Platforms-for-Genetic-Design-Automation-Myers/e1239ce502b9b1f3373f4c3f93b763980880ab50" TargetMode="External"/><Relationship Id="rId3" Type="http://schemas.openxmlformats.org/officeDocument/2006/relationships/hyperlink" Target="https://www.semanticscholar.org/paper/The-Synthetic-Biology-Open-Language-(SBOL)-Version-McLaughlin-Beal/6dfcd20a4abfb0f7231a755f31c04f3c44d1ac4f" TargetMode="External"/><Relationship Id="rId12" Type="http://schemas.openxmlformats.org/officeDocument/2006/relationships/hyperlink" Target="https://www.semanticscholar.org/paper/Data-model-for-biopart-datasheets-Murieta-Bultelle/77205bcb51b21967f13071409d6421c0784422ed" TargetMode="External"/><Relationship Id="rId17" Type="http://schemas.openxmlformats.org/officeDocument/2006/relationships/hyperlink" Target="https://www.semanticscholar.org/paper/Design-Automation-in-Synthetic-Biology.-Appleton-Madsen/a07320d661c65ef7349e4bd0933e7da01c44ac5b" TargetMode="External"/><Relationship Id="rId25" Type="http://schemas.openxmlformats.org/officeDocument/2006/relationships/hyperlink" Target="https://www.semanticscholar.org/paper/Improving-Synthetic-Biology-Communication%3A-for-and-Hillson-Plahar/34851ee7baf69fdbcf590bf35656d81c33419456" TargetMode="External"/><Relationship Id="rId33" Type="http://schemas.openxmlformats.org/officeDocument/2006/relationships/hyperlink" Target="https://www.semanticscholar.org/paper/SBOL-Visual%3A-A-Graphical-Language-for-Genetic-Quinn-Cox/642d06a20fed94a96186ea0e6c89a694f84ab7bd" TargetMode="External"/><Relationship Id="rId38" Type="http://schemas.openxmlformats.org/officeDocument/2006/relationships/hyperlink" Target="https://www.semanticscholar.org/paper/Lawrence-Berkeley-National-Laboratory-Recent-Work-%3A-Quinn-Cox/fb94eeb8210b8966cb28ccf7aa014d260529b60f" TargetMode="External"/><Relationship Id="rId46" Type="http://schemas.openxmlformats.org/officeDocument/2006/relationships/hyperlink" Target="https://www.semanticscholar.org/paper/Technology-mapping-of-genetic-circuit-designs-Roehner/e4f1b35990d81bac7758f3938ef67c50ffbd89e8" TargetMode="External"/><Relationship Id="rId20" Type="http://schemas.openxmlformats.org/officeDocument/2006/relationships/hyperlink" Target="https://www.semanticscholar.org/paper/An-end-to-end-solution-for-automation-of-biological-Rodr%C3%ADguez-Pat%C3%B3n/96c992df5676e89f56d7998dcf318d652c474a0e" TargetMode="External"/><Relationship Id="rId41" Type="http://schemas.openxmlformats.org/officeDocument/2006/relationships/hyperlink" Target="https://www.semanticscholar.org/paper/Stochastic-Model-Checking-of-Genetic-Circuits-Madsen-Zhang/19242b4b077b0214ba7f6405ec05abd961eb3f1e" TargetMode="External"/><Relationship Id="rId54" Type="http://schemas.openxmlformats.org/officeDocument/2006/relationships/table" Target="../tables/table18.xml"/><Relationship Id="rId1" Type="http://schemas.openxmlformats.org/officeDocument/2006/relationships/hyperlink" Target="https://www.semanticscholar.org/paper/Synthetic-Biology-in-Plants%2C-a-Boon-for-Coming-Gupta-Sharma/ced6ba66f50ddc4d90eb8c451f5df66f33d9b366" TargetMode="External"/><Relationship Id="rId6" Type="http://schemas.openxmlformats.org/officeDocument/2006/relationships/hyperlink" Target="https://www.semanticscholar.org/paper/Modeling-transcriptional-factor-cross-talk-to-gene-Aris-Borhani/b8156621a73f86eeeae54b8acc292b8617efbd24" TargetMode="External"/><Relationship Id="rId15" Type="http://schemas.openxmlformats.org/officeDocument/2006/relationships/hyperlink" Target="https://www.semanticscholar.org/paper/DNAplotlib%3A-Programmable-Visualization-of-Genetic-Der-Glassey/551849c6a4b324d5aae95fd70df05f5a52d977e5" TargetMode="External"/><Relationship Id="rId23" Type="http://schemas.openxmlformats.org/officeDocument/2006/relationships/hyperlink" Target="https://www.semanticscholar.org/paper/Development-of-a-Bacillus-subtilis-cell-free-system-Kelwick-Webb/8dd1586a15fa07c2f30b220b657cf98fb1c108a9" TargetMode="External"/><Relationship Id="rId28" Type="http://schemas.openxmlformats.org/officeDocument/2006/relationships/hyperlink" Target="https://www.semanticscholar.org/paper/Theory-and-Construction-of-Semi-Synthetic-Minimal-Stano-Luisi/691497f5d6d73037bf7cf368ad7833ea1dfc292c" TargetMode="External"/><Relationship Id="rId36" Type="http://schemas.openxmlformats.org/officeDocument/2006/relationships/hyperlink" Target="https://www.semanticscholar.org/paper/Proposed-data-model-for-the-next-version-of-the-Roehner-Oberortner/a28d213c8c079a24bac094d3f7c9970a24f44cce" TargetMode="External"/><Relationship Id="rId49" Type="http://schemas.openxmlformats.org/officeDocument/2006/relationships/hyperlink" Target="https://www.semanticscholar.org/paper/SBOL%3A-A-community-standard-for-communicating-in-Michal-Mandy/e118a2de9835602ec0da1d1f6c30acba6e1cace3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manticscholar.org/paper/Communicating-Structure-and-Function-in-Synthetic-Beal-Nguyen/fd928bd543c77845da28c0f1dd30eaebb0b3c10e" TargetMode="External"/><Relationship Id="rId13" Type="http://schemas.openxmlformats.org/officeDocument/2006/relationships/hyperlink" Target="https://www.semanticscholar.org/paper/Proceedings-of-the-2017-Winter-Simulation-Chan-D%E2%80%99Ambrogio/05e24ff19ba3e6960847d86ca82cde7c664bfd9b" TargetMode="External"/><Relationship Id="rId18" Type="http://schemas.openxmlformats.org/officeDocument/2006/relationships/hyperlink" Target="https://www.semanticscholar.org/paper/Deriving-stress-specific-biomarkers-for-Bacillus-of-Pastor-Wipat/b5347be81c0b01bf3e6b5a8c450f0920116690e4" TargetMode="External"/><Relationship Id="rId3" Type="http://schemas.openxmlformats.org/officeDocument/2006/relationships/hyperlink" Target="https://www.semanticscholar.org/paper/Flapjack%3A-a-data-management-and-analysis-tool-for-Feli%C3%BA-G%C3%B3mez/3866adc21f934ea25ee7472ce7d9eb08223daf81" TargetMode="External"/><Relationship Id="rId21" Type="http://schemas.openxmlformats.org/officeDocument/2006/relationships/table" Target="../tables/table21.xml"/><Relationship Id="rId7" Type="http://schemas.openxmlformats.org/officeDocument/2006/relationships/hyperlink" Target="https://www.semanticscholar.org/paper/Digital-Circuit-Design-for-Biological-and-Silicon-F%C3%BCgger-Kushwaha/ad2beb4ef538ad0d269b73ccc83c576d0622115f" TargetMode="External"/><Relationship Id="rId12" Type="http://schemas.openxmlformats.org/officeDocument/2006/relationships/hyperlink" Target="https://www.semanticscholar.org/paper/SynBioHub%3A-A-Standards-Enabled-Design-Repository-McLaughlin-Myers/d7e09b5e245b93e605a1207d13abe4cec70834c4" TargetMode="External"/><Relationship Id="rId17" Type="http://schemas.openxmlformats.org/officeDocument/2006/relationships/hyperlink" Target="https://www.semanticscholar.org/paper/The-SBOL-Stack%3A-A-Platform-for-Storing%2C-Publishing%2C-Madsen-McLaughlin/4c88cdab1a6db8f88a73331cd1158e6ce42b8f02" TargetMode="External"/><Relationship Id="rId2" Type="http://schemas.openxmlformats.org/officeDocument/2006/relationships/hyperlink" Target="https://www.semanticscholar.org/paper/paraSBOLv%3A-a-foundation-for-standard-compliant-Clark-Scott-Brown/71d8f5cdbf50f2f0ef2c9333a4542ddbd45f588a" TargetMode="External"/><Relationship Id="rId16" Type="http://schemas.openxmlformats.org/officeDocument/2006/relationships/hyperlink" Target="https://www.semanticscholar.org/paper/A-standard-enabled-workflow-for-synthetic-biology.-Myers-Beal/b3252fe069b409ea5126e2ff22a91c91ffcabbea" TargetMode="External"/><Relationship Id="rId20" Type="http://schemas.openxmlformats.org/officeDocument/2006/relationships/table" Target="../tables/table20.xml"/><Relationship Id="rId1" Type="http://schemas.openxmlformats.org/officeDocument/2006/relationships/hyperlink" Target="https://www.semanticscholar.org/paper/Tyto%3A-A-Python-Tool-Enabling-Better-Annotation-for-Bartley/5a98d45623e002e070fef7ce8e728dc2e09783a2" TargetMode="External"/><Relationship Id="rId6" Type="http://schemas.openxmlformats.org/officeDocument/2006/relationships/hyperlink" Target="https://www.semanticscholar.org/paper/ShortBOL%3A-A-language-for-scripting-designs-for-Open-Crowther-Grozinger/3e079a36c6ae4b424f9aa0d988f78c6b496e4fe6" TargetMode="External"/><Relationship Id="rId11" Type="http://schemas.openxmlformats.org/officeDocument/2006/relationships/hyperlink" Target="https://www.semanticscholar.org/paper/Automated-Visualization-of-Genetic-Designs-Using-Bartoli-Dixon/46a419649aba0e0bc8a17d7e3daf13316df8f1c1" TargetMode="External"/><Relationship Id="rId5" Type="http://schemas.openxmlformats.org/officeDocument/2006/relationships/hyperlink" Target="https://www.semanticscholar.org/paper/Teaching-Experience-Vershynina-Nachtergaele/6650da82ac9644e36243dda67b74ff5699179d33" TargetMode="External"/><Relationship Id="rId15" Type="http://schemas.openxmlformats.org/officeDocument/2006/relationships/hyperlink" Target="https://www.semanticscholar.org/paper/DNAplotlib%3A-Programmable-Visualization-of-Genetic-Der-Glassey/551849c6a4b324d5aae95fd70df05f5a52d977e5" TargetMode="External"/><Relationship Id="rId10" Type="http://schemas.openxmlformats.org/officeDocument/2006/relationships/hyperlink" Target="https://www.semanticscholar.org/paper/sboljs%3A-Bringing-the-Synthetic-Biology-Open-to-the-McLaughlin-Myers/73b828dfde9d9d5b86ad4040f30e6d16673791f2" TargetMode="External"/><Relationship Id="rId19" Type="http://schemas.openxmlformats.org/officeDocument/2006/relationships/drawing" Target="../drawings/drawing11.xml"/><Relationship Id="rId4" Type="http://schemas.openxmlformats.org/officeDocument/2006/relationships/hyperlink" Target="https://www.semanticscholar.org/paper/The-Synthetic-Biology-Open-Language-(SBOL)-Version-McLaughlin-Beal/6dfcd20a4abfb0f7231a755f31c04f3c44d1ac4f" TargetMode="External"/><Relationship Id="rId9" Type="http://schemas.openxmlformats.org/officeDocument/2006/relationships/hyperlink" Target="https://www.semanticscholar.org/paper/Synthetic-Biology-in-Plants%2C-a-Boon-for-Coming-Gupta-Sharma/ced6ba66f50ddc4d90eb8c451f5df66f33d9b366" TargetMode="External"/><Relationship Id="rId14" Type="http://schemas.openxmlformats.org/officeDocument/2006/relationships/hyperlink" Target="https://www.semanticscholar.org/paper/A-brief-history-of-COMBINE-Myers-Bader/8539b78b176b731c0554f6f57261d2cc80b6322a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manticscholar.org/paper/Characterizing-Genetic-Parts-and-Devices-Using-RNA-Vipin-Ignatova/ea2f1cd826d6d2898ab94cf6c16f1cf2c531cac6" TargetMode="External"/><Relationship Id="rId18" Type="http://schemas.openxmlformats.org/officeDocument/2006/relationships/hyperlink" Target="https://www.semanticscholar.org/paper/Synthetic-neural-like-computing-in-microbial-for-Li-Rizik/50ef9fc2d3f67a8801b011edb1a730e869b708d7" TargetMode="External"/><Relationship Id="rId26" Type="http://schemas.openxmlformats.org/officeDocument/2006/relationships/hyperlink" Target="https://www.semanticscholar.org/paper/From-genotypes-to-organisms%3A-State-of-the-art-and-a-Manrubia-Cuesta/a9bf299d167830bd4918088aff18f6d1869a712d" TargetMode="External"/><Relationship Id="rId39" Type="http://schemas.openxmlformats.org/officeDocument/2006/relationships/hyperlink" Target="https://www.semanticscholar.org/paper/A-standard-enabled-workflow-for-synthetic-biology.-Myers-Beal/b3252fe069b409ea5126e2ff22a91c91ffcabbea" TargetMode="External"/><Relationship Id="rId21" Type="http://schemas.openxmlformats.org/officeDocument/2006/relationships/hyperlink" Target="https://www.semanticscholar.org/paper/BioCRNpyler%3A-Compiling-chemical-reaction-networks-Poole-Pandey/85c73df7367ba020377933a7e7f69ba3c5b9564c" TargetMode="External"/><Relationship Id="rId34" Type="http://schemas.openxmlformats.org/officeDocument/2006/relationships/hyperlink" Target="https://www.semanticscholar.org/paper/Engineering-DNA-vaccines-against-infectious-Lee-Kumar/8178b6727c4ad5c156cc7671a1473d4802a3c1fa" TargetMode="External"/><Relationship Id="rId42" Type="http://schemas.openxmlformats.org/officeDocument/2006/relationships/drawing" Target="../drawings/drawing12.xml"/><Relationship Id="rId7" Type="http://schemas.openxmlformats.org/officeDocument/2006/relationships/hyperlink" Target="https://www.semanticscholar.org/paper/Genetic-circuit-design-automation-with-Cello-2.0-Jones-Oliveira/9f5f8e858c13595cd75eeef746fd9e8b6e9f48f5" TargetMode="External"/><Relationship Id="rId2" Type="http://schemas.openxmlformats.org/officeDocument/2006/relationships/hyperlink" Target="https://www.semanticscholar.org/paper/Genetic-Parts-and-Enabling-Tools-for-Biocircuit-Buson-Gao/dc9b8f6aba3ffff97b2b02b91cd46faf7bf655d9" TargetMode="External"/><Relationship Id="rId16" Type="http://schemas.openxmlformats.org/officeDocument/2006/relationships/hyperlink" Target="https://www.semanticscholar.org/paper/Combinatorial-metabolic-pathway-assembly-approaches-Young-Haines/62ce435ae8ac90cc841fb66e2ccae669922efbb4" TargetMode="External"/><Relationship Id="rId20" Type="http://schemas.openxmlformats.org/officeDocument/2006/relationships/hyperlink" Target="https://www.semanticscholar.org/paper/A-role-for-Biofoundries-in-rapid-development-and-of-Crone-Priestman/40ccb96d90eced9ab149c919e7c56b41455f7760" TargetMode="External"/><Relationship Id="rId29" Type="http://schemas.openxmlformats.org/officeDocument/2006/relationships/hyperlink" Target="https://www.semanticscholar.org/paper/Communicating-Structure-and-Function-in-Synthetic-Beal-Nguyen/fd928bd543c77845da28c0f1dd30eaebb0b3c10e" TargetMode="External"/><Relationship Id="rId41" Type="http://schemas.openxmlformats.org/officeDocument/2006/relationships/hyperlink" Target="https://www.semanticscholar.org/paper/Agent-based-modelling-in-synthetic-biology-Gorochowski/cfd1c88a43d96b916de2e4bacf081aa52a0f4173" TargetMode="External"/><Relationship Id="rId1" Type="http://schemas.openxmlformats.org/officeDocument/2006/relationships/hyperlink" Target="https://www.semanticscholar.org/paper/Specifications-of-standards-in-systems-and-biology%3A-Golebiewski-Bader/ea67fe2db24f8615bfe0aef923986875d422f345" TargetMode="External"/><Relationship Id="rId6" Type="http://schemas.openxmlformats.org/officeDocument/2006/relationships/hyperlink" Target="https://www.semanticscholar.org/paper/Tyto%3A-A-Python-Tool-Enabling-Better-Annotation-for-Bartley/5a98d45623e002e070fef7ce8e728dc2e09783a2" TargetMode="External"/><Relationship Id="rId11" Type="http://schemas.openxmlformats.org/officeDocument/2006/relationships/hyperlink" Target="https://www.semanticscholar.org/paper/Massively-parallel-characterization-of-engineered-Tarnowski-Gorochowski/53c6e7eec4292c465dadabc41b767962472d37f8" TargetMode="External"/><Relationship Id="rId24" Type="http://schemas.openxmlformats.org/officeDocument/2006/relationships/hyperlink" Target="https://www.semanticscholar.org/paper/Dynamical-model-fitting-to-a-synthetic-positive-in-Isalan-Tica/ce39a5e753ee7ecf44c22bdff97f9041a8910ba6" TargetMode="External"/><Relationship Id="rId32" Type="http://schemas.openxmlformats.org/officeDocument/2006/relationships/hyperlink" Target="https://www.semanticscholar.org/paper/Plant-Synthetic-Biology%3A-Quantifying-the-%E2%80%9CKnown-and-Wright-Nemhauser/93bc681c9a63b88cf154087962769f20a22b251e" TargetMode="External"/><Relationship Id="rId37" Type="http://schemas.openxmlformats.org/officeDocument/2006/relationships/hyperlink" Target="https://www.semanticscholar.org/paper/Genetic-circuit-characterization-and-debugging-Gorochowski-Borujeni/6bba2b72a66ce6378a1bc30c1564d6d6a5e389c5" TargetMode="External"/><Relationship Id="rId40" Type="http://schemas.openxmlformats.org/officeDocument/2006/relationships/hyperlink" Target="https://www.semanticscholar.org/paper/Internal-workings-of-a-genetic-circuit-Gorochowski-Borujeni/a101800fd0b44ec29b81c245df6cb7fb86096d21" TargetMode="External"/><Relationship Id="rId5" Type="http://schemas.openxmlformats.org/officeDocument/2006/relationships/hyperlink" Target="https://www.semanticscholar.org/paper/Cross-kingdom-expression-of-synthetic-genetic-of-in-Patel-Oh/dc79bc182d95eb2b8e93c2e80bb74917756d3b92" TargetMode="External"/><Relationship Id="rId15" Type="http://schemas.openxmlformats.org/officeDocument/2006/relationships/hyperlink" Target="https://www.semanticscholar.org/paper/Engineering-Logical-Inflammation-Sensing-and-for-Merk/15f4b59b8d71d7466746c5493911a928fac16425" TargetMode="External"/><Relationship Id="rId23" Type="http://schemas.openxmlformats.org/officeDocument/2006/relationships/hyperlink" Target="https://www.semanticscholar.org/paper/Cheetah%3A-a-computational-toolkit-for-cybergenetic-Pedone-Cesare/d46f4c7d119756bf8e2f1c5a8473573dd29ca52f" TargetMode="External"/><Relationship Id="rId28" Type="http://schemas.openxmlformats.org/officeDocument/2006/relationships/hyperlink" Target="https://www.semanticscholar.org/paper/Simultaneous-repression-of-multiple-bacterial-genes-Reis-Halper/4742e1d4174f5094340228800dff5018b9117cc4" TargetMode="External"/><Relationship Id="rId36" Type="http://schemas.openxmlformats.org/officeDocument/2006/relationships/hyperlink" Target="https://www.semanticscholar.org/paper/SynBioHub%3A-A-Standards-Enabled-Design-Repository-McLaughlin-Myers/d7e09b5e245b93e605a1207d13abe4cec70834c4" TargetMode="External"/><Relationship Id="rId10" Type="http://schemas.openxmlformats.org/officeDocument/2006/relationships/hyperlink" Target="https://www.semanticscholar.org/paper/Virtual-Parts-Repository-2%3A-Model-driven-design-of-Misirli-Yang/dcdb229c321d6c3ced65630073a84b0c47642f4f" TargetMode="External"/><Relationship Id="rId19" Type="http://schemas.openxmlformats.org/officeDocument/2006/relationships/hyperlink" Target="https://www.semanticscholar.org/paper/The-Synthetic-Biology-Open-Language-(SBOL)-Version-McLaughlin-Beal/6dfcd20a4abfb0f7231a755f31c04f3c44d1ac4f" TargetMode="External"/><Relationship Id="rId31" Type="http://schemas.openxmlformats.org/officeDocument/2006/relationships/hyperlink" Target="https://www.semanticscholar.org/paper/An-Automated-Biomodel-Selection-System-(BMSS)-for-Yeoh-Ng/0ca118a5d4b84ab9feede891bfe25badb2528927" TargetMode="External"/><Relationship Id="rId44" Type="http://schemas.openxmlformats.org/officeDocument/2006/relationships/table" Target="../tables/table23.xml"/><Relationship Id="rId4" Type="http://schemas.openxmlformats.org/officeDocument/2006/relationships/hyperlink" Target="https://www.semanticscholar.org/paper/Pan-genome-survey-of-the-fish-pathogen-Yersinia-and-Riborg-Gulla/05da3c33800784a09da7e6c534a60b4ec3c3761c" TargetMode="External"/><Relationship Id="rId9" Type="http://schemas.openxmlformats.org/officeDocument/2006/relationships/hyperlink" Target="https://www.semanticscholar.org/paper/Evolution-of-genome-fragility-enables-microbial-of-Colizzi-Dijk/30b8fc584eefd623bf0e9366309927cf0565ded4" TargetMode="External"/><Relationship Id="rId14" Type="http://schemas.openxmlformats.org/officeDocument/2006/relationships/hyperlink" Target="https://www.semanticscholar.org/paper/Engineering-Sensors-for-Gene-Expression-Burden.-Boo-Ceroni/c1e84c04b5433802852d87c1999b5fcba7e5cbc4" TargetMode="External"/><Relationship Id="rId22" Type="http://schemas.openxmlformats.org/officeDocument/2006/relationships/hyperlink" Target="https://www.semanticscholar.org/paper/Harnessing-the-central-dogma-for-stringent-control-Greco-Pandi/f830d7ce1405bda09d220f0f676f2ef4fd41a9cb" TargetMode="External"/><Relationship Id="rId27" Type="http://schemas.openxmlformats.org/officeDocument/2006/relationships/hyperlink" Target="https://www.semanticscholar.org/paper/DNA-Features-Viewer%2C-a-sequence-annotations-and-for-Zulkower-Rosser/2539ed2a518f604511faa22716a936b21f715efd" TargetMode="External"/><Relationship Id="rId30" Type="http://schemas.openxmlformats.org/officeDocument/2006/relationships/hyperlink" Target="https://www.semanticscholar.org/paper/Tunable-genetic-devices-through-simultaneous-of-and-Bartoli-Meaker/253dfc9ae08dce2e8ce7cb541b545829ba10d7b3" TargetMode="External"/><Relationship Id="rId35" Type="http://schemas.openxmlformats.org/officeDocument/2006/relationships/hyperlink" Target="https://www.semanticscholar.org/paper/Automated-Visualization-of-Genetic-Designs-Using-Bartoli-Dixon/46a419649aba0e0bc8a17d7e3daf13316df8f1c1" TargetMode="External"/><Relationship Id="rId43" Type="http://schemas.openxmlformats.org/officeDocument/2006/relationships/table" Target="../tables/table22.xml"/><Relationship Id="rId8" Type="http://schemas.openxmlformats.org/officeDocument/2006/relationships/hyperlink" Target="https://www.semanticscholar.org/paper/paraSBOLv%3A-a-foundation-for-standard-compliant-Clark-Scott-Brown/71d8f5cdbf50f2f0ef2c9333a4542ddbd45f588a" TargetMode="External"/><Relationship Id="rId3" Type="http://schemas.openxmlformats.org/officeDocument/2006/relationships/hyperlink" Target="https://www.semanticscholar.org/paper/Living-Material-with-Temperature%E2%80%90Dependent-Light-Xiong-Garrett/ed1ea72c54d373eb823a759bcd177386c3a0b154" TargetMode="External"/><Relationship Id="rId12" Type="http://schemas.openxmlformats.org/officeDocument/2006/relationships/hyperlink" Target="https://www.semanticscholar.org/paper/SynBiopython%3A-an-open-source-software-library-for-Yeoh-Swainston/1f3894b3d7aba2c48d01ca4b191d717a12a28c14" TargetMode="External"/><Relationship Id="rId17" Type="http://schemas.openxmlformats.org/officeDocument/2006/relationships/hyperlink" Target="https://www.semanticscholar.org/paper/Diagnostic-and-Therapeutic-Microbial-Circuit-with-Merk-Shur/6ae56146e342f35f0d31f03120687cfed9b1f541" TargetMode="External"/><Relationship Id="rId25" Type="http://schemas.openxmlformats.org/officeDocument/2006/relationships/hyperlink" Target="https://www.semanticscholar.org/paper/Sparse-estimation-of-mutual-information-landscapes-Sarkar-Tack/58dc7818631fd1c31ed3a541bf563eeacde6332a" TargetMode="External"/><Relationship Id="rId33" Type="http://schemas.openxmlformats.org/officeDocument/2006/relationships/hyperlink" Target="https://www.semanticscholar.org/paper/Towards-an-Aspect-Oriented-Design-and-Modelling-for-Boeing-Leon/1ae21bda5e1a9b09a245d93fc9e207eae45ba47f" TargetMode="External"/><Relationship Id="rId38" Type="http://schemas.openxmlformats.org/officeDocument/2006/relationships/hyperlink" Target="https://www.semanticscholar.org/paper/Burden-driven-feedback-control-of-gene-expression-Ceroni-Boo/28a899927abb565dbfcf018d0c2dcdc5f685ca5d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manticscholar.org/paper/The-Synthetic-Biology-Open-Language-(SBOL)-Version-McLaughlin-Beal/6dfcd20a4abfb0f7231a755f31c04f3c44d1ac4f" TargetMode="External"/><Relationship Id="rId18" Type="http://schemas.openxmlformats.org/officeDocument/2006/relationships/hyperlink" Target="https://www.semanticscholar.org/paper/The-first-10-years-of-the-international-network-for-Waltemath-Golebiewski/56fcb0902e43ea4d8c9778643adcee5e52d56087" TargetMode="External"/><Relationship Id="rId26" Type="http://schemas.openxmlformats.org/officeDocument/2006/relationships/hyperlink" Target="https://www.semanticscholar.org/paper/Phase-space-characterization-for-gene-circuit-Silva-Mat%C3%BAte/48f5a0632449f0ae4323b59ee472663a9962bf0f" TargetMode="External"/><Relationship Id="rId39" Type="http://schemas.openxmlformats.org/officeDocument/2006/relationships/drawing" Target="../drawings/drawing13.xml"/><Relationship Id="rId21" Type="http://schemas.openxmlformats.org/officeDocument/2006/relationships/hyperlink" Target="https://www.semanticscholar.org/paper/Fundamentals-of-Molecular-Biology-and-Genetic-Baig-Madsen/baf95bfe965fc3b3d40ae6fe47462974cf645609" TargetMode="External"/><Relationship Id="rId34" Type="http://schemas.openxmlformats.org/officeDocument/2006/relationships/hyperlink" Target="https://www.semanticscholar.org/paper/SynBioHub%3A-A-Standards-Enabled-Design-Repository-McLaughlin-Myers/d7e09b5e245b93e605a1207d13abe4cec70834c4" TargetMode="External"/><Relationship Id="rId7" Type="http://schemas.openxmlformats.org/officeDocument/2006/relationships/hyperlink" Target="https://www.semanticscholar.org/paper/BioParts-A-Biological-Parts-Search-Portal-and-to-Plahar-Rich/bb9dde6ebf15f1ea1dea06cb7cf4203b89496daf" TargetMode="External"/><Relationship Id="rId2" Type="http://schemas.openxmlformats.org/officeDocument/2006/relationships/hyperlink" Target="https://www.semanticscholar.org/paper/Technologies-for-design-build-test-learn-automation-Matzko-Konur/b7ebf5cc0cdb31adc80effde28168f8f01dc75c8" TargetMode="External"/><Relationship Id="rId16" Type="http://schemas.openxmlformats.org/officeDocument/2006/relationships/hyperlink" Target="https://www.semanticscholar.org/paper/Enhanced-production-of-taxadiene-in-Saccharomyces-Nowrouzi-Li/7aca4f4068b7f874ede948ea116f6293c64e4d1f" TargetMode="External"/><Relationship Id="rId20" Type="http://schemas.openxmlformats.org/officeDocument/2006/relationships/hyperlink" Target="https://www.semanticscholar.org/paper/Opinion-Plant-Biosystem-Design-Research-Roadmap-1.0-Yang-Medford/d435f091657b5a83407266684dc3fa904ddafb73" TargetMode="External"/><Relationship Id="rId29" Type="http://schemas.openxmlformats.org/officeDocument/2006/relationships/hyperlink" Target="https://www.semanticscholar.org/paper/Scalable-and-Reproducible-Modeling-and-Simulation-Watanabe/fbe5e0424bdc19e0b333f5130d8be54d0af74124" TargetMode="External"/><Relationship Id="rId41" Type="http://schemas.openxmlformats.org/officeDocument/2006/relationships/table" Target="../tables/table25.xml"/><Relationship Id="rId1" Type="http://schemas.openxmlformats.org/officeDocument/2006/relationships/hyperlink" Target="https://www.semanticscholar.org/paper/GOLDBAR%3A-A-Framework-for-Combinatorial-Biological-Roehner-Roberts/da5757359f6a7d1744040e0bd6b029bd3fc0cbe0" TargetMode="External"/><Relationship Id="rId6" Type="http://schemas.openxmlformats.org/officeDocument/2006/relationships/hyperlink" Target="https://www.semanticscholar.org/paper/Stochastic-Hazard-Analysis-of-Genetic-Circuits-in-Buecherl-Roberts/54a62c24ef4c376f44daaea5303fef85f60538b1" TargetMode="External"/><Relationship Id="rId11" Type="http://schemas.openxmlformats.org/officeDocument/2006/relationships/hyperlink" Target="https://www.semanticscholar.org/paper/Plant-Biosystems-Design-Research-Roadmap-1.0-Yang-Medford/73a2fd22c1fe02bb394f73671de98d49ce43ffd5" TargetMode="External"/><Relationship Id="rId24" Type="http://schemas.openxmlformats.org/officeDocument/2006/relationships/hyperlink" Target="https://www.semanticscholar.org/paper/A-Computational-Workflow-for-the-Automated-of-of-Misirli-Nguyen/92d96e75a6bbc39c0ee4eafed1542bd59db53adc" TargetMode="External"/><Relationship Id="rId32" Type="http://schemas.openxmlformats.org/officeDocument/2006/relationships/hyperlink" Target="https://www.semanticscholar.org/paper/Standardization-in-synthetic-biology%3A-an-discipline-Decoene-Paepe/503f1f6190665981a80862a96dc70a9e1675b450" TargetMode="External"/><Relationship Id="rId37" Type="http://schemas.openxmlformats.org/officeDocument/2006/relationships/hyperlink" Target="https://www.semanticscholar.org/paper/Methods-and-Tools-for-the-Analysis%2C-Verification-of-Baig/9cd0e3b4dac888473637d2d84589f8cc200c51b2" TargetMode="External"/><Relationship Id="rId40" Type="http://schemas.openxmlformats.org/officeDocument/2006/relationships/table" Target="../tables/table24.xml"/><Relationship Id="rId5" Type="http://schemas.openxmlformats.org/officeDocument/2006/relationships/hyperlink" Target="https://www.semanticscholar.org/paper/Synthetic-Biology-Curation-Tools-(SYNBICT).-Roehner-Mante/0b9880f862dfc1f36e5fb587220eb2e824dda381" TargetMode="External"/><Relationship Id="rId15" Type="http://schemas.openxmlformats.org/officeDocument/2006/relationships/hyperlink" Target="https://www.semanticscholar.org/paper/Data-driven-rational-biosynthesis-design%3A-from-to-Chen-Yuan/c258ab01a28c2b4c2245c83efbfb960819a623f6" TargetMode="External"/><Relationship Id="rId23" Type="http://schemas.openxmlformats.org/officeDocument/2006/relationships/hyperlink" Target="https://www.semanticscholar.org/paper/Communicating-Structure-and-Function-in-Synthetic-Beal-Nguyen/fd928bd543c77845da28c0f1dd30eaebb0b3c10e" TargetMode="External"/><Relationship Id="rId28" Type="http://schemas.openxmlformats.org/officeDocument/2006/relationships/hyperlink" Target="https://www.semanticscholar.org/paper/Better-research-by-efficient-sharing%3A-evaluation-of-Urquiza-Garc%C3%ADa-Zieli%C5%84ski/c4bfc886d000cbdf2252b1b63c6cf0d4f65318d7" TargetMode="External"/><Relationship Id="rId36" Type="http://schemas.openxmlformats.org/officeDocument/2006/relationships/hyperlink" Target="https://www.semanticscholar.org/paper/PartsGenie%3A-an-integrated-tool-for-optimising-and-Swainston-Dunstan/ae84b9b0090c454eb6e3d4845e38cf0bf7b9ece9" TargetMode="External"/><Relationship Id="rId10" Type="http://schemas.openxmlformats.org/officeDocument/2006/relationships/hyperlink" Target="https://www.semanticscholar.org/paper/Status-and-Challenges-of-Reproducibility-in-Systems-Choi-Karr/e7d74d722cc0148cb46a3ece0998fa0e4c45cf2f" TargetMode="External"/><Relationship Id="rId19" Type="http://schemas.openxmlformats.org/officeDocument/2006/relationships/hyperlink" Target="https://www.semanticscholar.org/paper/ShortBOL%3A-A-language-for-scripting-designs-for-Open-Crowther-Grozinger/3e079a36c6ae4b424f9aa0d988f78c6b496e4fe6" TargetMode="External"/><Relationship Id="rId31" Type="http://schemas.openxmlformats.org/officeDocument/2006/relationships/hyperlink" Target="https://www.semanticscholar.org/paper/Opening-options-for-material-transfer-Kahl-Molloy/1c9012fc36b3e8429a5d2b8453549ee1fcf75cd6" TargetMode="External"/><Relationship Id="rId4" Type="http://schemas.openxmlformats.org/officeDocument/2006/relationships/hyperlink" Target="https://www.semanticscholar.org/paper/SynBio2Easy%E2%80%94a-biologist-friendly-tool-for-batch-on-Zieli%C5%84ski-Hay/9aee48f26287f0e14a17622cf812e4c306fd04c6" TargetMode="External"/><Relationship Id="rId9" Type="http://schemas.openxmlformats.org/officeDocument/2006/relationships/hyperlink" Target="https://www.semanticscholar.org/paper/Virtual-Parts-Repository-2%3A-Model-driven-design-of-Misirli-Yang/dcdb229c321d6c3ced65630073a84b0c47642f4f" TargetMode="External"/><Relationship Id="rId14" Type="http://schemas.openxmlformats.org/officeDocument/2006/relationships/hyperlink" Target="https://www.semanticscholar.org/paper/Genetic-Circuit-Dynamics%3A-Hazard-and-Glitch-Fontanarrosa-Doosthosseini/e627238f2ece6b809603421a6e07763d370136c4" TargetMode="External"/><Relationship Id="rId22" Type="http://schemas.openxmlformats.org/officeDocument/2006/relationships/hyperlink" Target="https://www.semanticscholar.org/paper/SBOLExplorer%3A-Data-Infrastructure-and-Data-Mining-Zhang-Zundel/4bfbe2f54ca095eef6eb0eb5b0982dd1fe33caf5" TargetMode="External"/><Relationship Id="rId27" Type="http://schemas.openxmlformats.org/officeDocument/2006/relationships/hyperlink" Target="https://www.semanticscholar.org/paper/Plant-Synthetic-Biology%3A-Quantifying-the-%E2%80%9CKnown-and-Wright-Nemhauser/93bc681c9a63b88cf154087962769f20a22b251e" TargetMode="External"/><Relationship Id="rId30" Type="http://schemas.openxmlformats.org/officeDocument/2006/relationships/hyperlink" Target="https://www.semanticscholar.org/paper/The-Synthetic-Biology-Open-Language-Supports-of-the-Bartley-Atallah/20a4657a2aae8d81143ab3c3d340c5ca76f7c165" TargetMode="External"/><Relationship Id="rId35" Type="http://schemas.openxmlformats.org/officeDocument/2006/relationships/hyperlink" Target="https://www.semanticscholar.org/paper/Standard-Enabled-Model-Generator-for-Genetic-Design-Misirli-Wipat/995577dd28da1658892bfc504d1d0ae1a66cf8cc" TargetMode="External"/><Relationship Id="rId8" Type="http://schemas.openxmlformats.org/officeDocument/2006/relationships/hyperlink" Target="https://www.semanticscholar.org/paper/paraSBOLv%3A-a-foundation-for-standard-compliant-Clark-Scott-Brown/71d8f5cdbf50f2f0ef2c9333a4542ddbd45f588a" TargetMode="External"/><Relationship Id="rId3" Type="http://schemas.openxmlformats.org/officeDocument/2006/relationships/hyperlink" Target="https://www.semanticscholar.org/paper/pyBrick-DNA%3A-A-Python-Based-Environment-for-Genetic-Rozas-Mandujano/2b243346c4715c0900b0040539011c47900e3cab" TargetMode="External"/><Relationship Id="rId12" Type="http://schemas.openxmlformats.org/officeDocument/2006/relationships/hyperlink" Target="https://www.semanticscholar.org/paper/Flapjack%3A-a-data-management-and-analysis-tool-for-Feli%C3%BA-G%C3%B3mez/3866adc21f934ea25ee7472ce7d9eb08223daf81" TargetMode="External"/><Relationship Id="rId17" Type="http://schemas.openxmlformats.org/officeDocument/2006/relationships/hyperlink" Target="https://www.semanticscholar.org/paper/Synthetic-biology-open-language-(SBOL)-version-Baig-Fontanarrosa/8bc672d75aae7c86da1d578941352ef2324bb614" TargetMode="External"/><Relationship Id="rId25" Type="http://schemas.openxmlformats.org/officeDocument/2006/relationships/hyperlink" Target="https://www.semanticscholar.org/paper/Specifying-Combinatorial-Designs-with-the-Synthetic-Roehner-Bartley/583729aa951d4fc8f3ad15f0a9d724d9c35c0670" TargetMode="External"/><Relationship Id="rId33" Type="http://schemas.openxmlformats.org/officeDocument/2006/relationships/hyperlink" Target="https://www.semanticscholar.org/paper/iBioSim-3%3A-A-Tool-for-Model-Based-Genetic-Circuit-Watanabe-Nguyen/be70398953b96aae69d7ebcaf3072f36ed75e0b3" TargetMode="External"/><Relationship Id="rId38" Type="http://schemas.openxmlformats.org/officeDocument/2006/relationships/hyperlink" Target="https://www.semanticscholar.org/paper/Edinburgh-Research-Explorer-Better-research-by-Urquiza-Garc%C4%B1%C2%B4a-nski/23a0ed74fa76da61defdc51c1a2248b39468fbe2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manticscholar.org/paper/A-Visual-Comprehensive-Evaluation-of-Cultural-and-Luo-Liu/63adc78b57ac7ca01ba4977081a4fe4e2c4e227f" TargetMode="External"/><Relationship Id="rId7" Type="http://schemas.openxmlformats.org/officeDocument/2006/relationships/table" Target="../tables/table27.xml"/><Relationship Id="rId2" Type="http://schemas.openxmlformats.org/officeDocument/2006/relationships/hyperlink" Target="https://www.semanticscholar.org/paper/Specifications-of-standards-in-systems-and-biology%3A-Golebiewski-Bader/ea67fe2db24f8615bfe0aef923986875d422f345" TargetMode="External"/><Relationship Id="rId1" Type="http://schemas.openxmlformats.org/officeDocument/2006/relationships/hyperlink" Target="https://www.semanticscholar.org/paper/Structure-guided-design-of-protein-attachment-for-S%C3%B8rensen-James/bff103f67f1d78b772794a754f7a7b7a9818ebf1" TargetMode="External"/><Relationship Id="rId6" Type="http://schemas.openxmlformats.org/officeDocument/2006/relationships/table" Target="../tables/table26.xml"/><Relationship Id="rId5" Type="http://schemas.openxmlformats.org/officeDocument/2006/relationships/drawing" Target="../drawings/drawing14.xml"/><Relationship Id="rId4" Type="http://schemas.openxmlformats.org/officeDocument/2006/relationships/hyperlink" Target="https://www.semanticscholar.org/paper/Tyto%3A-A-Python-Tool-Enabling-Better-Annotation-for-Bartley/5a98d45623e002e070fef7ce8e728dc2e09783a2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manticscholar.org/paper/LOICA%3A-Integrating-Models-with-Data-for-Genetic-Vidal-Vitalis/9604dc65f03e66b2a6fdc7e4b6b3f2b55d67f368" TargetMode="External"/><Relationship Id="rId13" Type="http://schemas.openxmlformats.org/officeDocument/2006/relationships/table" Target="../tables/table28.xml"/><Relationship Id="rId3" Type="http://schemas.openxmlformats.org/officeDocument/2006/relationships/hyperlink" Target="https://www.semanticscholar.org/paper/Specifications-of-standards-in-systems-and-biology%3A-Golebiewski-Bader/ea67fe2db24f8615bfe0aef923986875d422f345" TargetMode="External"/><Relationship Id="rId7" Type="http://schemas.openxmlformats.org/officeDocument/2006/relationships/hyperlink" Target="https://www.semanticscholar.org/paper/Engineering-genetic-circuits%3A-advancements-in-tools-Buecherl-Myers/d608bf8ab0d596dc5ea50b4250a83f57a61950d8" TargetMode="External"/><Relationship Id="rId12" Type="http://schemas.openxmlformats.org/officeDocument/2006/relationships/drawing" Target="../drawings/drawing15.xml"/><Relationship Id="rId2" Type="http://schemas.openxmlformats.org/officeDocument/2006/relationships/hyperlink" Target="https://www.semanticscholar.org/paper/Energy-Aware-Technology-Mapping-of-Genetic-Logic-Kubaczka-Gehri/368d1ff5f2248a6d4f3ecbcc3436ad699bd62826" TargetMode="External"/><Relationship Id="rId1" Type="http://schemas.openxmlformats.org/officeDocument/2006/relationships/hyperlink" Target="https://www.semanticscholar.org/paper/Translating-weighted-probabilistic-bits-to-genetic-Ciccone-Messina/d7e3ab773e7092cd85563a6dd02c81c4c8cd76c0" TargetMode="External"/><Relationship Id="rId6" Type="http://schemas.openxmlformats.org/officeDocument/2006/relationships/hyperlink" Target="https://www.semanticscholar.org/paper/Excel-SBOL-Converter%3A-Creating-SBOL-from-Excel-and-Mante-Abam/78120c98d455d821d36047635faab2d060e240ee" TargetMode="External"/><Relationship Id="rId11" Type="http://schemas.openxmlformats.org/officeDocument/2006/relationships/hyperlink" Target="https://www.semanticscholar.org/paper/Digitalized-design-of-cell-factory-enables-green-of-Meng-Cao/83ba7e6b5a11e8bda41b119c423a0ad1fdd57bcb" TargetMode="External"/><Relationship Id="rId5" Type="http://schemas.openxmlformats.org/officeDocument/2006/relationships/hyperlink" Target="https://www.semanticscholar.org/paper/SynBioSuite%3A-A-Tool-for-Improving-the-Workflow-for-Sents-Stoughton/f9fcd46ddd13318add37a865c20c2a0e681543a3" TargetMode="External"/><Relationship Id="rId10" Type="http://schemas.openxmlformats.org/officeDocument/2006/relationships/hyperlink" Target="https://www.semanticscholar.org/paper/paraSBOLv%3A-a-foundation-for-standard-compliant-Clark-Scott-Brown/71d8f5cdbf50f2f0ef2c9333a4542ddbd45f588a" TargetMode="External"/><Relationship Id="rId4" Type="http://schemas.openxmlformats.org/officeDocument/2006/relationships/hyperlink" Target="https://www.semanticscholar.org/paper/pyBrick-DNA%3A-A-Python-Based-Environment-for-Genetic-Rozas-Mandujano/2b243346c4715c0900b0040539011c47900e3cab" TargetMode="External"/><Relationship Id="rId9" Type="http://schemas.openxmlformats.org/officeDocument/2006/relationships/hyperlink" Target="https://www.semanticscholar.org/paper/Synthetic-Biology-Knowledge-System.-Mante-Hao/dd88c7849525a983cab0239b878fcebbc2d10ef1" TargetMode="External"/><Relationship Id="rId14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3367-1379-2948-A00C-162C51E0AE56}">
  <sheetPr>
    <tabColor theme="4"/>
  </sheetPr>
  <dimension ref="A1:C89"/>
  <sheetViews>
    <sheetView topLeftCell="A17" zoomScale="140" zoomScaleNormal="140" workbookViewId="0">
      <selection activeCell="F21" sqref="F21"/>
    </sheetView>
  </sheetViews>
  <sheetFormatPr baseColWidth="10" defaultColWidth="11.140625" defaultRowHeight="16" x14ac:dyDescent="0.2"/>
  <cols>
    <col min="1" max="1" width="11.140625" customWidth="1"/>
  </cols>
  <sheetData>
    <row r="1" spans="1:3" ht="20" x14ac:dyDescent="0.2">
      <c r="A1" s="1" t="s">
        <v>0</v>
      </c>
    </row>
    <row r="2" spans="1:3" ht="20" x14ac:dyDescent="0.2">
      <c r="A2" s="1"/>
    </row>
    <row r="3" spans="1:3" x14ac:dyDescent="0.2">
      <c r="A3" t="s">
        <v>2</v>
      </c>
      <c r="B3" t="s">
        <v>202</v>
      </c>
      <c r="C3" t="s">
        <v>203</v>
      </c>
    </row>
    <row r="4" spans="1:3" x14ac:dyDescent="0.2">
      <c r="A4">
        <v>2013</v>
      </c>
      <c r="B4">
        <f>SUM('2013'!E5,'2015'!E5,'2018'!E5,'2019'!E5,'2020'!E5,'2020 Ontology'!E5,'2021'!E5,'2021 3.0'!E5)</f>
        <v>6</v>
      </c>
      <c r="C4">
        <f>SUM('2013 Pigeon'!E5,'2016 VisBOL'!E5,'2017 DNAplotlib'!E5,'2017 SBOLDesigner 2'!E5,'2021 paraSBOL'!E5,'2021 SBOLCanvas'!E5)</f>
        <v>5</v>
      </c>
    </row>
    <row r="5" spans="1:3" x14ac:dyDescent="0.2">
      <c r="A5">
        <v>2014</v>
      </c>
      <c r="B5">
        <f>SUM('2013'!E6,'2015'!E6,'2018'!E6,'2019'!E6,'2020'!E6,'2020 Ontology'!E6,'2021'!E6,'2021 3.0'!E6)</f>
        <v>8</v>
      </c>
      <c r="C5">
        <f>SUM('2013 Pigeon'!E6,'2016 VisBOL'!E6,'2017 DNAplotlib'!E6,'2017 SBOLDesigner 2'!E6,'2021 paraSBOL'!E6,'2021 SBOLCanvas'!E6)</f>
        <v>9</v>
      </c>
    </row>
    <row r="6" spans="1:3" x14ac:dyDescent="0.2">
      <c r="A6">
        <v>2015</v>
      </c>
      <c r="B6">
        <f>SUM('2013'!E7,'2015'!E7,'2018'!E7,'2019'!E7,'2020'!E7,'2020 Ontology'!E7,'2021'!E7,'2021 3.0'!E7)</f>
        <v>6</v>
      </c>
      <c r="C6">
        <f>SUM('2013 Pigeon'!E7,'2016 VisBOL'!E7,'2017 DNAplotlib'!E7,'2017 SBOLDesigner 2'!E7,'2021 paraSBOL'!E7,'2021 SBOLCanvas'!E7)</f>
        <v>6</v>
      </c>
    </row>
    <row r="7" spans="1:3" x14ac:dyDescent="0.2">
      <c r="A7">
        <v>2016</v>
      </c>
      <c r="B7">
        <f>SUM('2013'!E8,'2015'!E8,'2018'!E8,'2019'!E8,'2020'!E8,'2020 Ontology'!E8,'2021'!E8,'2021 3.0'!E8)</f>
        <v>18</v>
      </c>
      <c r="C7">
        <f>SUM('2013 Pigeon'!E8,'2016 VisBOL'!E8,'2017 DNAplotlib'!E8,'2017 SBOLDesigner 2'!E8,'2021 paraSBOL'!E8,'2021 SBOLCanvas'!E8)</f>
        <v>13</v>
      </c>
    </row>
    <row r="8" spans="1:3" x14ac:dyDescent="0.2">
      <c r="A8">
        <v>2017</v>
      </c>
      <c r="B8">
        <f>SUM('2013'!E9,'2015'!E9,'2018'!E9,'2019'!E9,'2020'!E9,'2020 Ontology'!E9,'2021'!E9,'2021 3.0'!E9)</f>
        <v>25</v>
      </c>
      <c r="C8">
        <f>SUM('2013 Pigeon'!E9,'2016 VisBOL'!E9,'2017 DNAplotlib'!E9,'2017 SBOLDesigner 2'!E9,'2021 paraSBOL'!E9,'2021 SBOLCanvas'!E9)</f>
        <v>21</v>
      </c>
    </row>
    <row r="9" spans="1:3" x14ac:dyDescent="0.2">
      <c r="A9">
        <v>2018</v>
      </c>
      <c r="B9">
        <f>SUM('2013'!E10,'2015'!E10,'2018'!E10,'2019'!E10,'2020'!E10,'2020 Ontology'!E10,'2021'!E10,'2021 3.0'!E10)</f>
        <v>11</v>
      </c>
      <c r="C9">
        <f>SUM('2013 Pigeon'!E10,'2016 VisBOL'!E10,'2017 DNAplotlib'!E10,'2017 SBOLDesigner 2'!E10,'2021 paraSBOL'!E10,'2021 SBOLCanvas'!E10)</f>
        <v>15</v>
      </c>
    </row>
    <row r="10" spans="1:3" x14ac:dyDescent="0.2">
      <c r="A10">
        <v>2019</v>
      </c>
      <c r="B10">
        <f>SUM('2013'!E11,'2015'!E11,'2018'!E11,'2019'!E11,'2020'!E11,'2020 Ontology'!E11,'2021'!E11,'2021 3.0'!E11)</f>
        <v>29</v>
      </c>
      <c r="C10">
        <f>SUM('2013 Pigeon'!E11,'2016 VisBOL'!E11,'2017 DNAplotlib'!E11,'2017 SBOLDesigner 2'!E11,'2021 paraSBOL'!E11,'2021 SBOLCanvas'!E11)</f>
        <v>20</v>
      </c>
    </row>
    <row r="11" spans="1:3" x14ac:dyDescent="0.2">
      <c r="A11">
        <v>2020</v>
      </c>
      <c r="B11">
        <f>SUM('2013'!E12,'2015'!E12,'2018'!E12,'2019'!E12,'2020'!E12,'2020 Ontology'!E12,'2021'!E12,'2021 3.0'!E12)</f>
        <v>28</v>
      </c>
      <c r="C11">
        <f>SUM('2013 Pigeon'!E12,'2016 VisBOL'!E12,'2017 DNAplotlib'!E12,'2017 SBOLDesigner 2'!E12,'2021 paraSBOL'!E12,'2021 SBOLCanvas'!E12)</f>
        <v>30</v>
      </c>
    </row>
    <row r="12" spans="1:3" x14ac:dyDescent="0.2">
      <c r="A12">
        <v>2021</v>
      </c>
      <c r="B12">
        <f>SUM('2013'!E13,'2015'!E13,'2018'!E13,'2019'!E13,'2020'!E13,'2020 Ontology'!E13,'2021'!E13,'2021 3.0'!E13)</f>
        <v>28</v>
      </c>
      <c r="C12">
        <f>SUM('2013 Pigeon'!E13,'2016 VisBOL'!E13,'2017 DNAplotlib'!E13,'2017 SBOLDesigner 2'!E13,'2021 paraSBOL'!E13,'2021 SBOLCanvas'!E13)</f>
        <v>20</v>
      </c>
    </row>
    <row r="13" spans="1:3" x14ac:dyDescent="0.2">
      <c r="A13">
        <v>2022</v>
      </c>
      <c r="B13">
        <f>SUM('2013'!E14,'2015'!E14,'2018'!E14,'2019'!E14,'2020'!E14,'2020 Ontology'!E14,'2021'!E14,'2021 3.0'!E14)</f>
        <v>8</v>
      </c>
      <c r="C13">
        <f>SUM('2013 Pigeon'!E14,'2016 VisBOL'!E14,'2017 DNAplotlib'!E14,'2017 SBOLDesigner 2'!E14,'2021 paraSBOL'!E14,'2021 SBOLCanvas'!E14)</f>
        <v>10</v>
      </c>
    </row>
    <row r="14" spans="1:3" x14ac:dyDescent="0.2">
      <c r="A14">
        <v>2023</v>
      </c>
      <c r="B14">
        <f>SUM('2013'!E15,'2015'!E15,'2018'!E15,'2019'!E15,'2020'!E15,'2020 Ontology'!E15,'2021'!E15,'2021 3.0'!E15)</f>
        <v>7</v>
      </c>
      <c r="C14">
        <f>SUM('2013 Pigeon'!E15,'2016 VisBOL'!E15,'2017 DNAplotlib'!E15,'2017 SBOLDesigner 2'!E15,'2021 paraSBOL'!E15,'2021 SBOLCanvas'!E15)</f>
        <v>5</v>
      </c>
    </row>
    <row r="15" spans="1:3" x14ac:dyDescent="0.2">
      <c r="A15">
        <v>2024</v>
      </c>
      <c r="B15">
        <f>SUM('2013'!E16,'2015'!E16,'2018'!E16,'2019'!E16,'2020'!E16,'2020 Ontology'!E16,'2021'!E16,'2021 3.0'!E16)</f>
        <v>14</v>
      </c>
      <c r="C15">
        <f>SUM('2013 Pigeon'!E16,'2016 VisBOL'!E16,'2017 DNAplotlib'!E16,'2017 SBOLDesigner 2'!E16,'2021 paraSBOL'!E16,'2021 SBOLCanvas'!E16)</f>
        <v>10</v>
      </c>
    </row>
    <row r="16" spans="1:3" x14ac:dyDescent="0.2">
      <c r="A16">
        <v>2025</v>
      </c>
      <c r="B16">
        <f>SUM('2013'!E17,'2015'!E17,'2018'!E17,'2019'!E17,'2020'!E17,'2020 Ontology'!E17,'2021'!E17,'2021 3.0'!E17)</f>
        <v>3</v>
      </c>
      <c r="C16">
        <f>SUM('2013 Pigeon'!E17,'2016 VisBOL'!E17,'2017 DNAplotlib'!E17,'2017 SBOLDesigner 2'!E17,'2021 paraSBOL'!E17,'2021 SBOLCanvas'!E17)</f>
        <v>1</v>
      </c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EAA6-713F-FB45-A541-3CE027E12FFD}">
  <sheetPr>
    <tabColor theme="4"/>
  </sheetPr>
  <dimension ref="A1:E89"/>
  <sheetViews>
    <sheetView zoomScale="140" zoomScaleNormal="140" workbookViewId="0"/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ht="34" x14ac:dyDescent="0.2">
      <c r="A3" s="5" t="s">
        <v>204</v>
      </c>
      <c r="B3">
        <v>2013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205</v>
      </c>
      <c r="B5">
        <v>2014</v>
      </c>
      <c r="D5">
        <v>2013</v>
      </c>
      <c r="E5">
        <f>COUNTIF(Table123[Year],D5)</f>
        <v>6</v>
      </c>
    </row>
    <row r="6" spans="1:5" x14ac:dyDescent="0.2">
      <c r="A6" s="3" t="s">
        <v>206</v>
      </c>
      <c r="B6">
        <v>2017</v>
      </c>
      <c r="D6">
        <v>2014</v>
      </c>
      <c r="E6">
        <f>COUNTIF(Table123[Year],D6)</f>
        <v>8</v>
      </c>
    </row>
    <row r="7" spans="1:5" x14ac:dyDescent="0.2">
      <c r="A7" s="3" t="s">
        <v>207</v>
      </c>
      <c r="B7">
        <v>2016</v>
      </c>
      <c r="D7">
        <v>2015</v>
      </c>
      <c r="E7">
        <f>COUNTIF(Table123[Year],D7)</f>
        <v>5</v>
      </c>
    </row>
    <row r="8" spans="1:5" x14ac:dyDescent="0.2">
      <c r="A8" s="3" t="s">
        <v>208</v>
      </c>
      <c r="B8">
        <v>2019</v>
      </c>
      <c r="D8">
        <v>2016</v>
      </c>
      <c r="E8">
        <f>COUNTIF(Table123[Year],D8)</f>
        <v>2</v>
      </c>
    </row>
    <row r="9" spans="1:5" x14ac:dyDescent="0.2">
      <c r="A9" s="3" t="s">
        <v>209</v>
      </c>
      <c r="B9">
        <v>2013</v>
      </c>
      <c r="D9">
        <v>2017</v>
      </c>
      <c r="E9">
        <f>COUNTIF(Table123[Year],D9)</f>
        <v>3</v>
      </c>
    </row>
    <row r="10" spans="1:5" x14ac:dyDescent="0.2">
      <c r="A10" s="3" t="s">
        <v>112</v>
      </c>
      <c r="B10">
        <v>2017</v>
      </c>
      <c r="D10">
        <v>2018</v>
      </c>
      <c r="E10">
        <f>COUNTIF(Table123[Year],D10)</f>
        <v>0</v>
      </c>
    </row>
    <row r="11" spans="1:5" x14ac:dyDescent="0.2">
      <c r="A11" s="3" t="s">
        <v>210</v>
      </c>
      <c r="B11">
        <v>2015</v>
      </c>
      <c r="D11">
        <v>2019</v>
      </c>
      <c r="E11">
        <f>COUNTIF(Table123[Year],D11)</f>
        <v>1</v>
      </c>
    </row>
    <row r="12" spans="1:5" x14ac:dyDescent="0.2">
      <c r="A12" s="3" t="s">
        <v>211</v>
      </c>
      <c r="B12">
        <v>2014</v>
      </c>
      <c r="D12">
        <v>2020</v>
      </c>
      <c r="E12">
        <f>COUNTIF(Table123[Year],D12)</f>
        <v>1</v>
      </c>
    </row>
    <row r="13" spans="1:5" x14ac:dyDescent="0.2">
      <c r="A13" s="3" t="s">
        <v>212</v>
      </c>
      <c r="B13">
        <v>2015</v>
      </c>
      <c r="D13">
        <v>2021</v>
      </c>
      <c r="E13">
        <f>COUNTIF(Table123[Year],D13)</f>
        <v>0</v>
      </c>
    </row>
    <row r="14" spans="1:5" x14ac:dyDescent="0.2">
      <c r="A14" s="3" t="s">
        <v>213</v>
      </c>
      <c r="B14">
        <v>2016</v>
      </c>
      <c r="D14">
        <v>2022</v>
      </c>
      <c r="E14">
        <f>COUNTIF(Table123[Year],D14)</f>
        <v>0</v>
      </c>
    </row>
    <row r="15" spans="1:5" x14ac:dyDescent="0.2">
      <c r="A15" s="3" t="s">
        <v>214</v>
      </c>
      <c r="B15">
        <v>2014</v>
      </c>
      <c r="D15">
        <v>2023</v>
      </c>
      <c r="E15">
        <f>COUNTIF(Table123[Year],D15)</f>
        <v>0</v>
      </c>
    </row>
    <row r="16" spans="1:5" x14ac:dyDescent="0.2">
      <c r="A16" s="3" t="s">
        <v>215</v>
      </c>
      <c r="B16">
        <v>2015</v>
      </c>
      <c r="D16">
        <v>2024</v>
      </c>
      <c r="E16">
        <f>COUNTIF(Table123[Year],D16)</f>
        <v>0</v>
      </c>
    </row>
    <row r="17" spans="1:5" x14ac:dyDescent="0.2">
      <c r="A17" s="3" t="s">
        <v>216</v>
      </c>
      <c r="B17">
        <v>2014</v>
      </c>
      <c r="D17">
        <v>2025</v>
      </c>
      <c r="E17">
        <f>COUNTIF(Table123[Year],D17)</f>
        <v>0</v>
      </c>
    </row>
    <row r="18" spans="1:5" x14ac:dyDescent="0.2">
      <c r="A18" s="3" t="s">
        <v>217</v>
      </c>
      <c r="B18">
        <v>2015</v>
      </c>
    </row>
    <row r="19" spans="1:5" x14ac:dyDescent="0.2">
      <c r="A19" s="3" t="s">
        <v>218</v>
      </c>
      <c r="B19">
        <v>2015</v>
      </c>
    </row>
    <row r="20" spans="1:5" x14ac:dyDescent="0.2">
      <c r="A20" s="3" t="s">
        <v>219</v>
      </c>
      <c r="B20">
        <v>2014</v>
      </c>
    </row>
    <row r="21" spans="1:5" x14ac:dyDescent="0.2">
      <c r="A21" s="3" t="s">
        <v>220</v>
      </c>
      <c r="B21">
        <v>2020</v>
      </c>
    </row>
    <row r="22" spans="1:5" x14ac:dyDescent="0.2">
      <c r="A22" s="3" t="s">
        <v>221</v>
      </c>
      <c r="B22">
        <v>2013</v>
      </c>
    </row>
    <row r="23" spans="1:5" x14ac:dyDescent="0.2">
      <c r="A23" s="3" t="s">
        <v>222</v>
      </c>
      <c r="B23">
        <v>2013</v>
      </c>
    </row>
    <row r="24" spans="1:5" x14ac:dyDescent="0.2">
      <c r="A24" s="3" t="s">
        <v>223</v>
      </c>
      <c r="B24">
        <v>2017</v>
      </c>
    </row>
    <row r="25" spans="1:5" x14ac:dyDescent="0.2">
      <c r="A25" s="3" t="s">
        <v>224</v>
      </c>
      <c r="B25">
        <v>2014</v>
      </c>
    </row>
    <row r="26" spans="1:5" x14ac:dyDescent="0.2">
      <c r="A26" s="3" t="s">
        <v>225</v>
      </c>
      <c r="B26">
        <v>2014</v>
      </c>
    </row>
    <row r="27" spans="1:5" x14ac:dyDescent="0.2">
      <c r="A27" s="3" t="s">
        <v>226</v>
      </c>
      <c r="B27">
        <v>2014</v>
      </c>
    </row>
    <row r="28" spans="1:5" x14ac:dyDescent="0.2">
      <c r="A28" s="3" t="s">
        <v>227</v>
      </c>
      <c r="B28">
        <v>2013</v>
      </c>
    </row>
    <row r="29" spans="1:5" x14ac:dyDescent="0.2">
      <c r="A29" s="3" t="s">
        <v>228</v>
      </c>
      <c r="B29">
        <v>2013</v>
      </c>
    </row>
    <row r="30" spans="1:5" x14ac:dyDescent="0.2">
      <c r="A30" s="3" t="s">
        <v>229</v>
      </c>
      <c r="B30">
        <v>2013</v>
      </c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frontiersin.org/journals/bioengineering-and-biotechnology/articles/10.3389/fbioe.2014.00060/full" xr:uid="{1B1072BA-BEDA-664F-A9AA-B459E4CE7C0C}"/>
    <hyperlink ref="A6" r:id="rId2" display="https://portlandpress.com/biochemsoctrans/article-abstract/45/3/793/66896" xr:uid="{B4F03AC1-FD57-2147-8E40-5B8773E7D206}"/>
    <hyperlink ref="A7" r:id="rId3" display="https://pubs.acs.org/doi/abs/10.1021/acssynbio.5b00215" xr:uid="{4114BF4A-9CE8-0F49-8BDC-4177A016E66F}"/>
    <hyperlink ref="A8" r:id="rId4" display="https://pubs.acs.org/doi/abs/10.1021/acssynbio.9b00139" xr:uid="{E4C4DE14-DE91-8847-BEA8-A8B32A279170}"/>
    <hyperlink ref="A9" r:id="rId5" display="https://pubs.acs.org/doi/abs/10.1021/sb400024s" xr:uid="{08A734DD-D238-6749-B5D4-3877F4020CD5}"/>
    <hyperlink ref="A10" r:id="rId6" display="https://ieeexplore.ieee.org/abstract/document/8264452/" xr:uid="{4E1196CF-A524-5F4D-9ABA-41869159C5A6}"/>
    <hyperlink ref="A11" r:id="rId7" display="https://www.frontiersin.org/journals/bioengineering-and-biotechnology/articles/10.3389/fbioe.2015.00167/full" xr:uid="{CA3285CE-1F4C-E045-82F7-9A53BFE0B285}"/>
    <hyperlink ref="A12" r:id="rId8" display="https://pubs.acs.org/doi/abs/10.1021/sb400135t" xr:uid="{95337F67-2782-7A41-B777-C50A39FF1CFC}"/>
    <hyperlink ref="A13" r:id="rId9" display="https://pubs.acs.org/doi/abs/10.1021/sb5003289" xr:uid="{88486E99-4781-8447-B863-28401A08D58D}"/>
    <hyperlink ref="A14" r:id="rId10" display="https://pubs.acs.org/doi/abs/10.1021/acssynbio.6b00146" xr:uid="{64280B3F-830B-FD46-BF70-8230E446A777}"/>
    <hyperlink ref="A15" r:id="rId11" display="https://pubs.acs.org/doi/abs/10.1021/sb400066m" xr:uid="{69D00756-F2D8-E945-AAA2-263466BFA5C8}"/>
    <hyperlink ref="A16" r:id="rId12" display="https://pubs.acs.org/doi/abs/10.1021/sb500176h" xr:uid="{EBDAC77B-CB5C-2943-94D2-0CE8B522675A}"/>
    <hyperlink ref="A17" r:id="rId13" display="https://dl.acm.org/doi/abs/10.1145/2644817" xr:uid="{94D5A484-E8B7-3749-BB26-B11F533DB131}"/>
    <hyperlink ref="A18" r:id="rId14" display="https://journals.plos.org/plosone/article?id=10.1371/journal.pone.0117202" xr:uid="{EDD9A45C-6EF1-3243-9C9B-EF01AD924317}"/>
    <hyperlink ref="A19" r:id="rId15" display="https://pubs.acs.org/doi/abs/10.1021/sb500352b" xr:uid="{3184F487-53ED-2045-916E-3256D1D81B91}"/>
    <hyperlink ref="A20" r:id="rId16" display="https://ieeexplore.ieee.org/abstract/document/6845520/" xr:uid="{C8B0E0F1-697C-EA43-A128-7BFCD228B2AE}"/>
    <hyperlink ref="A21" r:id="rId17" display="https://pubs.acs.org/doi/abs/10.1021/acssynbio.0c00046" xr:uid="{A827B2D4-D655-7144-A6B4-9DA4B802B746}"/>
    <hyperlink ref="A22" r:id="rId18" display="https://www.sciencedirect.com/science/article/pii/B9780124170292000078" xr:uid="{9E5969B3-AA72-C844-9510-32A93C1C8A9D}"/>
    <hyperlink ref="A23" r:id="rId19" display="http://pfigshare-u-files.s3.amazonaws.com/3096584/Galdzicki_etal_SBOL_Manuscript_20130802.pdf" xr:uid="{5871A8F6-46E0-474A-A8E4-31704BEB4503}"/>
    <hyperlink ref="A24" r:id="rId20" display="https://pubs.acs.org/doi/abs/10.1021/acssynbio.6b00286" xr:uid="{E49A5B25-1910-1545-9B61-F84458316566}"/>
    <hyperlink ref="A25" r:id="rId21" display="https://link.springer.com/protocol/10.1007/978-1-4939-1878-2_16" xr:uid="{F4014726-016C-F840-AE76-79353DB2F976}"/>
    <hyperlink ref="A26" r:id="rId22" display="https://dl.acm.org/doi/abs/10.1145/2668126" xr:uid="{DA8A2314-C107-4E49-BCA2-C66A5A6A10A6}"/>
    <hyperlink ref="A27" r:id="rId23" display="https://search.proquest.com/openview/d41128797ae2ffba48cd2d12dcb7a1c3/1?pq-origsite=gscholar&amp;cbl=18750" xr:uid="{033B1BC9-630B-074B-AA1B-1D5ED8EF15D7}"/>
    <hyperlink ref="A28" r:id="rId24" display="https://jakebeal.github.io/Publications/SBOLv-BioOntologies-2013.pdf" xr:uid="{1FC5C6D8-5B9C-CA4A-8F87-81B44F7549CF}"/>
    <hyperlink ref="A29" r:id="rId25" display="https://jakebeal.github.io/Publications/IWBDA2013-SBOL.pdf" xr:uid="{093A7A6C-165F-2F49-9904-DA07CAE42EF2}"/>
  </hyperlinks>
  <pageMargins left="0.7" right="0.7" top="0.75" bottom="0.75" header="0.3" footer="0.3"/>
  <pageSetup orientation="portrait" horizontalDpi="0" verticalDpi="0"/>
  <drawing r:id="rId26"/>
  <tableParts count="2">
    <tablePart r:id="rId27"/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7BB9-6869-D141-9540-5397576248DB}">
  <sheetPr>
    <tabColor theme="4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3</v>
      </c>
      <c r="B3">
        <v>2015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14</v>
      </c>
      <c r="B5">
        <v>2025</v>
      </c>
      <c r="D5">
        <v>2013</v>
      </c>
      <c r="E5">
        <f>COUNTIF(Table1[Year],D5)</f>
        <v>0</v>
      </c>
    </row>
    <row r="6" spans="1:5" x14ac:dyDescent="0.2">
      <c r="A6" s="3" t="s">
        <v>15</v>
      </c>
      <c r="B6">
        <v>2025</v>
      </c>
      <c r="D6">
        <v>2014</v>
      </c>
      <c r="E6">
        <f>COUNTIF(Table1[Year],D6)</f>
        <v>0</v>
      </c>
    </row>
    <row r="7" spans="1:5" x14ac:dyDescent="0.2">
      <c r="A7" s="3" t="s">
        <v>16</v>
      </c>
      <c r="B7">
        <v>2025</v>
      </c>
      <c r="D7">
        <v>2015</v>
      </c>
      <c r="E7">
        <f>COUNTIF(Table1[Year],D7)</f>
        <v>1</v>
      </c>
    </row>
    <row r="8" spans="1:5" x14ac:dyDescent="0.2">
      <c r="A8" s="3" t="s">
        <v>17</v>
      </c>
      <c r="B8">
        <v>2024</v>
      </c>
      <c r="D8">
        <v>2016</v>
      </c>
      <c r="E8">
        <f>COUNTIF(Table1[Year],D8)</f>
        <v>15</v>
      </c>
    </row>
    <row r="9" spans="1:5" x14ac:dyDescent="0.2">
      <c r="A9" s="3" t="s">
        <v>18</v>
      </c>
      <c r="B9">
        <v>2024</v>
      </c>
      <c r="D9">
        <v>2017</v>
      </c>
      <c r="E9">
        <f>COUNTIF(Table1[Year],D9)</f>
        <v>16</v>
      </c>
    </row>
    <row r="10" spans="1:5" x14ac:dyDescent="0.2">
      <c r="A10" s="3" t="s">
        <v>19</v>
      </c>
      <c r="B10">
        <v>2024</v>
      </c>
      <c r="D10">
        <v>2018</v>
      </c>
      <c r="E10">
        <f>COUNTIF(Table1[Year],D10)</f>
        <v>6</v>
      </c>
    </row>
    <row r="11" spans="1:5" x14ac:dyDescent="0.2">
      <c r="A11" s="3" t="s">
        <v>20</v>
      </c>
      <c r="B11">
        <v>2024</v>
      </c>
      <c r="D11">
        <v>2019</v>
      </c>
      <c r="E11">
        <f>COUNTIF(Table1[Year],D11)</f>
        <v>13</v>
      </c>
    </row>
    <row r="12" spans="1:5" x14ac:dyDescent="0.2">
      <c r="A12" s="3" t="s">
        <v>21</v>
      </c>
      <c r="B12">
        <v>2024</v>
      </c>
      <c r="D12">
        <v>2020</v>
      </c>
      <c r="E12">
        <f>COUNTIF(Table1[Year],D12)</f>
        <v>10</v>
      </c>
    </row>
    <row r="13" spans="1:5" x14ac:dyDescent="0.2">
      <c r="A13" s="3" t="s">
        <v>22</v>
      </c>
      <c r="B13">
        <v>2023</v>
      </c>
      <c r="D13">
        <v>2021</v>
      </c>
      <c r="E13">
        <f>COUNTIF(Table1[Year],D13)</f>
        <v>9</v>
      </c>
    </row>
    <row r="14" spans="1:5" x14ac:dyDescent="0.2">
      <c r="A14" s="3" t="s">
        <v>23</v>
      </c>
      <c r="B14">
        <v>2023</v>
      </c>
      <c r="D14">
        <v>2022</v>
      </c>
      <c r="E14">
        <f>COUNTIF(Table1[Year],D14)</f>
        <v>5</v>
      </c>
    </row>
    <row r="15" spans="1:5" x14ac:dyDescent="0.2">
      <c r="A15" s="3" t="s">
        <v>24</v>
      </c>
      <c r="B15">
        <v>2022</v>
      </c>
      <c r="D15">
        <v>2023</v>
      </c>
      <c r="E15">
        <f>COUNTIF(Table1[Year],D15)</f>
        <v>2</v>
      </c>
    </row>
    <row r="16" spans="1:5" x14ac:dyDescent="0.2">
      <c r="A16" s="3" t="s">
        <v>25</v>
      </c>
      <c r="B16">
        <v>2022</v>
      </c>
      <c r="D16">
        <v>2024</v>
      </c>
      <c r="E16">
        <f>COUNTIF(Table1[Year],D16)</f>
        <v>5</v>
      </c>
    </row>
    <row r="17" spans="1:5" x14ac:dyDescent="0.2">
      <c r="A17" s="3" t="s">
        <v>26</v>
      </c>
      <c r="B17">
        <v>2022</v>
      </c>
      <c r="D17">
        <v>2025</v>
      </c>
      <c r="E17">
        <f>COUNTIF(Table1[Year],D17)</f>
        <v>3</v>
      </c>
    </row>
    <row r="18" spans="1:5" x14ac:dyDescent="0.2">
      <c r="A18" s="3" t="s">
        <v>27</v>
      </c>
      <c r="B18">
        <v>2022</v>
      </c>
    </row>
    <row r="19" spans="1:5" x14ac:dyDescent="0.2">
      <c r="A19" s="3" t="s">
        <v>28</v>
      </c>
      <c r="B19">
        <v>2022</v>
      </c>
    </row>
    <row r="20" spans="1:5" x14ac:dyDescent="0.2">
      <c r="A20" s="3" t="s">
        <v>29</v>
      </c>
      <c r="B20">
        <v>2021</v>
      </c>
    </row>
    <row r="21" spans="1:5" x14ac:dyDescent="0.2">
      <c r="A21" s="3" t="s">
        <v>30</v>
      </c>
      <c r="B21">
        <v>2021</v>
      </c>
    </row>
    <row r="22" spans="1:5" x14ac:dyDescent="0.2">
      <c r="A22" s="3" t="s">
        <v>31</v>
      </c>
      <c r="B22">
        <v>2021</v>
      </c>
    </row>
    <row r="23" spans="1:5" x14ac:dyDescent="0.2">
      <c r="A23" s="3" t="s">
        <v>32</v>
      </c>
      <c r="B23">
        <v>2021</v>
      </c>
    </row>
    <row r="24" spans="1:5" x14ac:dyDescent="0.2">
      <c r="A24" s="3" t="s">
        <v>33</v>
      </c>
      <c r="B24">
        <v>2021</v>
      </c>
    </row>
    <row r="25" spans="1:5" x14ac:dyDescent="0.2">
      <c r="A25" s="3" t="s">
        <v>34</v>
      </c>
      <c r="B25">
        <v>2021</v>
      </c>
    </row>
    <row r="26" spans="1:5" x14ac:dyDescent="0.2">
      <c r="A26" s="3" t="s">
        <v>35</v>
      </c>
      <c r="B26">
        <v>2021</v>
      </c>
    </row>
    <row r="27" spans="1:5" x14ac:dyDescent="0.2">
      <c r="A27" s="3" t="s">
        <v>36</v>
      </c>
      <c r="B27">
        <v>2021</v>
      </c>
    </row>
    <row r="28" spans="1:5" x14ac:dyDescent="0.2">
      <c r="A28" s="3" t="s">
        <v>37</v>
      </c>
      <c r="B28">
        <v>2021</v>
      </c>
    </row>
    <row r="29" spans="1:5" x14ac:dyDescent="0.2">
      <c r="A29" s="3" t="s">
        <v>12</v>
      </c>
      <c r="B29">
        <v>2020</v>
      </c>
    </row>
    <row r="30" spans="1:5" x14ac:dyDescent="0.2">
      <c r="A30" s="3" t="s">
        <v>38</v>
      </c>
      <c r="B30">
        <v>2020</v>
      </c>
    </row>
    <row r="31" spans="1:5" x14ac:dyDescent="0.2">
      <c r="A31" s="3" t="s">
        <v>39</v>
      </c>
      <c r="B31">
        <v>2020</v>
      </c>
    </row>
    <row r="32" spans="1:5" x14ac:dyDescent="0.2">
      <c r="A32" s="3" t="s">
        <v>40</v>
      </c>
      <c r="B32">
        <v>2020</v>
      </c>
    </row>
    <row r="33" spans="1:2" x14ac:dyDescent="0.2">
      <c r="A33" s="3" t="s">
        <v>41</v>
      </c>
      <c r="B33">
        <v>2020</v>
      </c>
    </row>
    <row r="34" spans="1:2" x14ac:dyDescent="0.2">
      <c r="A34" s="3" t="s">
        <v>42</v>
      </c>
      <c r="B34">
        <v>2020</v>
      </c>
    </row>
    <row r="35" spans="1:2" x14ac:dyDescent="0.2">
      <c r="A35" s="3" t="s">
        <v>43</v>
      </c>
      <c r="B35">
        <v>2020</v>
      </c>
    </row>
    <row r="36" spans="1:2" x14ac:dyDescent="0.2">
      <c r="A36" s="3" t="s">
        <v>44</v>
      </c>
      <c r="B36">
        <v>2020</v>
      </c>
    </row>
    <row r="37" spans="1:2" x14ac:dyDescent="0.2">
      <c r="A37" s="3" t="s">
        <v>45</v>
      </c>
      <c r="B37">
        <v>2020</v>
      </c>
    </row>
    <row r="38" spans="1:2" x14ac:dyDescent="0.2">
      <c r="A38" s="3" t="s">
        <v>46</v>
      </c>
      <c r="B38">
        <v>2020</v>
      </c>
    </row>
    <row r="39" spans="1:2" x14ac:dyDescent="0.2">
      <c r="A39" s="3" t="s">
        <v>47</v>
      </c>
      <c r="B39">
        <v>2019</v>
      </c>
    </row>
    <row r="40" spans="1:2" x14ac:dyDescent="0.2">
      <c r="A40" s="3" t="s">
        <v>48</v>
      </c>
      <c r="B40">
        <v>2019</v>
      </c>
    </row>
    <row r="41" spans="1:2" x14ac:dyDescent="0.2">
      <c r="A41" s="3" t="s">
        <v>49</v>
      </c>
      <c r="B41">
        <v>2019</v>
      </c>
    </row>
    <row r="42" spans="1:2" x14ac:dyDescent="0.2">
      <c r="A42" s="3" t="s">
        <v>50</v>
      </c>
      <c r="B42">
        <v>2019</v>
      </c>
    </row>
    <row r="43" spans="1:2" x14ac:dyDescent="0.2">
      <c r="A43" s="3" t="s">
        <v>8</v>
      </c>
      <c r="B43">
        <v>2019</v>
      </c>
    </row>
    <row r="44" spans="1:2" x14ac:dyDescent="0.2">
      <c r="A44" s="3" t="s">
        <v>51</v>
      </c>
      <c r="B44">
        <v>2019</v>
      </c>
    </row>
    <row r="45" spans="1:2" x14ac:dyDescent="0.2">
      <c r="A45" s="3" t="s">
        <v>52</v>
      </c>
      <c r="B45">
        <v>2019</v>
      </c>
    </row>
    <row r="46" spans="1:2" x14ac:dyDescent="0.2">
      <c r="A46" s="3" t="s">
        <v>53</v>
      </c>
      <c r="B46">
        <v>2019</v>
      </c>
    </row>
    <row r="47" spans="1:2" x14ac:dyDescent="0.2">
      <c r="A47" s="3" t="s">
        <v>54</v>
      </c>
      <c r="B47">
        <v>2019</v>
      </c>
    </row>
    <row r="48" spans="1:2" x14ac:dyDescent="0.2">
      <c r="A48" s="3" t="s">
        <v>55</v>
      </c>
      <c r="B48">
        <v>2019</v>
      </c>
    </row>
    <row r="49" spans="1:2" x14ac:dyDescent="0.2">
      <c r="A49" s="3" t="s">
        <v>56</v>
      </c>
      <c r="B49">
        <v>2019</v>
      </c>
    </row>
    <row r="50" spans="1:2" x14ac:dyDescent="0.2">
      <c r="A50" s="3" t="s">
        <v>57</v>
      </c>
      <c r="B50">
        <v>2019</v>
      </c>
    </row>
    <row r="51" spans="1:2" x14ac:dyDescent="0.2">
      <c r="A51" s="3" t="s">
        <v>58</v>
      </c>
      <c r="B51">
        <v>2019</v>
      </c>
    </row>
    <row r="52" spans="1:2" x14ac:dyDescent="0.2">
      <c r="A52" s="3" t="s">
        <v>59</v>
      </c>
      <c r="B52">
        <v>2018</v>
      </c>
    </row>
    <row r="53" spans="1:2" x14ac:dyDescent="0.2">
      <c r="A53" s="3" t="s">
        <v>10</v>
      </c>
      <c r="B53">
        <v>2018</v>
      </c>
    </row>
    <row r="54" spans="1:2" x14ac:dyDescent="0.2">
      <c r="A54" s="3" t="s">
        <v>60</v>
      </c>
      <c r="B54">
        <v>2018</v>
      </c>
    </row>
    <row r="55" spans="1:2" x14ac:dyDescent="0.2">
      <c r="A55" s="3" t="s">
        <v>4</v>
      </c>
      <c r="B55">
        <v>2018</v>
      </c>
    </row>
    <row r="56" spans="1:2" x14ac:dyDescent="0.2">
      <c r="A56" s="3" t="s">
        <v>61</v>
      </c>
      <c r="B56">
        <v>2018</v>
      </c>
    </row>
    <row r="57" spans="1:2" x14ac:dyDescent="0.2">
      <c r="A57" s="3" t="s">
        <v>62</v>
      </c>
      <c r="B57">
        <v>2018</v>
      </c>
    </row>
    <row r="58" spans="1:2" x14ac:dyDescent="0.2">
      <c r="A58" s="3" t="s">
        <v>63</v>
      </c>
      <c r="B58">
        <v>2017</v>
      </c>
    </row>
    <row r="59" spans="1:2" x14ac:dyDescent="0.2">
      <c r="A59" s="3" t="s">
        <v>64</v>
      </c>
      <c r="B59">
        <v>2017</v>
      </c>
    </row>
    <row r="60" spans="1:2" x14ac:dyDescent="0.2">
      <c r="A60" s="3" t="s">
        <v>65</v>
      </c>
      <c r="B60">
        <v>2017</v>
      </c>
    </row>
    <row r="61" spans="1:2" x14ac:dyDescent="0.2">
      <c r="A61" s="3" t="s">
        <v>5</v>
      </c>
      <c r="B61">
        <v>2017</v>
      </c>
    </row>
    <row r="62" spans="1:2" x14ac:dyDescent="0.2">
      <c r="A62" s="3" t="s">
        <v>66</v>
      </c>
      <c r="B62">
        <v>2017</v>
      </c>
    </row>
    <row r="63" spans="1:2" x14ac:dyDescent="0.2">
      <c r="A63" s="3" t="s">
        <v>6</v>
      </c>
      <c r="B63">
        <v>2017</v>
      </c>
    </row>
    <row r="64" spans="1:2" x14ac:dyDescent="0.2">
      <c r="A64" s="3" t="s">
        <v>13</v>
      </c>
      <c r="B64">
        <v>2017</v>
      </c>
    </row>
    <row r="65" spans="1:2" x14ac:dyDescent="0.2">
      <c r="A65" s="3" t="s">
        <v>7</v>
      </c>
      <c r="B65">
        <v>2017</v>
      </c>
    </row>
    <row r="66" spans="1:2" x14ac:dyDescent="0.2">
      <c r="A66" s="3" t="s">
        <v>67</v>
      </c>
      <c r="B66">
        <v>2017</v>
      </c>
    </row>
    <row r="67" spans="1:2" x14ac:dyDescent="0.2">
      <c r="A67" s="3" t="s">
        <v>68</v>
      </c>
      <c r="B67">
        <v>2017</v>
      </c>
    </row>
    <row r="68" spans="1:2" x14ac:dyDescent="0.2">
      <c r="A68" s="3" t="s">
        <v>69</v>
      </c>
      <c r="B68">
        <v>2017</v>
      </c>
    </row>
    <row r="69" spans="1:2" x14ac:dyDescent="0.2">
      <c r="A69" s="3" t="s">
        <v>9</v>
      </c>
      <c r="B69">
        <v>2017</v>
      </c>
    </row>
    <row r="70" spans="1:2" x14ac:dyDescent="0.2">
      <c r="A70" s="3" t="s">
        <v>70</v>
      </c>
      <c r="B70">
        <v>2017</v>
      </c>
    </row>
    <row r="71" spans="1:2" x14ac:dyDescent="0.2">
      <c r="A71" s="3" t="s">
        <v>71</v>
      </c>
      <c r="B71">
        <v>2017</v>
      </c>
    </row>
    <row r="72" spans="1:2" x14ac:dyDescent="0.2">
      <c r="A72" s="3" t="s">
        <v>72</v>
      </c>
      <c r="B72">
        <v>2017</v>
      </c>
    </row>
    <row r="73" spans="1:2" x14ac:dyDescent="0.2">
      <c r="A73" s="3" t="s">
        <v>73</v>
      </c>
      <c r="B73">
        <v>2017</v>
      </c>
    </row>
    <row r="74" spans="1:2" x14ac:dyDescent="0.2">
      <c r="A74" s="3" t="s">
        <v>74</v>
      </c>
      <c r="B74">
        <v>2016</v>
      </c>
    </row>
    <row r="75" spans="1:2" x14ac:dyDescent="0.2">
      <c r="A75" s="3" t="s">
        <v>75</v>
      </c>
      <c r="B75">
        <v>2016</v>
      </c>
    </row>
    <row r="76" spans="1:2" x14ac:dyDescent="0.2">
      <c r="A76" s="3" t="s">
        <v>76</v>
      </c>
      <c r="B76">
        <v>2016</v>
      </c>
    </row>
    <row r="77" spans="1:2" x14ac:dyDescent="0.2">
      <c r="A77" s="3" t="s">
        <v>77</v>
      </c>
      <c r="B77">
        <v>2016</v>
      </c>
    </row>
    <row r="78" spans="1:2" x14ac:dyDescent="0.2">
      <c r="A78" s="3" t="s">
        <v>78</v>
      </c>
      <c r="B78">
        <v>2016</v>
      </c>
    </row>
    <row r="79" spans="1:2" x14ac:dyDescent="0.2">
      <c r="A79" s="3" t="s">
        <v>79</v>
      </c>
      <c r="B79">
        <v>2016</v>
      </c>
    </row>
    <row r="80" spans="1:2" x14ac:dyDescent="0.2">
      <c r="A80" s="3" t="s">
        <v>80</v>
      </c>
      <c r="B80">
        <v>2016</v>
      </c>
    </row>
    <row r="81" spans="1:2" x14ac:dyDescent="0.2">
      <c r="A81" s="3" t="s">
        <v>81</v>
      </c>
      <c r="B81">
        <v>2016</v>
      </c>
    </row>
    <row r="82" spans="1:2" x14ac:dyDescent="0.2">
      <c r="A82" s="3" t="s">
        <v>82</v>
      </c>
      <c r="B82">
        <v>2016</v>
      </c>
    </row>
    <row r="83" spans="1:2" x14ac:dyDescent="0.2">
      <c r="A83" s="3" t="s">
        <v>11</v>
      </c>
      <c r="B83">
        <v>2016</v>
      </c>
    </row>
    <row r="84" spans="1:2" x14ac:dyDescent="0.2">
      <c r="A84" s="3" t="s">
        <v>83</v>
      </c>
      <c r="B84">
        <v>2016</v>
      </c>
    </row>
    <row r="85" spans="1:2" x14ac:dyDescent="0.2">
      <c r="A85" s="3" t="s">
        <v>84</v>
      </c>
      <c r="B85">
        <v>2016</v>
      </c>
    </row>
    <row r="86" spans="1:2" x14ac:dyDescent="0.2">
      <c r="A86" s="3" t="s">
        <v>85</v>
      </c>
      <c r="B86">
        <v>2016</v>
      </c>
    </row>
    <row r="87" spans="1:2" x14ac:dyDescent="0.2">
      <c r="A87" s="3" t="s">
        <v>86</v>
      </c>
      <c r="B87">
        <v>2016</v>
      </c>
    </row>
    <row r="88" spans="1:2" x14ac:dyDescent="0.2">
      <c r="A88" s="3" t="s">
        <v>87</v>
      </c>
      <c r="B88">
        <v>2016</v>
      </c>
    </row>
    <row r="89" spans="1:2" x14ac:dyDescent="0.2">
      <c r="A89" s="3" t="s">
        <v>88</v>
      </c>
      <c r="B89">
        <v>2015</v>
      </c>
    </row>
  </sheetData>
  <hyperlinks>
    <hyperlink ref="A15" r:id="rId1" display="https://www.semanticscholar.org/paper/Optimization-of-CRISPR%E2%80%93Cas-system-for-clinical-Meng-Wu/51a01cf76f4e70d88b33c42a3d9aed0493472681" xr:uid="{8313360E-DE99-374F-A4D1-130F0A489918}"/>
    <hyperlink ref="A16" r:id="rId2" display="https://www.semanticscholar.org/paper/Engineering-genetic-circuits%3A-advancements-in-tools-Buecherl-Myers/d608bf8ab0d596dc5ea50b4250a83f57a61950d8" xr:uid="{D5EB18D2-20A5-C84D-AC32-6D2BA9C541D4}"/>
    <hyperlink ref="A17" r:id="rId3" display="https://www.semanticscholar.org/paper/Tyto%3A-A-Python-Tool-Enabling-Better-Annotation-for-Bartley/5a98d45623e002e070fef7ce8e728dc2e09783a2" xr:uid="{1581B2DD-4C99-8A4D-81C7-180B547F76A8}"/>
    <hyperlink ref="A18" r:id="rId4" display="https://www.semanticscholar.org/paper/EMMA-CAD%3A-Design-Automation-for-Synthetic-Mammalian-Luo-James/36c8383a06987ec951c79c9baca9adc642441f20" xr:uid="{3925CEE9-69D1-8849-B069-1AF457DF899D}"/>
    <hyperlink ref="A19" r:id="rId5" display="https://www.semanticscholar.org/paper/Synthetic-biology-tools%3A-Engineering-microbes-for-Goyal-Kohli/387ce851dbe31ace01fe52e46b2a697e920418ee" xr:uid="{7133CE4E-7361-0C41-AA99-62F11B48967C}"/>
    <hyperlink ref="A20" r:id="rId6" display="https://www.semanticscholar.org/paper/Stochastic-Hazard-Analysis-of-Genetic-Circuits-in-Buecherl-Roberts/54a62c24ef4c376f44daaea5303fef85f60538b1" xr:uid="{263A6C27-D2A7-B74D-BAAF-0C2F38ECF83B}"/>
    <hyperlink ref="A21" r:id="rId7" display="https://www.semanticscholar.org/paper/Data-sharing-policies%3A-share-well-and-you-shall-be-Peccoud/7ebdca34987c67270f1429570154ebacd79d1b97" xr:uid="{080F9ED6-7C65-7147-B7E3-658F76D95362}"/>
    <hyperlink ref="A22" r:id="rId8" display="https://www.semanticscholar.org/paper/BioParts-A-Biological-Parts-Search-Portal-and-to-Plahar-Rich/bb9dde6ebf15f1ea1dea06cb7cf4203b89496daf" xr:uid="{FA8ED449-30BC-284F-8718-8F4639939B4C}"/>
    <hyperlink ref="A23" r:id="rId9" display="https://www.semanticscholar.org/paper/Synthetic-Biology-in-Plants%2C-a-Boon-for-Coming-Gupta-Sharma/ced6ba66f50ddc4d90eb8c451f5df66f33d9b366" xr:uid="{DD1516FE-CE62-C442-A6F6-E50745FB6F92}"/>
    <hyperlink ref="A24" r:id="rId10" display="https://www.semanticscholar.org/paper/Engineering-and-standardization-of-biocircuitry-in-McCarthy/12869cb5d215a54cd8b6e89eef359c385639e70d" xr:uid="{46587D12-F332-1B46-A5A1-06A70673CD88}"/>
    <hyperlink ref="A5" r:id="rId11" display="https://www.semanticscholar.org/paper/An-experimentally-verified-mechanistic-model-for-Jasmine-Brecht/688bdf69a9f2691dd0c31b5bda5882806a552dd2" xr:uid="{B8E3F47D-3F6F-9143-9762-379D36E9667C}"/>
    <hyperlink ref="A6" r:id="rId12" display="https://www.semanticscholar.org/paper/Unravelling-the-regulatory-network-behind-chitin-in-Demeester-Paepe/d239e2999e82983725cf4fcc382c15593585c49c" xr:uid="{DA7FE8BB-94DB-5C43-AAD3-288E63DC31AE}"/>
    <hyperlink ref="A7" r:id="rId13" display="https://www.semanticscholar.org/paper/Characterization-and-orthogonality-assessment-of-Jasmine-Brecht/9a69914e7bd3f144f57728f80873d620c5ae6370" xr:uid="{D6BAF440-646D-B041-A933-5465E8BF5A1D}"/>
    <hyperlink ref="A8" r:id="rId14" display="https://www.semanticscholar.org/paper/Energy-Aware-Technology-Mapping-of-Genetic-Logic-Kubaczka-Gehri/368d1ff5f2248a6d4f3ecbcc3436ad699bd62826" xr:uid="{8679A9D0-FA36-0B4B-82B3-39934A034E40}"/>
    <hyperlink ref="A9" r:id="rId15" display="https://www.semanticscholar.org/paper/Fundamentals-and-Exceptions-of-the-LysR-type-Demeester-Paepe/73124096337206158c455b89d541ca8dda0b525c" xr:uid="{71EF4740-1BDA-1F42-8349-8A555737C03A}"/>
    <hyperlink ref="A10" r:id="rId16" display="https://www.semanticscholar.org/paper/Delaying-production-with-prokaryotic-inducible-Baets-Paepe/8b4890ec270e1ba2f0c930b328adfccbe8060455" xr:uid="{2294478B-A857-134E-BE55-EDA85B5C1A94}"/>
    <hyperlink ref="A11" r:id="rId17" display="https://www.semanticscholar.org/paper/DSCI%3A-a-database-of-synthetic-biology-components-Zhang-Chen/6da06da3788111cf7461fd7cee80d1accedeb265" xr:uid="{44083704-ECB4-8548-AFB3-0661850E1EAC}"/>
    <hyperlink ref="A12" r:id="rId18" display="https://www.semanticscholar.org/paper/Theory-and-design-in-the-biotechnical-age%3A-A-of-Bio-Dade-Robertson-Zhang/9e9262b444856ff005043fb278ec2a390e42b2c2" xr:uid="{63885593-5F92-C249-95FE-4799324D7552}"/>
    <hyperlink ref="A13" r:id="rId19" display="https://www.semanticscholar.org/paper/Automated-Platform-for-the-Plasmid-Construction-Nava-Fear/7dc675ae2903bea1f1aa2d617c4fc7ca506aa916" xr:uid="{239DC333-E9DC-C848-9B26-EA52EEC89CFE}"/>
    <hyperlink ref="A14" r:id="rId20" display="https://www.semanticscholar.org/paper/A-tuneable-genetic-switch-for-tight-control-of-tac-Asensio-Calavia-Ceballos-Munuera/b4dfe1fa67d94b7a213214c5dc0c9a71d80a2a3e" xr:uid="{6C5AC871-2BC7-D34B-8442-0377BAB1D425}"/>
    <hyperlink ref="A25" r:id="rId21" display="https://www.semanticscholar.org/paper/Comparative-analysis-of-three-studies-measuring-Beal-Baldwin/2f3937e4028dac2eed246af17613b200c100de2b" xr:uid="{17BEA797-6D83-0544-A10B-07BAA246D03E}"/>
    <hyperlink ref="A26" r:id="rId22" display="https://www.semanticscholar.org/paper/SynBiopython%3A-an-open-source-software-library-for-Yeoh-Swainston/1f3894b3d7aba2c48d01ca4b191d717a12a28c14" xr:uid="{28D510A4-9B50-0F42-AF45-F736F66B186C}"/>
    <hyperlink ref="A27" r:id="rId23" display="https://www.semanticscholar.org/paper/Status-and-Challenges-of-Reproducibility-in-Systems-Choi-Karr/e7d74d722cc0148cb46a3ece0998fa0e4c45cf2f" xr:uid="{B979EAD0-8E3E-2940-A291-2B3A1C7281F2}"/>
    <hyperlink ref="A28" r:id="rId24" display="https://www.semanticscholar.org/paper/Automated-Execution-of-Simulation-Studies-in-Using-Rampadarath-Nickerson/86d9f2196da5017351c4239cd0e796497300332f" xr:uid="{8227719F-4E01-AE49-A87C-FC49CFB9F39C}"/>
    <hyperlink ref="A29" r:id="rId25" display="https://www.semanticscholar.org/paper/The-Synthetic-Biology-Open-Language-(SBOL)-Version-McLaughlin-Beal/6dfcd20a4abfb0f7231a755f31c04f3c44d1ac4f" xr:uid="{5C5B4037-9191-3642-8D9D-856DD8A3A729}"/>
    <hyperlink ref="A30" r:id="rId26" display="https://www.semanticscholar.org/paper/Synthetic-biology-open-language-(SBOL)-version-Baig-Fontanarrosa/8bc672d75aae7c86da1d578941352ef2324bb614" xr:uid="{C3897B48-A622-4040-9D30-1A0D4CAA7FE4}"/>
    <hyperlink ref="A31" r:id="rId27" display="https://www.semanticscholar.org/paper/The-first-10-years-of-the-international-network-for-Waltemath-Golebiewski/56fcb0902e43ea4d8c9778643adcee5e52d56087" xr:uid="{2A3C9F11-3537-4A4D-82E5-6283606AC829}"/>
    <hyperlink ref="A32" r:id="rId28" display="https://www.semanticscholar.org/paper/The-long-journey-towards-standards-for-engineering-Beal-Go%C3%B1i-More%C3%B1o/dc73921f1cc580f0698b51b93b080128a70335f5" xr:uid="{C806CC84-347A-0341-B50B-959478AB8D39}"/>
    <hyperlink ref="A33" r:id="rId29" display="https://www.semanticscholar.org/paper/Beyond-natural%3A-synthetic-expansions-of-botanical-Patron/2b8e99e35ec15f174f031be38a7bb845e96477dd" xr:uid="{0E6E3EBC-D66C-8849-B061-B1137EDF6D5B}"/>
    <hyperlink ref="A34" r:id="rId30" display="https://www.semanticscholar.org/paper/Contemporary-Tools-for-Regulating-Gene-Expression-Kent-Dixon/8a03b46735df7aad7ed7c109477b45e995898d9d" xr:uid="{E64A4601-D846-1A41-A405-D42D4F9EE4B7}"/>
    <hyperlink ref="A35" r:id="rId31" display="https://www.semanticscholar.org/paper/SBOL-Visual-2-Ontology-Misirli-Beal/044b88be414c4911f39019925dd79687ba9bfbec" xr:uid="{562D663E-E25D-7441-A564-5882B21634F9}"/>
    <hyperlink ref="A36" r:id="rId32" display="https://www.semanticscholar.org/paper/An-Integrated-Computer-Aided-Design-and-Workflow-Oberortner-Evans/16bd6b9f6afd25b80c42af9e87f2b1a2cfb3fb20" xr:uid="{CD1E7DA4-59AF-314D-8577-FC12B88C6514}"/>
    <hyperlink ref="A37" r:id="rId33" display="https://www.semanticscholar.org/paper/Combinatorial-Hierarchical-DNA-Library-Design-Using-Fero-Craft/a808da305ea5d966b691605ce9b79ce334fe3655" xr:uid="{DB84CDAE-2505-DF44-BED0-A99CC084B35C}"/>
    <hyperlink ref="A38" r:id="rId34" display="https://www.semanticscholar.org/paper/%3A-The-long-journey-towards-standards-for-biosystems-Beal-Go%C3%B1i-More%C3%B1o/aeaf0f7faa528d4cc4d41af2c4866990e54ff9df" xr:uid="{5642870F-80C6-2248-909D-00DD1C807D4D}"/>
    <hyperlink ref="A39" r:id="rId35" display="https://www.semanticscholar.org/paper/Towards-a-fully-automated-algorithm-driven-platform-HamediRad-Chao/9f3a70fccaddeef22770914c9831f3e1f22afe5b" xr:uid="{1ED35065-B1C4-2741-B0A8-CDEE02674BB4}"/>
    <hyperlink ref="A40" r:id="rId36" display="https://www.semanticscholar.org/paper/Digitalizing-heterologous-gene-expression-in-with-a-Calles-Go%C3%B1i-More%C3%B1o/cec083bd33cd9a6b9f27734bfb35b020eacc3ca5" xr:uid="{12349AE7-1F2B-4B42-B2A6-0AA6390EFFAE}"/>
    <hyperlink ref="A41" r:id="rId37" display="https://www.semanticscholar.org/paper/Industrializing-a-bacterial-strain-for-L-serine-Rennig-Mundhada/a7799363136a817923b1e8592deaf2e213a31239" xr:uid="{6C94C960-9D43-BB49-B8F8-C839B48D5973}"/>
    <hyperlink ref="A42" r:id="rId38" display="https://www.semanticscholar.org/paper/SBOLExplorer%3A-Data-Infrastructure-and-Data-Mining-Zhang-Zundel/4bfbe2f54ca095eef6eb0eb5b0982dd1fe33caf5" xr:uid="{365A0400-2E79-9445-AEEA-F3CA0BD2BA13}"/>
    <hyperlink ref="A43" r:id="rId39" display="https://www.semanticscholar.org/paper/Communicating-Structure-and-Function-in-Synthetic-Beal-Nguyen/fd928bd543c77845da28c0f1dd30eaebb0b3c10e" xr:uid="{10DD2F62-B0F6-3E46-9298-DCA1BD322F48}"/>
    <hyperlink ref="A44" r:id="rId40" display="https://www.semanticscholar.org/paper/A-Computational-Workflow-for-the-Automated-of-of-Misirli-Nguyen/92d96e75a6bbc39c0ee4eafed1542bd59db53adc" xr:uid="{7B33628E-BCC0-E84B-A63D-337EEB2C135B}"/>
    <hyperlink ref="A45" r:id="rId41" display="https://www.semanticscholar.org/paper/Design-of-Asynchronous-Genetic-Circuits-Nguyen-Jones/c08e6903bdc23bb3c18421d92556db75da9c58b1" xr:uid="{478BC219-44DE-ED46-9C1D-123315D97305}"/>
    <hyperlink ref="A46" r:id="rId42" display="https://www.semanticscholar.org/paper/Lessons-from-Two-Design-Build-Test-Learn-Cycles-of-Opgenorth-Costello/44b0c3da947c32b5ec98d4e171a300dce1287afd" xr:uid="{DD8C147F-A0C6-594C-9539-E6FBAEEE4E31}"/>
    <hyperlink ref="A47" r:id="rId43" display="https://www.semanticscholar.org/paper/SBOL-OWL%3A-An-Ontological-Approach-for-Formal-and-of-Misirli-Taylor/4f3ff75a148140f15f962844aece8b66fa4a4737" xr:uid="{0353AA96-7528-614D-9002-C6F58306ECD2}"/>
    <hyperlink ref="A48" r:id="rId44" display="https://www.semanticscholar.org/paper/Riboswitch-identification-using-Ligase-Assisted-for-Haines-Storch/3227d0736a171e5818d5b46f4bd7c87ad5719376" xr:uid="{DBFA2F05-296D-974B-92F6-4E8D69C06F4F}"/>
    <hyperlink ref="A49" r:id="rId45" display="https://www.semanticscholar.org/paper/Opportunities-and-Challenges-in-Applying-Artificial-Yaman-Adler/782bb3e7de8fff124a1ec85d07818cdea0154534" xr:uid="{F69BFB84-47FE-4347-810D-6EF0F131B545}"/>
    <hyperlink ref="A50" r:id="rId46" display="https://www.semanticscholar.org/paper/Efficient-learning-in-metabolic-pathway-designs-Carbonell-Faulon/16cc03177f06bd85a75cf5e6d3b1a1ce5e96edb4" xr:uid="{E0C92002-467E-9E42-9413-6D3C58BD8C98}"/>
    <hyperlink ref="A51" r:id="rId47" display="https://www.semanticscholar.org/paper/Pathway-Design-Carbonell/8baf9e039c0f461d5056890b4b654650a685c1e4" xr:uid="{01CB1098-6125-7E46-941F-9349EC1A6E14}"/>
    <hyperlink ref="A52" r:id="rId48" display="https://www.semanticscholar.org/paper/Cellular-checkpoint-control-using-programmable-Andrews-Nielsen/36778256f46ab26c14393679bba52017adfa260e" xr:uid="{2483F5FF-E1B4-8F46-B39E-EB1806C32334}"/>
    <hyperlink ref="A53" r:id="rId49" display="https://www.semanticscholar.org/paper/DNA-assembly-standards%3A-Setting-the-low-level-code-V%C3%A1zquez-Vilar-Orz%C3%A1ez/ce3da6fde8770a7b5e07a2e698cb4185b1f070be" xr:uid="{1E48A15A-6445-814C-9404-01E5E4C536D5}"/>
    <hyperlink ref="A54" r:id="rId50" display="https://www.semanticscholar.org/paper/Quantification-of-bacterial-fluorescence-using-Beal-Haddock-Angelli/9abb4f493c1e1d567af392eb47ed8af125368504" xr:uid="{87506D54-1BBE-0C47-8330-BAF3A0CC0D43}"/>
    <hyperlink ref="A55" r:id="rId51" display="https://www.semanticscholar.org/paper/Automated-Visualization-of-Genetic-Designs-Using-Bartoli-Dixon/46a419649aba0e0bc8a17d7e3daf13316df8f1c1" xr:uid="{5D4FD10C-596D-CE45-87F8-BE52170FC430}"/>
    <hyperlink ref="A56" r:id="rId52" display="https://www.semanticscholar.org/paper/SynBioHub%3A-A-Standards-Enabled-Design-Repository-McLaughlin-Myers/d7e09b5e245b93e605a1207d13abe4cec70834c4" xr:uid="{8F9DFEC2-13C3-9F47-B47B-5F052466D386}"/>
    <hyperlink ref="A57" r:id="rId53" display="https://www.semanticscholar.org/paper/Metabolic-Engineering-and-Molecular-Tool-in-Yeast-Fabre/568abb94967f8aa0196fe7b001e1d56af1c74d8d" xr:uid="{08AEC1BD-85A5-D446-9C38-3AA4A5CA2254}"/>
    <hyperlink ref="A58" r:id="rId54" display="https://www.semanticscholar.org/paper/Part-by-Part%3A-Synthetic-Biology-Parts-Used-in-Gyulev-Willson/cbf6941383133a727fe32ddcb9099fe509b196d5" xr:uid="{C8C829F8-4964-B04D-AE23-294E614B9C45}"/>
    <hyperlink ref="A59" r:id="rId55" display="https://www.semanticscholar.org/paper/Proceedings-of-the-2017-Winter-Simulation-Chan-D%E2%80%99Ambrogio/05e24ff19ba3e6960847d86ca82cde7c664bfd9b" xr:uid="{A295C9D1-962A-104F-96ED-F22B69EA205A}"/>
    <hyperlink ref="A60" r:id="rId56" display="https://www.semanticscholar.org/paper/A-brief-history-of-COMBINE-Myers-Bader/8539b78b176b731c0554f6f57261d2cc80b6322a" xr:uid="{BBB09DFA-F022-9442-9F44-559582CCE293}"/>
    <hyperlink ref="A61" r:id="rId57" display="https://www.semanticscholar.org/paper/Genetic-Constructor%3A-An-Online-DNA-Design-Platform.-Bates-Lachoff/563e6b754ad8c82e5cd79909f3ac6263bb9a0f47" xr:uid="{0955FF9A-6B34-DE43-8ECD-5793EAA68725}"/>
    <hyperlink ref="A62" r:id="rId58" display="https://www.semanticscholar.org/paper/PartsGenie%3A-an-integrated-tool-for-optimising-and-Swainston-Dunstan/ae84b9b0090c454eb6e3d4845e38cf0bf7b9ece9" xr:uid="{5CAFC6A0-2C37-3D42-A03D-50E3FDB0623C}"/>
    <hyperlink ref="A63" r:id="rId59" display="https://www.semanticscholar.org/paper/DNAplotlib%3A-Programmable-Visualization-of-Genetic-Der-Glassey/551849c6a4b324d5aae95fd70df05f5a52d977e5" xr:uid="{57A17C78-4319-5447-9441-D2D1504D2C5C}"/>
    <hyperlink ref="A64" r:id="rId60" display="https://www.semanticscholar.org/paper/A-standard-enabled-workflow-for-synthetic-biology.-Myers-Beal/b3252fe069b409ea5126e2ff22a91c91ffcabbea" xr:uid="{7FBC67FE-9E16-0744-8518-6191AB27EF99}"/>
    <hyperlink ref="A65" r:id="rId61" display="https://www.semanticscholar.org/paper/SBOLDesigner-2%3A-An-Intuitive-Tool-for-Structural-Zhang-McLaughlin/f893e4e8473595859c96b2775651b780bdf71f32" xr:uid="{4F74777D-4625-8F48-BD7C-ABEA7B5D9DBD}"/>
    <hyperlink ref="A66" r:id="rId62" display="https://www.semanticscholar.org/paper/Gas-fermentation%3A-cellular-engineering-and-scale-up-Heijstra-Leang/4552c83ed0f4545dc483acd26e9ab88dd6b3eb0d" xr:uid="{CFEC75BB-E99E-3D46-BD44-5055B7AE7C41}"/>
    <hyperlink ref="A67" r:id="rId63" display="https://www.semanticscholar.org/paper/Design-Automation-in-Synthetic-Biology.-Appleton-Madsen/a07320d661c65ef7349e4bd0933e7da01c44ac5b" xr:uid="{8FE2B3A4-E5CB-5840-8979-0A82B410EA23}"/>
    <hyperlink ref="A68" r:id="rId64" display="https://www.semanticscholar.org/paper/Synthetic-Biology%3A-Engineering-Living-Systems-from-Bartley-Kim/66045191b4fb9bb92e28ac47fe04d73fdc3c13e0" xr:uid="{0793EE7B-AD37-EA41-BD10-83CB481F70E8}"/>
    <hyperlink ref="A69" r:id="rId65" display="https://www.semanticscholar.org/paper/A-Visual-Language-for-Protein-Design.-Cox-McLaughlin/e6d0eddc313e03ca8d28fa6d9c9d458ebef8961c" xr:uid="{D7E723ED-E8D4-724B-9EAF-EC765C414FF2}"/>
    <hyperlink ref="A70" r:id="rId66" display="https://www.semanticscholar.org/paper/A-Validator-and-Converter-for-the-Synthetic-Biology-Zundel-Samineni/640fb89bcdee9fccb8b4887ae345e03b6e6dd7e1" xr:uid="{19302ACF-550E-C348-9FB8-630080D5A1BD}"/>
    <hyperlink ref="A71" r:id="rId67" display="https://www.semanticscholar.org/paper/GB3.0%3A-a-platform-for-plant-bio-design-that-DNA-V%C3%A1zquez-Vilar-Quijano-Rubio/200c4fda90e581814e30e5b2dfc4ee20991bc94e" xr:uid="{E53AD8F4-0CA7-7C40-81FE-8477B9DD0952}"/>
    <hyperlink ref="A72" r:id="rId68" display="https://www.semanticscholar.org/paper/A-new-agent-based-platform-for-simulating-with-Pescarmona/e13a08e437e184aa762bf2fb3a6b30c688630544" xr:uid="{11A53481-7B30-FE4E-99BB-5B1CBE3A220D}"/>
    <hyperlink ref="A73" r:id="rId69" display="https://www.semanticscholar.org/paper/RSMLab-%3A-a-web-based-tool-for-recombinase-based-and-Kugener/1f8c390855c17d1d3a599bb53aabf42b40734f50" xr:uid="{98731C65-63E2-A145-95AA-095E94F78626}"/>
    <hyperlink ref="A74" r:id="rId70" display="https://www.semanticscholar.org/paper/Agent-based-modelling-in-synthetic-biology-Gorochowski/cfd1c88a43d96b916de2e4bacf081aa52a0f4173" xr:uid="{698EA131-EF82-314C-B77E-96AB1DE83056}"/>
    <hyperlink ref="A75" r:id="rId71" display="https://www.semanticscholar.org/paper/A-Cas9-based-toolkit-to-program-gene-expression-in-Apel-d%E2%80%99Espaux/a8557eace9f062695572716d554cdec0adb06f67" xr:uid="{5D50715F-8ECE-7047-9FEF-35CDB6088078}"/>
    <hyperlink ref="A76" r:id="rId72" display="https://www.semanticscholar.org/paper/DESIGN-OF-GENETIC-ELEMENTS-AND-SOFTWARE-TOOLS-FOR-Vilar/02a7a3b117f760baa7689d96506807128db08f69" xr:uid="{0AEA0FD3-990A-9A4C-96AB-2BF8B97F4D3D}"/>
    <hyperlink ref="A77" r:id="rId73" display="https://www.semanticscholar.org/paper/SYNBIOCHEM-Synthetic-Biology-Research-Centre%2C-%E2%80%93-A-Ra-Carbonell/e24c21d56180545d03b69f4baa2123a5acddc0af" xr:uid="{85C1BBE9-9720-1C48-9A48-92337422C43E}"/>
    <hyperlink ref="A78" r:id="rId74" display="https://www.semanticscholar.org/paper/GeneMill%3A-A-21st-century-platform-for-innovation-Johnson-D'Amore/ce7ec508de4e660f66f9df01636acdf03d4e2dc2" xr:uid="{45ADBCE7-0A92-B848-8120-E8D711AE5B0A}"/>
    <hyperlink ref="A79" r:id="rId75" display="https://www.semanticscholar.org/paper/The-SBOL-Stack%3A-A-Platform-for-Storing%2C-Publishing%2C-Madsen-McLaughlin/4c88cdab1a6db8f88a73331cd1158e6ce42b8f02" xr:uid="{6D397A36-8068-3E4E-A440-88ADC4DD733A}"/>
    <hyperlink ref="A80" r:id="rId76" display="https://www.semanticscholar.org/paper/Improving-Synthetic-Biology-Communication%3A-for-and-Hillson-Plahar/34851ee7baf69fdbcf590bf35656d81c33419456" xr:uid="{1BD1621D-4D05-4547-9C65-51B8E32672A2}"/>
    <hyperlink ref="A81" r:id="rId77" display="https://www.semanticscholar.org/paper/Synthetic-Biology%3A-fostering-the-cyber-biological-Peccoud/a24856c536a480ffdaeb7f40c35ac001774dba93" xr:uid="{3EA9D24C-E961-1941-A7C6-D52110E6FE31}"/>
    <hyperlink ref="A82" r:id="rId78" display="https://www.semanticscholar.org/paper/Bioinformatics-for-the-synthetic-biology-of-natural-Carbonell-Currin/62b8216bcb4873ba8bf34a8a4d56d6fb67cf2869" xr:uid="{62B8F451-A5C6-1249-969C-858E653A65B4}"/>
    <hyperlink ref="A83" r:id="rId79" display="https://www.semanticscholar.org/paper/Sharing-Structure-and-Function-in-Biological-Design-Roehner-Beal/85fcd7e6ffa489c68bc1dfaf87d76a8063b455da" xr:uid="{E893BE35-F261-FC48-85A8-0440B3EE9E36}"/>
    <hyperlink ref="A84" r:id="rId80" display="https://www.semanticscholar.org/paper/Double-Dutch%3A-A-Tool-for-Designing-Combinatorial-of-Roehner-Young/c345255e21e9e31820d927cf8dadacce4f6ba493" xr:uid="{36AD452B-2C78-0E42-9A1F-CEFC044A6553}"/>
    <hyperlink ref="A85" r:id="rId81" display="https://www.semanticscholar.org/paper/Genetic-circuit-design-automation-Nielsen-Der/04239decdd90422ec30a98d7b1a8170d03724a75" xr:uid="{A0533052-B5AF-E549-9477-85108B9314F9}"/>
    <hyperlink ref="A86" r:id="rId82" display="https://www.semanticscholar.org/paper/Foundations-and-Emerging-Paradigms-for-Computing-in-Ma-Perli/6fb6309613982fc5a64fd2883b055fe472afe558" xr:uid="{55F8009E-0FC6-3A41-915F-7C0D34A90F3B}"/>
    <hyperlink ref="A87" r:id="rId83" display="https://www.semanticscholar.org/paper/A-Converter-from-the-Systems-Biology-Markup-to-the-Nguyen-Roehner/8c6553cc0e847037ba06041a3ef6422dc72eef3c" xr:uid="{E8B29D7C-DD55-DE46-888B-85128E54EFC4}"/>
    <hyperlink ref="A88" r:id="rId84" display="https://www.semanticscholar.org/paper/Deriving-stress-specific-biomarkers-for-Bacillus-of-Pastor-Wipat/b5347be81c0b01bf3e6b5a8c450f0920116690e4" xr:uid="{5CC1A2A7-0060-E24A-A06B-12C3E320C711}"/>
    <hyperlink ref="A89" r:id="rId85" display="https://www.semanticscholar.org/paper/Computational-Synthetic-Biology%3A-Progress-and-the-Myers/10303f05a110cf218c050affb9b1b4aba90e5e54" xr:uid="{E5E0EF20-3423-4C4E-9405-D98C1E66B581}"/>
  </hyperlinks>
  <pageMargins left="0.7" right="0.7" top="0.75" bottom="0.75" header="0.3" footer="0.3"/>
  <pageSetup orientation="portrait" horizontalDpi="0" verticalDpi="0"/>
  <drawing r:id="rId86"/>
  <tableParts count="2">
    <tablePart r:id="rId87"/>
    <tablePart r:id="rId8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C136-3D80-F740-9142-243FBBF1BD5D}">
  <sheetPr>
    <tabColor theme="4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94</v>
      </c>
      <c r="B3">
        <v>2018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ht="17" x14ac:dyDescent="0.2">
      <c r="A5" s="4" t="s">
        <v>28</v>
      </c>
      <c r="B5">
        <v>2022</v>
      </c>
      <c r="D5">
        <v>2013</v>
      </c>
      <c r="E5">
        <f>COUNTIF(Table16[Year],D5)</f>
        <v>0</v>
      </c>
    </row>
    <row r="6" spans="1:5" ht="17" x14ac:dyDescent="0.2">
      <c r="A6" s="4" t="s">
        <v>95</v>
      </c>
      <c r="B6">
        <v>2021</v>
      </c>
      <c r="D6">
        <v>2014</v>
      </c>
      <c r="E6">
        <f>COUNTIF(Table16[Year],D6)</f>
        <v>0</v>
      </c>
    </row>
    <row r="7" spans="1:5" ht="34" x14ac:dyDescent="0.2">
      <c r="A7" s="4" t="s">
        <v>96</v>
      </c>
      <c r="B7">
        <v>2020</v>
      </c>
      <c r="D7">
        <v>2015</v>
      </c>
      <c r="E7">
        <f>COUNTIF(Table16[Year],D7)</f>
        <v>0</v>
      </c>
    </row>
    <row r="8" spans="1:5" ht="34" x14ac:dyDescent="0.2">
      <c r="A8" s="4" t="s">
        <v>97</v>
      </c>
      <c r="B8">
        <v>2020</v>
      </c>
      <c r="D8">
        <v>2016</v>
      </c>
      <c r="E8">
        <f>COUNTIF(Table16[Year],D8)</f>
        <v>1</v>
      </c>
    </row>
    <row r="9" spans="1:5" ht="34" x14ac:dyDescent="0.2">
      <c r="A9" s="4" t="s">
        <v>12</v>
      </c>
      <c r="B9">
        <v>2020</v>
      </c>
      <c r="D9">
        <v>2017</v>
      </c>
      <c r="E9">
        <f>COUNTIF(Table16[Year],D9)</f>
        <v>5</v>
      </c>
    </row>
    <row r="10" spans="1:5" ht="34" x14ac:dyDescent="0.2">
      <c r="A10" s="4" t="s">
        <v>98</v>
      </c>
      <c r="B10">
        <v>2020</v>
      </c>
      <c r="D10">
        <v>2018</v>
      </c>
      <c r="E10">
        <f>COUNTIF(Table16[Year],D10)</f>
        <v>5</v>
      </c>
    </row>
    <row r="11" spans="1:5" ht="17" x14ac:dyDescent="0.2">
      <c r="A11" s="4" t="s">
        <v>99</v>
      </c>
      <c r="B11">
        <v>2020</v>
      </c>
      <c r="D11">
        <v>2019</v>
      </c>
      <c r="E11">
        <f>COUNTIF(Table16[Year],D11)</f>
        <v>9</v>
      </c>
    </row>
    <row r="12" spans="1:5" ht="17" x14ac:dyDescent="0.2">
      <c r="A12" s="4" t="s">
        <v>42</v>
      </c>
      <c r="B12">
        <v>2020</v>
      </c>
      <c r="D12">
        <v>2020</v>
      </c>
      <c r="E12">
        <f>COUNTIF(Table16[Year],D12)</f>
        <v>7</v>
      </c>
    </row>
    <row r="13" spans="1:5" ht="17" x14ac:dyDescent="0.2">
      <c r="A13" s="4" t="s">
        <v>43</v>
      </c>
      <c r="B13">
        <v>2020</v>
      </c>
      <c r="D13">
        <v>2021</v>
      </c>
      <c r="E13">
        <f>COUNTIF(Table16[Year],D13)</f>
        <v>1</v>
      </c>
    </row>
    <row r="14" spans="1:5" ht="17" x14ac:dyDescent="0.2">
      <c r="A14" s="4" t="s">
        <v>100</v>
      </c>
      <c r="B14">
        <v>2019</v>
      </c>
      <c r="D14">
        <v>2022</v>
      </c>
      <c r="E14">
        <f>COUNTIF(Table16[Year],D14)</f>
        <v>1</v>
      </c>
    </row>
    <row r="15" spans="1:5" ht="34" x14ac:dyDescent="0.2">
      <c r="A15" s="4" t="s">
        <v>49</v>
      </c>
      <c r="B15">
        <v>2019</v>
      </c>
      <c r="D15">
        <v>2023</v>
      </c>
      <c r="E15">
        <f>COUNTIF(Table16[Year],D15)</f>
        <v>0</v>
      </c>
    </row>
    <row r="16" spans="1:5" ht="17" x14ac:dyDescent="0.2">
      <c r="A16" s="4" t="s">
        <v>8</v>
      </c>
      <c r="B16">
        <v>2019</v>
      </c>
      <c r="D16">
        <v>2024</v>
      </c>
      <c r="E16">
        <f>COUNTIF(Table16[Year],D16)</f>
        <v>0</v>
      </c>
    </row>
    <row r="17" spans="1:5" ht="17" x14ac:dyDescent="0.2">
      <c r="A17" s="4" t="s">
        <v>101</v>
      </c>
      <c r="B17">
        <v>2019</v>
      </c>
      <c r="D17">
        <v>2025</v>
      </c>
      <c r="E17">
        <f>COUNTIF(Table16[Year],D17)</f>
        <v>0</v>
      </c>
    </row>
    <row r="18" spans="1:5" ht="17" x14ac:dyDescent="0.2">
      <c r="A18" s="4" t="s">
        <v>102</v>
      </c>
      <c r="B18">
        <v>2019</v>
      </c>
    </row>
    <row r="19" spans="1:5" ht="34" x14ac:dyDescent="0.2">
      <c r="A19" s="4" t="s">
        <v>103</v>
      </c>
      <c r="B19">
        <v>2019</v>
      </c>
    </row>
    <row r="20" spans="1:5" ht="34" x14ac:dyDescent="0.2">
      <c r="A20" s="4" t="s">
        <v>104</v>
      </c>
      <c r="B20">
        <v>2019</v>
      </c>
    </row>
    <row r="21" spans="1:5" ht="34" x14ac:dyDescent="0.2">
      <c r="A21" s="4" t="s">
        <v>105</v>
      </c>
      <c r="B21">
        <v>2019</v>
      </c>
    </row>
    <row r="22" spans="1:5" ht="17" x14ac:dyDescent="0.2">
      <c r="A22" s="4" t="s">
        <v>56</v>
      </c>
      <c r="B22">
        <v>2019</v>
      </c>
    </row>
    <row r="23" spans="1:5" ht="17" x14ac:dyDescent="0.2">
      <c r="A23" s="4" t="s">
        <v>106</v>
      </c>
      <c r="B23">
        <v>2018</v>
      </c>
    </row>
    <row r="24" spans="1:5" ht="34" x14ac:dyDescent="0.2">
      <c r="A24" s="4" t="s">
        <v>107</v>
      </c>
      <c r="B24">
        <v>2018</v>
      </c>
    </row>
    <row r="25" spans="1:5" ht="34" x14ac:dyDescent="0.2">
      <c r="A25" s="4" t="s">
        <v>108</v>
      </c>
      <c r="B25">
        <v>2018</v>
      </c>
    </row>
    <row r="26" spans="1:5" ht="17" x14ac:dyDescent="0.2">
      <c r="A26" s="4" t="s">
        <v>109</v>
      </c>
      <c r="B26">
        <v>2018</v>
      </c>
    </row>
    <row r="27" spans="1:5" ht="34" x14ac:dyDescent="0.2">
      <c r="A27" s="4" t="s">
        <v>110</v>
      </c>
      <c r="B27">
        <v>2018</v>
      </c>
    </row>
    <row r="28" spans="1:5" ht="17" x14ac:dyDescent="0.2">
      <c r="A28" s="4" t="s">
        <v>111</v>
      </c>
      <c r="B28">
        <v>2017</v>
      </c>
    </row>
    <row r="29" spans="1:5" ht="17" x14ac:dyDescent="0.2">
      <c r="A29" s="4" t="s">
        <v>112</v>
      </c>
      <c r="B29">
        <v>2017</v>
      </c>
    </row>
    <row r="30" spans="1:5" ht="17" x14ac:dyDescent="0.2">
      <c r="A30" s="4" t="s">
        <v>13</v>
      </c>
      <c r="B30">
        <v>2017</v>
      </c>
    </row>
    <row r="31" spans="1:5" ht="17" x14ac:dyDescent="0.2">
      <c r="A31" s="4" t="s">
        <v>9</v>
      </c>
      <c r="B31">
        <v>2017</v>
      </c>
    </row>
    <row r="32" spans="1:5" ht="17" x14ac:dyDescent="0.2">
      <c r="A32" s="4" t="s">
        <v>113</v>
      </c>
      <c r="B32">
        <v>2017</v>
      </c>
    </row>
    <row r="33" spans="1:2" ht="17" x14ac:dyDescent="0.2">
      <c r="A33" s="4" t="s">
        <v>11</v>
      </c>
      <c r="B33">
        <v>2016</v>
      </c>
    </row>
    <row r="34" spans="1:2" x14ac:dyDescent="0.2">
      <c r="A34" s="3"/>
    </row>
    <row r="35" spans="1:2" x14ac:dyDescent="0.2">
      <c r="A35" s="3"/>
    </row>
    <row r="36" spans="1:2" x14ac:dyDescent="0.2">
      <c r="A36" s="3"/>
    </row>
    <row r="37" spans="1:2" x14ac:dyDescent="0.2">
      <c r="A37" s="3"/>
    </row>
    <row r="38" spans="1:2" x14ac:dyDescent="0.2">
      <c r="A38" s="3"/>
    </row>
    <row r="39" spans="1:2" x14ac:dyDescent="0.2">
      <c r="A39" s="3"/>
    </row>
    <row r="40" spans="1:2" x14ac:dyDescent="0.2">
      <c r="A40" s="3"/>
    </row>
    <row r="41" spans="1:2" x14ac:dyDescent="0.2">
      <c r="A41" s="3"/>
    </row>
    <row r="42" spans="1:2" x14ac:dyDescent="0.2">
      <c r="A42" s="3"/>
    </row>
    <row r="43" spans="1:2" x14ac:dyDescent="0.2">
      <c r="A43" s="3"/>
    </row>
    <row r="44" spans="1:2" x14ac:dyDescent="0.2">
      <c r="A44" s="3"/>
    </row>
    <row r="45" spans="1:2" x14ac:dyDescent="0.2">
      <c r="A45" s="3"/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xr:uid="{8E094D96-978D-134C-B760-AA41E199ED55}"/>
    <hyperlink ref="A6" r:id="rId2" xr:uid="{5862A631-7A22-AE4A-AB38-1AC399D64380}"/>
    <hyperlink ref="A7" r:id="rId3" xr:uid="{341F6F26-E42F-4547-8492-25A69C6AD101}"/>
    <hyperlink ref="A8" r:id="rId4" xr:uid="{84EB7FB5-48A2-E440-B438-F72E1C0BEB01}"/>
    <hyperlink ref="A9" r:id="rId5" xr:uid="{4AB47FEC-644D-4649-BFAC-C57F9062204F}"/>
    <hyperlink ref="A10" r:id="rId6" xr:uid="{BD2F1528-7BF4-A94B-B0E2-ABC6530EC3D2}"/>
    <hyperlink ref="A11" r:id="rId7" xr:uid="{5377D6B4-5359-B24E-8EF9-87C3AABAFFB7}"/>
    <hyperlink ref="A12" r:id="rId8" xr:uid="{0031CD37-B631-3F41-89F3-0BA2C26F71DC}"/>
    <hyperlink ref="A13" r:id="rId9" xr:uid="{1173FAAA-151E-E941-B081-F7E0E9683835}"/>
    <hyperlink ref="A14" r:id="rId10" xr:uid="{4E8A27D1-A60B-2D4A-AD4C-89813E7F2465}"/>
    <hyperlink ref="A15" r:id="rId11" xr:uid="{420E03BD-2CE4-364A-AFD4-6627358AB59B}"/>
    <hyperlink ref="A16" r:id="rId12" xr:uid="{DCFE941D-F64F-8143-97CB-51D14602577D}"/>
    <hyperlink ref="A17" r:id="rId13" xr:uid="{D23CB38F-69AA-364B-B000-D8E9377D2AA7}"/>
    <hyperlink ref="A18" r:id="rId14" xr:uid="{7E9B919B-F683-7949-B7CB-15AF7BF53FDB}"/>
    <hyperlink ref="A19" r:id="rId15" xr:uid="{7FFBF91A-AF29-B148-B288-F1CEBA14F47B}"/>
    <hyperlink ref="A20" r:id="rId16" xr:uid="{69A64046-817A-1E45-8BD9-EC3F0E9BD861}"/>
    <hyperlink ref="A21" r:id="rId17" xr:uid="{57F2D216-FA61-6C43-92E8-702AE2A645E7}"/>
    <hyperlink ref="A22" r:id="rId18" xr:uid="{C8F6A150-9005-9A49-91CA-C89242CD3C87}"/>
    <hyperlink ref="A23" r:id="rId19" xr:uid="{9354DFB1-FD92-404F-A1DB-249D029B8657}"/>
    <hyperlink ref="A24" r:id="rId20" xr:uid="{43C35539-3F86-CB40-A729-45F807CE82D2}"/>
    <hyperlink ref="A25" r:id="rId21" xr:uid="{FCF71262-20F5-C04E-8B06-7E979597BE5D}"/>
    <hyperlink ref="A26" r:id="rId22" xr:uid="{849661DD-71A7-3848-908F-768CDFE61C00}"/>
    <hyperlink ref="A27" r:id="rId23" xr:uid="{12FECC6C-A738-0E42-98F6-A2F38A3E4105}"/>
    <hyperlink ref="A28" r:id="rId24" xr:uid="{F36FB209-0A9B-5F43-A462-8D35D9E93B3A}"/>
    <hyperlink ref="A29" r:id="rId25" xr:uid="{FDD84B6D-BDCB-2946-90CC-F9D5CD3C8870}"/>
    <hyperlink ref="A30" r:id="rId26" xr:uid="{36639334-61EE-E64F-AA25-A93244022B14}"/>
    <hyperlink ref="A31" r:id="rId27" xr:uid="{7226D43B-0A82-D34E-B02B-808B755A1745}"/>
    <hyperlink ref="A32" r:id="rId28" xr:uid="{9049687B-71ED-2843-A509-AF9395FD5F31}"/>
    <hyperlink ref="A33" r:id="rId29" xr:uid="{CEA07216-1B38-494C-83B7-01C60BF21956}"/>
  </hyperlinks>
  <pageMargins left="0.7" right="0.7" top="0.75" bottom="0.75" header="0.3" footer="0.3"/>
  <pageSetup orientation="portrait" horizontalDpi="0" verticalDpi="0"/>
  <drawing r:id="rId30"/>
  <tableParts count="2">
    <tablePart r:id="rId31"/>
    <tablePart r:id="rId3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1CDD-84BC-C947-9724-9ED19AF0A77A}">
  <sheetPr>
    <tabColor theme="4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114</v>
      </c>
      <c r="B3">
        <v>2019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ht="17" x14ac:dyDescent="0.2">
      <c r="A5" s="4" t="s">
        <v>115</v>
      </c>
      <c r="B5">
        <v>2021</v>
      </c>
      <c r="D5">
        <v>2013</v>
      </c>
      <c r="E5">
        <f>COUNTIF(Table1810[Year],D5)</f>
        <v>0</v>
      </c>
    </row>
    <row r="6" spans="1:5" ht="34" x14ac:dyDescent="0.2">
      <c r="A6" s="4" t="s">
        <v>33</v>
      </c>
      <c r="B6">
        <v>2021</v>
      </c>
      <c r="D6">
        <v>2014</v>
      </c>
      <c r="E6">
        <f>COUNTIF(Table1810[Year],D6)</f>
        <v>0</v>
      </c>
    </row>
    <row r="7" spans="1:5" ht="17" x14ac:dyDescent="0.2">
      <c r="A7" s="4" t="s">
        <v>116</v>
      </c>
      <c r="B7">
        <v>2021</v>
      </c>
      <c r="D7">
        <v>2015</v>
      </c>
      <c r="E7">
        <f>COUNTIF(Table1810[Year],D7)</f>
        <v>0</v>
      </c>
    </row>
    <row r="8" spans="1:5" ht="17" x14ac:dyDescent="0.2">
      <c r="A8" s="4" t="s">
        <v>91</v>
      </c>
      <c r="B8">
        <v>2020</v>
      </c>
      <c r="D8">
        <v>2016</v>
      </c>
      <c r="E8">
        <f>COUNTIF(Table1810[Year],D8)</f>
        <v>0</v>
      </c>
    </row>
    <row r="9" spans="1:5" ht="17" x14ac:dyDescent="0.2">
      <c r="A9" s="4" t="s">
        <v>117</v>
      </c>
      <c r="B9">
        <v>2020</v>
      </c>
      <c r="D9">
        <v>2017</v>
      </c>
      <c r="E9">
        <f>COUNTIF(Table1810[Year],D9)</f>
        <v>1</v>
      </c>
    </row>
    <row r="10" spans="1:5" ht="34" x14ac:dyDescent="0.2">
      <c r="A10" s="4" t="s">
        <v>12</v>
      </c>
      <c r="B10">
        <v>2020</v>
      </c>
      <c r="D10">
        <v>2018</v>
      </c>
      <c r="E10">
        <f>COUNTIF(Table1810[Year],D10)</f>
        <v>0</v>
      </c>
    </row>
    <row r="11" spans="1:5" ht="17" x14ac:dyDescent="0.2">
      <c r="A11" s="4" t="s">
        <v>40</v>
      </c>
      <c r="B11">
        <v>2020</v>
      </c>
      <c r="D11">
        <v>2019</v>
      </c>
      <c r="E11">
        <f>COUNTIF(Table1810[Year],D11)</f>
        <v>4</v>
      </c>
    </row>
    <row r="12" spans="1:5" ht="34" x14ac:dyDescent="0.2">
      <c r="A12" s="4" t="s">
        <v>46</v>
      </c>
      <c r="B12">
        <v>2020</v>
      </c>
      <c r="D12">
        <v>2020</v>
      </c>
      <c r="E12">
        <f>COUNTIF(Table1810[Year],D12)</f>
        <v>5</v>
      </c>
    </row>
    <row r="13" spans="1:5" ht="17" x14ac:dyDescent="0.2">
      <c r="A13" s="4" t="s">
        <v>100</v>
      </c>
      <c r="B13">
        <v>2019</v>
      </c>
      <c r="D13">
        <v>2021</v>
      </c>
      <c r="E13">
        <f>COUNTIF(Table1810[Year],D13)</f>
        <v>3</v>
      </c>
    </row>
    <row r="14" spans="1:5" ht="34" x14ac:dyDescent="0.2">
      <c r="A14" s="4" t="s">
        <v>48</v>
      </c>
      <c r="B14">
        <v>2019</v>
      </c>
      <c r="D14">
        <v>2022</v>
      </c>
      <c r="E14">
        <f>COUNTIF(Table1810[Year],D14)</f>
        <v>0</v>
      </c>
    </row>
    <row r="15" spans="1:5" ht="17" x14ac:dyDescent="0.2">
      <c r="A15" s="4" t="s">
        <v>8</v>
      </c>
      <c r="B15">
        <v>2019</v>
      </c>
      <c r="D15">
        <v>2023</v>
      </c>
      <c r="E15">
        <f>COUNTIF(Table1810[Year],D15)</f>
        <v>0</v>
      </c>
    </row>
    <row r="16" spans="1:5" ht="34" x14ac:dyDescent="0.2">
      <c r="A16" s="4" t="s">
        <v>103</v>
      </c>
      <c r="B16">
        <v>2019</v>
      </c>
      <c r="D16">
        <v>2024</v>
      </c>
      <c r="E16">
        <f>COUNTIF(Table1810[Year],D16)</f>
        <v>0</v>
      </c>
    </row>
    <row r="17" spans="1:5" ht="17" x14ac:dyDescent="0.2">
      <c r="A17" s="4" t="s">
        <v>9</v>
      </c>
      <c r="B17">
        <v>2017</v>
      </c>
      <c r="D17">
        <v>2025</v>
      </c>
      <c r="E17">
        <f>COUNTIF(Table1810[Year],D17)</f>
        <v>0</v>
      </c>
    </row>
    <row r="18" spans="1:5" x14ac:dyDescent="0.2">
      <c r="A18" s="3"/>
    </row>
    <row r="19" spans="1:5" x14ac:dyDescent="0.2">
      <c r="A19" s="3"/>
    </row>
    <row r="20" spans="1:5" x14ac:dyDescent="0.2">
      <c r="A20" s="3"/>
    </row>
    <row r="21" spans="1:5" x14ac:dyDescent="0.2">
      <c r="A21" s="3"/>
    </row>
    <row r="22" spans="1:5" x14ac:dyDescent="0.2">
      <c r="A22" s="3"/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xr:uid="{6D84CBD1-3947-A94C-8F18-E4B2D6986B67}"/>
    <hyperlink ref="A6" r:id="rId2" xr:uid="{8BA4ED76-A29A-E440-8AC3-711A8049285A}"/>
    <hyperlink ref="A7" r:id="rId3" xr:uid="{E2BCE1A0-58C3-F54F-B364-556E188DD4C7}"/>
    <hyperlink ref="A8" r:id="rId4" xr:uid="{61574E59-BA86-0D44-80C1-9DEC24BBB3D4}"/>
    <hyperlink ref="A9" r:id="rId5" xr:uid="{A0461DC7-F30A-7149-9569-87D31A6BAB40}"/>
    <hyperlink ref="A10" r:id="rId6" xr:uid="{BD4DB5A5-D318-1046-81A3-38D8E5F1C156}"/>
    <hyperlink ref="A11" r:id="rId7" xr:uid="{6E854372-9879-824A-A332-EAF6DC110497}"/>
    <hyperlink ref="A12" r:id="rId8" xr:uid="{D148F3BC-8090-F34B-8CB4-344F33EF1B0C}"/>
    <hyperlink ref="A13" r:id="rId9" xr:uid="{7EDD3BEE-5DB3-AA44-A982-F36F879F286C}"/>
    <hyperlink ref="A14" r:id="rId10" xr:uid="{D88A854E-8E9C-2E4E-9FF1-5DEDACAD04E5}"/>
    <hyperlink ref="A15" r:id="rId11" xr:uid="{63A53780-C801-DF40-A828-51918C01DC9C}"/>
    <hyperlink ref="A16" r:id="rId12" xr:uid="{F4EFA71F-C2F7-534A-B177-EE6D935298C1}"/>
    <hyperlink ref="A17" r:id="rId13" xr:uid="{4D46F0F8-2FC2-6A45-A497-DD496D395392}"/>
  </hyperlinks>
  <pageMargins left="0.7" right="0.7" top="0.75" bottom="0.75" header="0.3" footer="0.3"/>
  <pageSetup orientation="portrait" horizontalDpi="0" verticalDpi="0"/>
  <drawing r:id="rId14"/>
  <tableParts count="2">
    <tablePart r:id="rId15"/>
    <tablePart r:id="rId1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1A89-DBBE-F140-9086-660BFD1D8E0C}">
  <sheetPr>
    <tabColor theme="4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118</v>
      </c>
      <c r="B3">
        <v>2020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119</v>
      </c>
      <c r="B5">
        <v>2022</v>
      </c>
      <c r="D5">
        <v>2013</v>
      </c>
      <c r="E5">
        <f>COUNTIF(Table1812[Year],D5)</f>
        <v>0</v>
      </c>
    </row>
    <row r="6" spans="1:5" x14ac:dyDescent="0.2">
      <c r="A6" s="3" t="s">
        <v>95</v>
      </c>
      <c r="B6">
        <v>2021</v>
      </c>
      <c r="D6">
        <v>2014</v>
      </c>
      <c r="E6">
        <f>COUNTIF(Table1812[Year],D6)</f>
        <v>0</v>
      </c>
    </row>
    <row r="7" spans="1:5" x14ac:dyDescent="0.2">
      <c r="A7" s="3" t="s">
        <v>90</v>
      </c>
      <c r="B7">
        <v>2021</v>
      </c>
      <c r="D7">
        <v>2015</v>
      </c>
      <c r="E7">
        <f>COUNTIF(Table1812[Year],D7)</f>
        <v>0</v>
      </c>
    </row>
    <row r="8" spans="1:5" x14ac:dyDescent="0.2">
      <c r="A8" s="3" t="s">
        <v>120</v>
      </c>
      <c r="B8">
        <v>2021</v>
      </c>
      <c r="D8">
        <v>2016</v>
      </c>
      <c r="E8">
        <f>COUNTIF(Table1812[Year],D8)</f>
        <v>0</v>
      </c>
    </row>
    <row r="9" spans="1:5" x14ac:dyDescent="0.2">
      <c r="A9" s="3" t="s">
        <v>116</v>
      </c>
      <c r="B9">
        <v>2021</v>
      </c>
      <c r="D9">
        <v>2017</v>
      </c>
      <c r="E9">
        <f>COUNTIF(Table1812[Year],D9)</f>
        <v>0</v>
      </c>
    </row>
    <row r="10" spans="1:5" x14ac:dyDescent="0.2">
      <c r="A10" s="3" t="s">
        <v>121</v>
      </c>
      <c r="B10">
        <v>2021</v>
      </c>
      <c r="D10">
        <v>2018</v>
      </c>
      <c r="E10">
        <f>COUNTIF(Table1812[Year],D10)</f>
        <v>0</v>
      </c>
    </row>
    <row r="11" spans="1:5" x14ac:dyDescent="0.2">
      <c r="A11" s="3" t="s">
        <v>97</v>
      </c>
      <c r="B11">
        <v>2020</v>
      </c>
      <c r="D11">
        <v>2019</v>
      </c>
      <c r="E11">
        <f>COUNTIF(Table1812[Year],D11)</f>
        <v>1</v>
      </c>
    </row>
    <row r="12" spans="1:5" x14ac:dyDescent="0.2">
      <c r="A12" s="3" t="s">
        <v>38</v>
      </c>
      <c r="B12">
        <v>2020</v>
      </c>
      <c r="D12">
        <v>2020</v>
      </c>
      <c r="E12">
        <f>COUNTIF(Table1812[Year],D12)</f>
        <v>3</v>
      </c>
    </row>
    <row r="13" spans="1:5" x14ac:dyDescent="0.2">
      <c r="A13" s="3" t="s">
        <v>122</v>
      </c>
      <c r="B13">
        <v>2020</v>
      </c>
      <c r="D13">
        <v>2021</v>
      </c>
      <c r="E13">
        <f>COUNTIF(Table1812[Year],D13)</f>
        <v>5</v>
      </c>
    </row>
    <row r="14" spans="1:5" x14ac:dyDescent="0.2">
      <c r="A14" s="3" t="s">
        <v>8</v>
      </c>
      <c r="B14">
        <v>2019</v>
      </c>
      <c r="D14">
        <v>2022</v>
      </c>
      <c r="E14">
        <f>COUNTIF(Table1812[Year],D14)</f>
        <v>1</v>
      </c>
    </row>
    <row r="15" spans="1:5" x14ac:dyDescent="0.2">
      <c r="A15" s="3"/>
      <c r="D15">
        <v>2023</v>
      </c>
      <c r="E15">
        <f>COUNTIF(Table1812[Year],D15)</f>
        <v>0</v>
      </c>
    </row>
    <row r="16" spans="1:5" x14ac:dyDescent="0.2">
      <c r="A16" s="3"/>
      <c r="D16">
        <v>2024</v>
      </c>
      <c r="E16">
        <f>COUNTIF(Table1812[Year],D16)</f>
        <v>0</v>
      </c>
    </row>
    <row r="17" spans="1:5" x14ac:dyDescent="0.2">
      <c r="A17" s="3"/>
      <c r="D17">
        <v>2025</v>
      </c>
      <c r="E17">
        <f>COUNTIF(Table1812[Year],D17)</f>
        <v>0</v>
      </c>
    </row>
    <row r="18" spans="1:5" x14ac:dyDescent="0.2">
      <c r="A18" s="3"/>
    </row>
    <row r="19" spans="1:5" x14ac:dyDescent="0.2">
      <c r="A19" s="3"/>
    </row>
    <row r="20" spans="1:5" x14ac:dyDescent="0.2">
      <c r="A20" s="3"/>
    </row>
    <row r="21" spans="1:5" x14ac:dyDescent="0.2">
      <c r="A21" s="3"/>
    </row>
    <row r="22" spans="1:5" x14ac:dyDescent="0.2">
      <c r="A22" s="3"/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Advances%2C-challenges%2C-and-opportunities-in-DNA-Enguita-Leit%C3%A3o/6ff23422bb58b8f790cd196384f2acff10a7e88e" xr:uid="{F6A31815-3BF5-2C4A-92A3-488DB7AAB8EA}"/>
    <hyperlink ref="A6" r:id="rId2" display="https://www.semanticscholar.org/paper/Principles-of-synthetic-biology-Garner/9877f96462d4aa41b2d7d881ee0dc1e063bb4bf6" xr:uid="{BF505C77-23D9-C347-9D6A-4D8DFFBFB496}"/>
    <hyperlink ref="A7" r:id="rId3" display="https://www.semanticscholar.org/paper/paraSBOLv%3A-a-foundation-for-standard-compliant-Clark-Scott-Brown/71d8f5cdbf50f2f0ef2c9333a4542ddbd45f588a" xr:uid="{0823E120-BF0C-1042-B9A7-1596BEC24C91}"/>
    <hyperlink ref="A8" r:id="rId4" display="https://www.semanticscholar.org/paper/The-GB4.0-Platform%2C-an-All-In-One-Tool-for-CRISPR-V%C3%A1zquez-Vilar-Garcia-Carpintero/1c6126095746abdbbd717c8598f8cefaeac67584" xr:uid="{1890B5D0-8FC0-1243-837D-D75D50C03B2C}"/>
    <hyperlink ref="A9" r:id="rId5" display="https://www.semanticscholar.org/paper/A-Framework-for-Implementing-Metaheuristic-Using-Ortiz-Carri%C3%B3n/c7366b2ca4c0e3fcb638084c7c5fe6a9a1fc2aa6" xr:uid="{B4786AF9-5223-3B43-A45C-DDCC40B0B66D}"/>
    <hyperlink ref="A10" r:id="rId6" display="https://www.semanticscholar.org/paper/Massively-parallel-characterization-of-engineered-Tarnowski-Gorochowski/53c6e7eec4292c465dadabc41b767962472d37f8" xr:uid="{DFD470A0-0107-AE42-BDCC-32CB985AFCC5}"/>
    <hyperlink ref="A11" r:id="rId7" display="https://www.semanticscholar.org/paper/Edition-of-complex-gene-families-in-tobacco-with-a-V%C3%A1zquez-Vilar-Garcia-Carpintero/176b4fb6107bce3ce90761ef3cdfe584c47c7f7e" xr:uid="{50E2D77B-42EA-7E41-877C-59D7303BC47D}"/>
    <hyperlink ref="A12" r:id="rId8" display="https://www.semanticscholar.org/paper/Synthetic-biology-open-language-(SBOL)-version-Baig-Fontanarrosa/8bc672d75aae7c86da1d578941352ef2324bb614" xr:uid="{C7632A24-BED0-3048-BE4E-41588B5F18CC}"/>
    <hyperlink ref="A13" r:id="rId9" display="https://www.semanticscholar.org/paper/Specifications-of-standards-in-systems-and-biology%3A-Schreiber-Sommer/8b99b859be774e3651ab1de2d108742740716704" xr:uid="{890E7911-0F3A-9749-9DD5-899E5B0E0614}"/>
    <hyperlink ref="A14" r:id="rId10" display="https://www.semanticscholar.org/paper/Communicating-Structure-and-Function-in-Synthetic-Beal-Nguyen/fd928bd543c77845da28c0f1dd30eaebb0b3c10e" xr:uid="{8CE8B73F-8F8B-E040-BE74-A7C1D3917791}"/>
  </hyperlinks>
  <pageMargins left="0.7" right="0.7" top="0.75" bottom="0.75" header="0.3" footer="0.3"/>
  <pageSetup orientation="portrait" horizontalDpi="0" verticalDpi="0"/>
  <drawing r:id="rId11"/>
  <tableParts count="2"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B55B-236D-BD42-BD7D-45C3F7724A20}">
  <sheetPr>
    <tabColor theme="4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43</v>
      </c>
      <c r="B3">
        <v>2020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90</v>
      </c>
      <c r="B5">
        <v>2021</v>
      </c>
      <c r="D5">
        <v>2013</v>
      </c>
      <c r="E5">
        <f>COUNTIF(Table14[Year],D5)</f>
        <v>0</v>
      </c>
    </row>
    <row r="6" spans="1:5" x14ac:dyDescent="0.2">
      <c r="A6" s="3" t="s">
        <v>92</v>
      </c>
      <c r="B6">
        <v>2021</v>
      </c>
      <c r="D6">
        <v>2014</v>
      </c>
      <c r="E6">
        <f>COUNTIF(Table14[Year],D6)</f>
        <v>0</v>
      </c>
    </row>
    <row r="7" spans="1:5" x14ac:dyDescent="0.2">
      <c r="A7" s="3" t="s">
        <v>93</v>
      </c>
      <c r="B7">
        <v>2021</v>
      </c>
      <c r="D7">
        <v>2015</v>
      </c>
      <c r="E7">
        <f>COUNTIF(Table14[Year],D7)</f>
        <v>0</v>
      </c>
    </row>
    <row r="8" spans="1:5" x14ac:dyDescent="0.2">
      <c r="A8" s="3" t="s">
        <v>91</v>
      </c>
      <c r="B8">
        <v>2020</v>
      </c>
      <c r="D8">
        <v>2016</v>
      </c>
      <c r="E8">
        <f>COUNTIF(Table14[Year],D8)</f>
        <v>0</v>
      </c>
    </row>
    <row r="9" spans="1:5" x14ac:dyDescent="0.2">
      <c r="A9" s="3" t="s">
        <v>12</v>
      </c>
      <c r="B9">
        <v>2020</v>
      </c>
      <c r="D9">
        <v>2017</v>
      </c>
      <c r="E9">
        <f>COUNTIF(Table14[Year],D9)</f>
        <v>0</v>
      </c>
    </row>
    <row r="10" spans="1:5" x14ac:dyDescent="0.2">
      <c r="A10" s="3"/>
      <c r="D10">
        <v>2018</v>
      </c>
      <c r="E10">
        <f>COUNTIF(Table14[Year],D10)</f>
        <v>0</v>
      </c>
    </row>
    <row r="11" spans="1:5" x14ac:dyDescent="0.2">
      <c r="A11" s="3"/>
      <c r="D11">
        <v>2019</v>
      </c>
      <c r="E11">
        <f>COUNTIF(Table14[Year],D11)</f>
        <v>0</v>
      </c>
    </row>
    <row r="12" spans="1:5" x14ac:dyDescent="0.2">
      <c r="A12" s="3"/>
      <c r="D12">
        <v>2020</v>
      </c>
      <c r="E12">
        <f>COUNTIF(Table14[Year],D12)</f>
        <v>2</v>
      </c>
    </row>
    <row r="13" spans="1:5" x14ac:dyDescent="0.2">
      <c r="A13" s="3"/>
      <c r="D13">
        <v>2021</v>
      </c>
      <c r="E13">
        <f>COUNTIF(Table14[Year],D13)</f>
        <v>3</v>
      </c>
    </row>
    <row r="14" spans="1:5" x14ac:dyDescent="0.2">
      <c r="A14" s="3"/>
      <c r="D14">
        <v>2022</v>
      </c>
      <c r="E14">
        <f>COUNTIF(Table14[Year],D14)</f>
        <v>0</v>
      </c>
    </row>
    <row r="15" spans="1:5" x14ac:dyDescent="0.2">
      <c r="A15" s="3"/>
      <c r="D15">
        <v>2023</v>
      </c>
      <c r="E15">
        <f>COUNTIF(Table14[Year],D15)</f>
        <v>0</v>
      </c>
    </row>
    <row r="16" spans="1:5" x14ac:dyDescent="0.2">
      <c r="A16" s="3"/>
      <c r="D16">
        <v>2024</v>
      </c>
      <c r="E16">
        <f>COUNTIF(Table14[Year],D16)</f>
        <v>0</v>
      </c>
    </row>
    <row r="17" spans="1:5" x14ac:dyDescent="0.2">
      <c r="A17" s="3"/>
      <c r="D17">
        <v>2025</v>
      </c>
      <c r="E17">
        <f>COUNTIF(Table14[Year],D17)</f>
        <v>0</v>
      </c>
    </row>
    <row r="18" spans="1:5" x14ac:dyDescent="0.2">
      <c r="A18" s="3"/>
    </row>
    <row r="19" spans="1:5" x14ac:dyDescent="0.2">
      <c r="A19" s="3"/>
    </row>
    <row r="20" spans="1:5" x14ac:dyDescent="0.2">
      <c r="A20" s="3"/>
    </row>
    <row r="21" spans="1:5" x14ac:dyDescent="0.2">
      <c r="A21" s="3"/>
    </row>
    <row r="22" spans="1:5" x14ac:dyDescent="0.2">
      <c r="A22" s="3"/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paraSBOLv%3A-a-foundation-for-standard-compliant-Clark-Scott-Brown/71d8f5cdbf50f2f0ef2c9333a4542ddbd45f588a" xr:uid="{520B63CA-09DA-854B-B0C0-D65EF4D811F3}"/>
    <hyperlink ref="A6" r:id="rId2" display="https://www.semanticscholar.org/paper/A-systematic-approach-to-inserting-split-inteins-Ho-Shao/ff4d433107fd9593739a9d546025319db35b9972" xr:uid="{F99702E4-95FE-6B4A-B9A2-422E2D18990E}"/>
    <hyperlink ref="A8" r:id="rId3" display="https://www.semanticscholar.org/paper/Combinatorial-metabolic-pathway-assembly-approaches-Young-Haines/62ce435ae8ac90cc841fb66e2ccae669922efbb4" xr:uid="{B72628CB-1939-9B4D-A28C-8AF43C214416}"/>
    <hyperlink ref="A9" r:id="rId4" display="https://www.semanticscholar.org/paper/The-Synthetic-Biology-Open-Language-(SBOL)-Version-McLaughlin-Beal/6dfcd20a4abfb0f7231a755f31c04f3c44d1ac4f" xr:uid="{19A6E487-BC56-C649-AD9C-23B07A8DFD79}"/>
    <hyperlink ref="A7" r:id="rId5" display="https://www.semanticscholar.org/paper/Towards-collaborative-and-automated-development-of-Ajibode-Beal/b6dfa2a2cae2b396f93b3f2ee9f003a7fefac11c" xr:uid="{FA31E83C-3E02-E344-AD5B-D0F46B823C33}"/>
  </hyperlinks>
  <pageMargins left="0.7" right="0.7" top="0.75" bottom="0.75" header="0.3" footer="0.3"/>
  <pageSetup orientation="portrait" horizontalDpi="0" verticalDpi="0"/>
  <drawing r:id="rId6"/>
  <tableParts count="2"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76CB-FBA5-4143-8D80-E60F26AE1447}">
  <sheetPr>
    <tabColor theme="4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123</v>
      </c>
      <c r="B3">
        <v>2021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124</v>
      </c>
      <c r="B5">
        <v>2024</v>
      </c>
      <c r="D5">
        <v>2013</v>
      </c>
      <c r="E5">
        <f>COUNTIF(Table18[Year],D5)</f>
        <v>0</v>
      </c>
    </row>
    <row r="6" spans="1:5" x14ac:dyDescent="0.2">
      <c r="A6" s="3" t="s">
        <v>125</v>
      </c>
      <c r="B6">
        <v>2023</v>
      </c>
      <c r="D6">
        <v>2014</v>
      </c>
      <c r="E6">
        <f>COUNTIF(Table18[Year],D6)</f>
        <v>0</v>
      </c>
    </row>
    <row r="7" spans="1:5" x14ac:dyDescent="0.2">
      <c r="A7" s="3" t="s">
        <v>126</v>
      </c>
      <c r="B7">
        <v>2021</v>
      </c>
      <c r="D7">
        <v>2015</v>
      </c>
      <c r="E7">
        <f>COUNTIF(Table18[Year],D7)</f>
        <v>0</v>
      </c>
    </row>
    <row r="8" spans="1:5" x14ac:dyDescent="0.2">
      <c r="A8" s="3" t="s">
        <v>127</v>
      </c>
      <c r="B8">
        <v>2021</v>
      </c>
      <c r="D8">
        <v>2016</v>
      </c>
      <c r="E8">
        <f>COUNTIF(Table18[Year],D8)</f>
        <v>0</v>
      </c>
    </row>
    <row r="9" spans="1:5" x14ac:dyDescent="0.2">
      <c r="A9" s="3" t="s">
        <v>128</v>
      </c>
      <c r="B9">
        <v>2021</v>
      </c>
      <c r="D9">
        <v>2017</v>
      </c>
      <c r="E9">
        <f>COUNTIF(Table18[Year],D9)</f>
        <v>0</v>
      </c>
    </row>
    <row r="10" spans="1:5" x14ac:dyDescent="0.2">
      <c r="A10" s="3" t="s">
        <v>93</v>
      </c>
      <c r="B10">
        <v>2021</v>
      </c>
      <c r="D10">
        <v>2018</v>
      </c>
      <c r="E10">
        <f>COUNTIF(Table18[Year],D10)</f>
        <v>0</v>
      </c>
    </row>
    <row r="11" spans="1:5" x14ac:dyDescent="0.2">
      <c r="A11" s="3" t="s">
        <v>100</v>
      </c>
      <c r="B11">
        <v>2019</v>
      </c>
      <c r="D11">
        <v>2019</v>
      </c>
      <c r="E11">
        <f>COUNTIF(Table18[Year],D11)</f>
        <v>1</v>
      </c>
    </row>
    <row r="12" spans="1:5" x14ac:dyDescent="0.2">
      <c r="A12" s="3"/>
      <c r="D12">
        <v>2020</v>
      </c>
      <c r="E12">
        <f>COUNTIF(Table18[Year],D12)</f>
        <v>0</v>
      </c>
    </row>
    <row r="13" spans="1:5" x14ac:dyDescent="0.2">
      <c r="A13" s="3"/>
      <c r="D13">
        <v>2021</v>
      </c>
      <c r="E13">
        <f>COUNTIF(Table18[Year],D13)</f>
        <v>4</v>
      </c>
    </row>
    <row r="14" spans="1:5" x14ac:dyDescent="0.2">
      <c r="A14" s="3"/>
      <c r="D14">
        <v>2022</v>
      </c>
      <c r="E14">
        <f>COUNTIF(Table18[Year],D14)</f>
        <v>0</v>
      </c>
    </row>
    <row r="15" spans="1:5" x14ac:dyDescent="0.2">
      <c r="A15" s="3"/>
      <c r="D15">
        <v>2023</v>
      </c>
      <c r="E15">
        <f>COUNTIF(Table18[Year],D15)</f>
        <v>1</v>
      </c>
    </row>
    <row r="16" spans="1:5" x14ac:dyDescent="0.2">
      <c r="A16" s="3"/>
      <c r="D16">
        <v>2024</v>
      </c>
      <c r="E16">
        <f>COUNTIF(Table18[Year],D16)</f>
        <v>1</v>
      </c>
    </row>
    <row r="17" spans="1:5" x14ac:dyDescent="0.2">
      <c r="A17" s="3"/>
      <c r="D17">
        <v>2025</v>
      </c>
      <c r="E17">
        <f>COUNTIF(Table18[Year],D17)</f>
        <v>0</v>
      </c>
    </row>
    <row r="18" spans="1:5" x14ac:dyDescent="0.2">
      <c r="A18" s="3"/>
    </row>
    <row r="19" spans="1:5" x14ac:dyDescent="0.2">
      <c r="A19" s="3"/>
    </row>
    <row r="20" spans="1:5" x14ac:dyDescent="0.2">
      <c r="A20" s="3"/>
    </row>
    <row r="21" spans="1:5" x14ac:dyDescent="0.2">
      <c r="A21" s="3"/>
    </row>
    <row r="22" spans="1:5" x14ac:dyDescent="0.2">
      <c r="A22" s="3"/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Specifications-of-standards-in-systems-and-biology%3A-Golebiewski-Bader/ea67fe2db24f8615bfe0aef923986875d422f345" xr:uid="{B7FBBEB6-D630-8449-8ECC-CD2A48324CA6}"/>
    <hyperlink ref="A6" r:id="rId2" display="https://www.semanticscholar.org/paper/Specifications-of-standards-in-systems-and-biology%3A-K%C3%B6nig-Gleeson/10cf5589618702f94c3110f1fdd0555dae92a947" xr:uid="{0C14F622-D095-4D4D-B3B4-4D961FD6F729}"/>
    <hyperlink ref="A7" r:id="rId3" display="https://www.semanticscholar.org/paper/A-Network-Approach-to-Genetic-Circuit-Designs-Crowther-Wipat/bc5878ab6ffe81e3d8c90e8fba6e52fe35d8dce9" xr:uid="{010037F5-4829-9F46-AA23-67F87A5D7A07}"/>
    <hyperlink ref="A8" r:id="rId4" display="https://www.semanticscholar.org/paper/Specifications-of-standards-in-systems-and-biology%3A-Schreiber-Gleeson/e3ed593e8d3d1e2e2b1c6ee9a58c2ec80cdd34ef" xr:uid="{9C033D5A-1607-1D47-8F2F-85D653B3591D}"/>
    <hyperlink ref="A9" r:id="rId5" display="https://www.semanticscholar.org/paper/Virtual-Parts-Repository-2%3A-Model-driven-design-of-Misirli-Yang/dcdb229c321d6c3ced65630073a84b0c47642f4f" xr:uid="{E95D63BF-5EE8-2F47-B1B9-9E8DA80282F9}"/>
    <hyperlink ref="A11" r:id="rId6" display="https://www.semanticscholar.org/paper/DNA-BOT%3A-a-low-cost%2C-automated-DNA-assembly-for-Storch-Haines/9025baf6e3b8816d732c70e1316ad016a3d6dc26" xr:uid="{7FFC6AE7-4A43-B84B-A013-C9FFB1D7D139}"/>
    <hyperlink ref="A10" r:id="rId7" display="https://www.semanticscholar.org/paper/Towards-collaborative-and-automated-development-of-Ajibode-Beal/b6dfa2a2cae2b396f93b3f2ee9f003a7fefac11c" xr:uid="{47AF3B98-4153-C245-B488-569B32CD5920}"/>
  </hyperlinks>
  <pageMargins left="0.7" right="0.7" top="0.75" bottom="0.75" header="0.3" footer="0.3"/>
  <pageSetup orientation="portrait" horizontalDpi="0" verticalDpi="0"/>
  <drawing r:id="rId8"/>
  <tableParts count="2">
    <tablePart r:id="rId9"/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F360-EDF7-5249-BB27-5197FA3ADF21}">
  <sheetPr>
    <tabColor theme="4"/>
  </sheetPr>
  <dimension ref="A1:E89"/>
  <sheetViews>
    <sheetView zoomScale="10" zoomScaleNormal="1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129</v>
      </c>
      <c r="B3">
        <v>2021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130</v>
      </c>
      <c r="B5">
        <v>2024</v>
      </c>
      <c r="D5">
        <v>2013</v>
      </c>
      <c r="E5">
        <f>COUNTIF(Table1814[Year],D5)</f>
        <v>0</v>
      </c>
    </row>
    <row r="6" spans="1:5" x14ac:dyDescent="0.2">
      <c r="A6" s="3" t="s">
        <v>131</v>
      </c>
      <c r="B6">
        <v>2024</v>
      </c>
      <c r="D6">
        <v>2014</v>
      </c>
      <c r="E6">
        <f>COUNTIF(Table1814[Year],D6)</f>
        <v>0</v>
      </c>
    </row>
    <row r="7" spans="1:5" x14ac:dyDescent="0.2">
      <c r="A7" s="3" t="s">
        <v>132</v>
      </c>
      <c r="B7">
        <v>2024</v>
      </c>
      <c r="D7">
        <v>2015</v>
      </c>
      <c r="E7">
        <f>COUNTIF(Table1814[Year],D7)</f>
        <v>0</v>
      </c>
    </row>
    <row r="8" spans="1:5" x14ac:dyDescent="0.2">
      <c r="A8" s="3" t="s">
        <v>133</v>
      </c>
      <c r="B8">
        <v>2024</v>
      </c>
      <c r="D8">
        <v>2016</v>
      </c>
      <c r="E8">
        <f>COUNTIF(Table1814[Year],D8)</f>
        <v>0</v>
      </c>
    </row>
    <row r="9" spans="1:5" x14ac:dyDescent="0.2">
      <c r="A9" s="3" t="s">
        <v>134</v>
      </c>
      <c r="B9">
        <v>2024</v>
      </c>
      <c r="D9">
        <v>2017</v>
      </c>
      <c r="E9">
        <f>COUNTIF(Table1814[Year],D9)</f>
        <v>0</v>
      </c>
    </row>
    <row r="10" spans="1:5" x14ac:dyDescent="0.2">
      <c r="A10" s="3" t="s">
        <v>135</v>
      </c>
      <c r="B10">
        <v>2024</v>
      </c>
      <c r="D10">
        <v>2018</v>
      </c>
      <c r="E10">
        <f>COUNTIF(Table1814[Year],D10)</f>
        <v>0</v>
      </c>
    </row>
    <row r="11" spans="1:5" x14ac:dyDescent="0.2">
      <c r="A11" s="3" t="s">
        <v>124</v>
      </c>
      <c r="B11">
        <v>2024</v>
      </c>
      <c r="D11">
        <v>2019</v>
      </c>
      <c r="E11">
        <f>COUNTIF(Table1814[Year],D11)</f>
        <v>0</v>
      </c>
    </row>
    <row r="12" spans="1:5" x14ac:dyDescent="0.2">
      <c r="A12" s="3" t="s">
        <v>136</v>
      </c>
      <c r="B12">
        <v>2024</v>
      </c>
      <c r="D12">
        <v>2020</v>
      </c>
      <c r="E12">
        <f>COUNTIF(Table1814[Year],D12)</f>
        <v>0</v>
      </c>
    </row>
    <row r="13" spans="1:5" x14ac:dyDescent="0.2">
      <c r="A13" s="3" t="s">
        <v>137</v>
      </c>
      <c r="B13">
        <v>2023</v>
      </c>
      <c r="D13">
        <v>2021</v>
      </c>
      <c r="E13">
        <f>COUNTIF(Table1814[Year],D13)</f>
        <v>3</v>
      </c>
    </row>
    <row r="14" spans="1:5" x14ac:dyDescent="0.2">
      <c r="A14" s="3" t="s">
        <v>138</v>
      </c>
      <c r="B14">
        <v>2023</v>
      </c>
      <c r="D14">
        <v>2022</v>
      </c>
      <c r="E14">
        <f>COUNTIF(Table1814[Year],D14)</f>
        <v>1</v>
      </c>
    </row>
    <row r="15" spans="1:5" x14ac:dyDescent="0.2">
      <c r="A15" s="3" t="s">
        <v>125</v>
      </c>
      <c r="B15">
        <v>2023</v>
      </c>
      <c r="D15">
        <v>2023</v>
      </c>
      <c r="E15">
        <f>COUNTIF(Table1814[Year],D15)</f>
        <v>4</v>
      </c>
    </row>
    <row r="16" spans="1:5" x14ac:dyDescent="0.2">
      <c r="A16" s="3" t="s">
        <v>139</v>
      </c>
      <c r="B16">
        <v>2023</v>
      </c>
      <c r="D16">
        <v>2024</v>
      </c>
      <c r="E16">
        <f>COUNTIF(Table1814[Year],D16)</f>
        <v>8</v>
      </c>
    </row>
    <row r="17" spans="1:5" x14ac:dyDescent="0.2">
      <c r="A17" s="3" t="s">
        <v>140</v>
      </c>
      <c r="B17">
        <v>2022</v>
      </c>
      <c r="D17">
        <v>2025</v>
      </c>
      <c r="E17">
        <f>COUNTIF(Table1814[Year],D17)</f>
        <v>0</v>
      </c>
    </row>
    <row r="18" spans="1:5" x14ac:dyDescent="0.2">
      <c r="A18" s="3" t="s">
        <v>29</v>
      </c>
      <c r="B18">
        <v>2021</v>
      </c>
    </row>
    <row r="19" spans="1:5" x14ac:dyDescent="0.2">
      <c r="A19" s="3" t="s">
        <v>127</v>
      </c>
      <c r="B19">
        <v>2021</v>
      </c>
    </row>
    <row r="20" spans="1:5" x14ac:dyDescent="0.2">
      <c r="A20" s="3" t="s">
        <v>120</v>
      </c>
      <c r="B20">
        <v>2021</v>
      </c>
    </row>
    <row r="21" spans="1:5" x14ac:dyDescent="0.2">
      <c r="A21" s="3"/>
    </row>
    <row r="22" spans="1:5" x14ac:dyDescent="0.2">
      <c r="A22" s="3"/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BioPAX-in-2024%3A-Where-we-are-and-where-we-are-Beust-Becker/0e483ae1b5505f4a191a18a5161681633eb1555c" xr:uid="{EE0949EE-7E57-7846-ACDA-DCBF5D57F93F}"/>
    <hyperlink ref="A6" r:id="rId2" display="https://www.semanticscholar.org/paper/Translating-weighted-probabilistic-bits-to-genetic-Ciccone-Messina/d7e3ab773e7092cd85563a6dd02c81c4c8cd76c0" xr:uid="{D74ABDB5-6406-5441-8BD2-5E4E7817A20C}"/>
    <hyperlink ref="A7" r:id="rId3" display="https://www.semanticscholar.org/paper/Data-hazards-in-synthetic-biology-Zelenka-Cara/993a0859db6bdf23a69bbfc26332b2731030205e" xr:uid="{CAF749C7-9FC4-7F4A-92ED-4AABBEF174A4}"/>
    <hyperlink ref="A8" r:id="rId4" display="https://www.semanticscholar.org/paper/Engineering-is-evolution%3A-a-perspective-on-design-Castle-Stock/18a3538f5d6b0e43cc8cb0dfba0c2a036163cad0" xr:uid="{C07976F0-8C9D-604A-8480-102505333700}"/>
    <hyperlink ref="A9" r:id="rId5" display="https://www.semanticscholar.org/paper/Simulations-predict-stronger-CRISPRi-repression-in-Scott-Occhialini/88689550ae075a522fd2db7a1a5dfe62558c6158" xr:uid="{1B9F70E1-C768-3041-8A3E-4DD15C8828D3}"/>
    <hyperlink ref="A10" r:id="rId6" display="https://www.semanticscholar.org/paper/Automatic-design-of-gene-regulatory-mechanisms-for-Mousavi-Lobo/d0a9f61fdab177217fc947916c308a723a07e3c1" xr:uid="{82DA92B4-11AE-5943-B231-2E06708875E6}"/>
    <hyperlink ref="A11" r:id="rId7" display="https://www.semanticscholar.org/paper/Specifications-of-standards-in-systems-and-biology%3A-Golebiewski-Bader/ea67fe2db24f8615bfe0aef923986875d422f345" xr:uid="{0E1F61DF-2490-0B4E-90BC-A573019C78BB}"/>
    <hyperlink ref="A12" r:id="rId8" display="https://www.semanticscholar.org/paper/Genetic-Parts-and-Enabling-Tools-for-Biocircuit-Buson-Gao/dc9b8f6aba3ffff97b2b02b91cd46faf7bf655d9" xr:uid="{60C69C8A-D642-F24A-A8E2-53E0600EE991}"/>
    <hyperlink ref="A13" r:id="rId9" display="https://www.semanticscholar.org/paper/Base-editing-enables-duplex-point-mutagenesis-in-at-Seys-Humphreys/5ee87403f8168766fa76329a544d70ba8171f2d1" xr:uid="{B8F92B09-E170-1F41-BD18-52636281EB82}"/>
    <hyperlink ref="A14" r:id="rId10" display="https://www.semanticscholar.org/paper/SynBioSuite%3A-A-Tool-for-Improving-the-Workflow-for-Sents-Stoughton/f9fcd46ddd13318add37a865c20c2a0e681543a3" xr:uid="{10848FA0-A960-8040-908A-DAC550C5ACE9}"/>
    <hyperlink ref="A15" r:id="rId11" display="https://www.semanticscholar.org/paper/Specifications-of-standards-in-systems-and-biology%3A-K%C3%B6nig-Gleeson/10cf5589618702f94c3110f1fdd0555dae92a947" xr:uid="{F5034E0D-27B0-DE42-B561-B044498052C6}"/>
    <hyperlink ref="A16" r:id="rId12" display="https://www.semanticscholar.org/paper/Advancing-reproducibility-can-ease-the-'hard-Lux-Strychalski/695480f5ef2598e076697b82d9e1db920702d598" xr:uid="{DE52B2D7-7BF5-ED42-BAEB-E03133AC8FAD}"/>
    <hyperlink ref="A17" r:id="rId13" display="https://www.semanticscholar.org/paper/Python-for-gene-expression-%5Bversion-1%3B-peer-review%3A-Bystrykh/ac6e2cf4688eb8fcfe9bdbf0f1b434aef95bceb1" xr:uid="{63900C61-C90F-744E-8725-D2EB9F20AB20}"/>
    <hyperlink ref="A18" r:id="rId14" display="https://www.semanticscholar.org/paper/Stochastic-Hazard-Analysis-of-Genetic-Circuits-in-Buecherl-Roberts/54a62c24ef4c376f44daaea5303fef85f60538b1" xr:uid="{7E370602-4C31-A74C-A863-997E503FB099}"/>
    <hyperlink ref="A19" r:id="rId15" display="https://www.semanticscholar.org/paper/Specifications-of-standards-in-systems-and-biology%3A-Schreiber-Gleeson/e3ed593e8d3d1e2e2b1c6ee9a58c2ec80cdd34ef" xr:uid="{835D3A5E-8EDF-514A-AD5A-08B49079D633}"/>
    <hyperlink ref="A20" r:id="rId16" display="https://www.semanticscholar.org/paper/The-GB4.0-Platform%2C-an-All-In-One-Tool-for-CRISPR-V%C3%A1zquez-Vilar-Garcia-Carpintero/1c6126095746abdbbd717c8598f8cefaeac67584" xr:uid="{16C33C2D-3A44-D642-BD13-3C932FA1EDB7}"/>
  </hyperlinks>
  <pageMargins left="0.7" right="0.7" top="0.75" bottom="0.75" header="0.3" footer="0.3"/>
  <pageSetup orientation="portrait" horizontalDpi="0" verticalDpi="0"/>
  <drawing r:id="rId17"/>
  <tableParts count="2">
    <tablePart r:id="rId18"/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D792-975C-4B49-A5C5-847C4A2DD4A9}">
  <sheetPr>
    <tabColor theme="5"/>
  </sheetPr>
  <dimension ref="A1:E89"/>
  <sheetViews>
    <sheetView zoomScale="140" zoomScaleNormal="140" workbookViewId="0">
      <selection activeCell="A3" sqref="A3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230</v>
      </c>
      <c r="B3">
        <v>2013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32</v>
      </c>
      <c r="B5">
        <v>2021</v>
      </c>
      <c r="D5">
        <v>2013</v>
      </c>
      <c r="E5">
        <f>COUNTIF(Table181416202429[Year],D5)</f>
        <v>5</v>
      </c>
    </row>
    <row r="6" spans="1:5" x14ac:dyDescent="0.2">
      <c r="A6" s="3" t="s">
        <v>90</v>
      </c>
      <c r="B6">
        <v>2021</v>
      </c>
      <c r="D6">
        <v>2014</v>
      </c>
      <c r="E6">
        <f>COUNTIF(Table181416202429[Year],D6)</f>
        <v>9</v>
      </c>
    </row>
    <row r="7" spans="1:5" x14ac:dyDescent="0.2">
      <c r="A7" s="3" t="s">
        <v>12</v>
      </c>
      <c r="B7">
        <v>2020</v>
      </c>
      <c r="D7">
        <v>2015</v>
      </c>
      <c r="E7">
        <f>COUNTIF(Table181416202429[Year],D7)</f>
        <v>6</v>
      </c>
    </row>
    <row r="8" spans="1:5" x14ac:dyDescent="0.2">
      <c r="A8" s="3" t="s">
        <v>231</v>
      </c>
      <c r="B8">
        <v>2020</v>
      </c>
      <c r="D8">
        <v>2016</v>
      </c>
      <c r="E8">
        <f>COUNTIF(Table181416202429[Year],D8)</f>
        <v>10</v>
      </c>
    </row>
    <row r="9" spans="1:5" x14ac:dyDescent="0.2">
      <c r="A9" s="3" t="s">
        <v>232</v>
      </c>
      <c r="B9">
        <v>2019</v>
      </c>
      <c r="D9">
        <v>2017</v>
      </c>
      <c r="E9">
        <f>COUNTIF(Table181416202429[Year],D9)</f>
        <v>11</v>
      </c>
    </row>
    <row r="10" spans="1:5" x14ac:dyDescent="0.2">
      <c r="A10" s="3" t="s">
        <v>233</v>
      </c>
      <c r="B10">
        <v>2019</v>
      </c>
      <c r="D10">
        <v>2018</v>
      </c>
      <c r="E10">
        <f>COUNTIF(Table181416202429[Year],D10)</f>
        <v>3</v>
      </c>
    </row>
    <row r="11" spans="1:5" x14ac:dyDescent="0.2">
      <c r="A11" s="3" t="s">
        <v>234</v>
      </c>
      <c r="B11">
        <v>2019</v>
      </c>
      <c r="D11">
        <v>2019</v>
      </c>
      <c r="E11">
        <f>COUNTIF(Table181416202429[Year],D11)</f>
        <v>4</v>
      </c>
    </row>
    <row r="12" spans="1:5" x14ac:dyDescent="0.2">
      <c r="A12" s="3" t="s">
        <v>235</v>
      </c>
      <c r="B12">
        <v>2019</v>
      </c>
      <c r="D12">
        <v>2020</v>
      </c>
      <c r="E12">
        <f>COUNTIF(Table181416202429[Year],D12)</f>
        <v>2</v>
      </c>
    </row>
    <row r="13" spans="1:5" x14ac:dyDescent="0.2">
      <c r="A13" s="3" t="s">
        <v>195</v>
      </c>
      <c r="B13">
        <v>2018</v>
      </c>
      <c r="D13">
        <v>2021</v>
      </c>
      <c r="E13">
        <f>COUNTIF(Table181416202429[Year],D13)</f>
        <v>2</v>
      </c>
    </row>
    <row r="14" spans="1:5" x14ac:dyDescent="0.2">
      <c r="A14" s="3" t="s">
        <v>4</v>
      </c>
      <c r="B14">
        <v>2018</v>
      </c>
      <c r="D14">
        <v>2022</v>
      </c>
      <c r="E14">
        <f>COUNTIF(Table181416202429[Year],D14)</f>
        <v>0</v>
      </c>
    </row>
    <row r="15" spans="1:5" x14ac:dyDescent="0.2">
      <c r="A15" s="3" t="s">
        <v>61</v>
      </c>
      <c r="B15">
        <v>2018</v>
      </c>
      <c r="D15">
        <v>2023</v>
      </c>
      <c r="E15">
        <f>COUNTIF(Table181416202429[Year],D15)</f>
        <v>0</v>
      </c>
    </row>
    <row r="16" spans="1:5" x14ac:dyDescent="0.2">
      <c r="A16" s="3" t="s">
        <v>111</v>
      </c>
      <c r="B16">
        <v>2017</v>
      </c>
      <c r="D16">
        <v>2024</v>
      </c>
      <c r="E16">
        <f>COUNTIF(Table181416202429[Year],D16)</f>
        <v>0</v>
      </c>
    </row>
    <row r="17" spans="1:5" x14ac:dyDescent="0.2">
      <c r="A17" s="3" t="s">
        <v>236</v>
      </c>
      <c r="B17">
        <v>2017</v>
      </c>
      <c r="D17">
        <v>2025</v>
      </c>
      <c r="E17">
        <f>COUNTIF(Table181416202429[Year],D17)</f>
        <v>0</v>
      </c>
    </row>
    <row r="18" spans="1:5" x14ac:dyDescent="0.2">
      <c r="A18" s="3" t="s">
        <v>237</v>
      </c>
      <c r="B18">
        <v>2017</v>
      </c>
    </row>
    <row r="19" spans="1:5" x14ac:dyDescent="0.2">
      <c r="A19" s="3" t="s">
        <v>6</v>
      </c>
      <c r="B19">
        <v>2017</v>
      </c>
    </row>
    <row r="20" spans="1:5" x14ac:dyDescent="0.2">
      <c r="A20" s="3" t="s">
        <v>13</v>
      </c>
      <c r="B20">
        <v>2017</v>
      </c>
    </row>
    <row r="21" spans="1:5" x14ac:dyDescent="0.2">
      <c r="A21" s="3" t="s">
        <v>68</v>
      </c>
      <c r="B21">
        <v>2017</v>
      </c>
    </row>
    <row r="22" spans="1:5" x14ac:dyDescent="0.2">
      <c r="A22" s="3" t="s">
        <v>238</v>
      </c>
      <c r="B22">
        <v>2017</v>
      </c>
    </row>
    <row r="23" spans="1:5" x14ac:dyDescent="0.2">
      <c r="A23" s="3" t="s">
        <v>239</v>
      </c>
      <c r="B23">
        <v>2017</v>
      </c>
    </row>
    <row r="24" spans="1:5" x14ac:dyDescent="0.2">
      <c r="A24" s="3" t="s">
        <v>240</v>
      </c>
      <c r="B24">
        <v>2017</v>
      </c>
    </row>
    <row r="25" spans="1:5" x14ac:dyDescent="0.2">
      <c r="A25" s="3" t="s">
        <v>113</v>
      </c>
      <c r="B25">
        <v>2017</v>
      </c>
    </row>
    <row r="26" spans="1:5" x14ac:dyDescent="0.2">
      <c r="A26" s="3" t="s">
        <v>73</v>
      </c>
      <c r="B26">
        <v>2017</v>
      </c>
    </row>
    <row r="27" spans="1:5" x14ac:dyDescent="0.2">
      <c r="A27" s="3" t="s">
        <v>241</v>
      </c>
      <c r="B27">
        <v>2016</v>
      </c>
    </row>
    <row r="28" spans="1:5" x14ac:dyDescent="0.2">
      <c r="A28" s="3" t="s">
        <v>242</v>
      </c>
      <c r="B28">
        <v>2016</v>
      </c>
    </row>
    <row r="29" spans="1:5" x14ac:dyDescent="0.2">
      <c r="A29" s="3" t="s">
        <v>80</v>
      </c>
      <c r="B29">
        <v>2016</v>
      </c>
    </row>
    <row r="30" spans="1:5" x14ac:dyDescent="0.2">
      <c r="A30" s="3" t="s">
        <v>243</v>
      </c>
      <c r="B30">
        <v>2016</v>
      </c>
    </row>
    <row r="31" spans="1:5" x14ac:dyDescent="0.2">
      <c r="A31" s="3" t="s">
        <v>244</v>
      </c>
      <c r="B31">
        <v>2016</v>
      </c>
    </row>
    <row r="32" spans="1:5" x14ac:dyDescent="0.2">
      <c r="A32" s="3" t="s">
        <v>245</v>
      </c>
      <c r="B32">
        <v>2016</v>
      </c>
    </row>
    <row r="33" spans="1:2" x14ac:dyDescent="0.2">
      <c r="A33" s="3" t="s">
        <v>246</v>
      </c>
      <c r="B33">
        <v>2016</v>
      </c>
    </row>
    <row r="34" spans="1:2" x14ac:dyDescent="0.2">
      <c r="A34" s="3" t="s">
        <v>147</v>
      </c>
      <c r="B34">
        <v>2016</v>
      </c>
    </row>
    <row r="35" spans="1:2" x14ac:dyDescent="0.2">
      <c r="A35" s="3" t="s">
        <v>247</v>
      </c>
      <c r="B35">
        <v>2016</v>
      </c>
    </row>
    <row r="36" spans="1:2" x14ac:dyDescent="0.2">
      <c r="A36" s="3" t="s">
        <v>248</v>
      </c>
      <c r="B36">
        <v>2016</v>
      </c>
    </row>
    <row r="37" spans="1:2" x14ac:dyDescent="0.2">
      <c r="A37" s="3" t="s">
        <v>3</v>
      </c>
      <c r="B37">
        <v>2015</v>
      </c>
    </row>
    <row r="38" spans="1:2" x14ac:dyDescent="0.2">
      <c r="A38" s="3" t="s">
        <v>249</v>
      </c>
      <c r="B38">
        <v>2015</v>
      </c>
    </row>
    <row r="39" spans="1:2" x14ac:dyDescent="0.2">
      <c r="A39" s="3" t="s">
        <v>250</v>
      </c>
      <c r="B39">
        <v>2015</v>
      </c>
    </row>
    <row r="40" spans="1:2" x14ac:dyDescent="0.2">
      <c r="A40" s="3" t="s">
        <v>251</v>
      </c>
      <c r="B40">
        <v>2015</v>
      </c>
    </row>
    <row r="41" spans="1:2" x14ac:dyDescent="0.2">
      <c r="A41" s="3" t="s">
        <v>252</v>
      </c>
      <c r="B41">
        <v>2015</v>
      </c>
    </row>
    <row r="42" spans="1:2" x14ac:dyDescent="0.2">
      <c r="A42" s="3" t="s">
        <v>253</v>
      </c>
      <c r="B42">
        <v>2015</v>
      </c>
    </row>
    <row r="43" spans="1:2" x14ac:dyDescent="0.2">
      <c r="A43" s="3" t="s">
        <v>254</v>
      </c>
      <c r="B43">
        <v>2014</v>
      </c>
    </row>
    <row r="44" spans="1:2" x14ac:dyDescent="0.2">
      <c r="A44" s="3" t="s">
        <v>255</v>
      </c>
      <c r="B44">
        <v>2014</v>
      </c>
    </row>
    <row r="45" spans="1:2" x14ac:dyDescent="0.2">
      <c r="A45" s="3" t="s">
        <v>256</v>
      </c>
      <c r="B45">
        <v>2014</v>
      </c>
    </row>
    <row r="46" spans="1:2" x14ac:dyDescent="0.2">
      <c r="A46" s="3" t="s">
        <v>257</v>
      </c>
      <c r="B46">
        <v>2014</v>
      </c>
    </row>
    <row r="47" spans="1:2" x14ac:dyDescent="0.2">
      <c r="A47" s="3" t="s">
        <v>258</v>
      </c>
      <c r="B47">
        <v>2014</v>
      </c>
    </row>
    <row r="48" spans="1:2" x14ac:dyDescent="0.2">
      <c r="A48" s="3" t="s">
        <v>259</v>
      </c>
      <c r="B48">
        <v>2014</v>
      </c>
    </row>
    <row r="49" spans="1:2" x14ac:dyDescent="0.2">
      <c r="A49" s="3" t="s">
        <v>260</v>
      </c>
      <c r="B49">
        <v>2014</v>
      </c>
    </row>
    <row r="50" spans="1:2" x14ac:dyDescent="0.2">
      <c r="A50" s="3" t="s">
        <v>226</v>
      </c>
      <c r="B50">
        <v>2014</v>
      </c>
    </row>
    <row r="51" spans="1:2" x14ac:dyDescent="0.2">
      <c r="A51" s="3" t="s">
        <v>261</v>
      </c>
      <c r="B51">
        <v>2014</v>
      </c>
    </row>
    <row r="52" spans="1:2" x14ac:dyDescent="0.2">
      <c r="A52" s="3" t="s">
        <v>262</v>
      </c>
      <c r="B52">
        <v>2013</v>
      </c>
    </row>
    <row r="53" spans="1:2" x14ac:dyDescent="0.2">
      <c r="A53" s="3" t="s">
        <v>222</v>
      </c>
      <c r="B53">
        <v>2013</v>
      </c>
    </row>
    <row r="54" spans="1:2" x14ac:dyDescent="0.2">
      <c r="A54" s="3" t="s">
        <v>228</v>
      </c>
      <c r="B54">
        <v>2013</v>
      </c>
    </row>
    <row r="55" spans="1:2" x14ac:dyDescent="0.2">
      <c r="A55" s="3" t="s">
        <v>263</v>
      </c>
      <c r="B55">
        <v>2013</v>
      </c>
    </row>
    <row r="56" spans="1:2" x14ac:dyDescent="0.2">
      <c r="A56" s="3" t="s">
        <v>229</v>
      </c>
      <c r="B56">
        <v>2013</v>
      </c>
    </row>
    <row r="57" spans="1:2" x14ac:dyDescent="0.2">
      <c r="A57" s="3"/>
    </row>
    <row r="58" spans="1:2" x14ac:dyDescent="0.2">
      <c r="A58" s="3"/>
    </row>
    <row r="59" spans="1:2" x14ac:dyDescent="0.2">
      <c r="A59" s="3"/>
    </row>
    <row r="60" spans="1:2" x14ac:dyDescent="0.2">
      <c r="A60" s="3"/>
    </row>
    <row r="61" spans="1:2" x14ac:dyDescent="0.2">
      <c r="A61" s="3"/>
    </row>
    <row r="62" spans="1:2" x14ac:dyDescent="0.2">
      <c r="A62" s="3"/>
    </row>
    <row r="63" spans="1:2" x14ac:dyDescent="0.2">
      <c r="A63" s="3"/>
    </row>
    <row r="64" spans="1:2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Synthetic-Biology-in-Plants%2C-a-Boon-for-Coming-Gupta-Sharma/ced6ba66f50ddc4d90eb8c451f5df66f33d9b366" xr:uid="{1CE1BE5E-D31D-A74C-B7B6-51191EA5AD9C}"/>
    <hyperlink ref="A6" r:id="rId2" display="https://www.semanticscholar.org/paper/paraSBOLv%3A-a-foundation-for-standard-compliant-Clark-Scott-Brown/71d8f5cdbf50f2f0ef2c9333a4542ddbd45f588a" xr:uid="{D7CC39FA-A538-AB4D-9130-43EACA600E89}"/>
    <hyperlink ref="A7" r:id="rId3" display="https://www.semanticscholar.org/paper/The-Synthetic-Biology-Open-Language-(SBOL)-Version-McLaughlin-Beal/6dfcd20a4abfb0f7231a755f31c04f3c44d1ac4f" xr:uid="{E8C4CE5F-84D9-DC4A-A547-9AC6D608C829}"/>
    <hyperlink ref="A8" r:id="rId4" display="https://www.semanticscholar.org/paper/Antimicrobial-solid-media-for-screening-non%E2%80%90sterile-Behrendorff-Borr%C3%A0s-Gas/5694e608468aeb7dd967ad989330122eb73510ab" xr:uid="{441E7FAC-0D92-CF49-9A2A-FE64E6EEF8B2}"/>
    <hyperlink ref="A9" r:id="rId5" display="https://www.semanticscholar.org/paper/Antimicrobial-solid-media-for-screening-non-sterile-Behrendorff-Borr%C3%A0s-Gas/1693535c71ab2583a7b533cf2f02191383cc77de" xr:uid="{9CFAC39B-5A15-6F48-917B-C09FE0DD1F39}"/>
    <hyperlink ref="A10" r:id="rId6" display="https://www.semanticscholar.org/paper/Modeling-transcriptional-factor-cross-talk-to-gene-Aris-Borhani/b8156621a73f86eeeae54b8acc292b8617efbd24" xr:uid="{B40B3D02-2301-7F4D-8DA1-5FDB72B48ED2}"/>
    <hyperlink ref="A11" r:id="rId7" display="https://www.semanticscholar.org/paper/Natural-Bio-active-Compounds%3A-Volume-1%3A-Production-Akhtar-Swamy/342418d453f2394dd2e836b2ea7a8886cb325599" xr:uid="{AD72723E-4429-164A-ADE5-ED7F66D5951E}"/>
    <hyperlink ref="A12" r:id="rId8" display="https://www.semanticscholar.org/paper/Production-and-Application-of-Novel-Bio-active-by-Filho/0fea84a71136e840beaa9b19e0f3e247d7ce7773" xr:uid="{63DB6388-D7B3-674E-8D7F-AA78B65239D4}"/>
    <hyperlink ref="A13" r:id="rId9" display="https://www.semanticscholar.org/paper/Towards-an-Aspect-Oriented-Design-and-Modelling-for-Boeing-Leon/1ae21bda5e1a9b09a245d93fc9e207eae45ba47f" xr:uid="{80CAAD83-0588-E94E-8D8D-600B46896186}"/>
    <hyperlink ref="A14" r:id="rId10" display="https://www.semanticscholar.org/paper/Automated-Visualization-of-Genetic-Designs-Using-Bartoli-Dixon/46a419649aba0e0bc8a17d7e3daf13316df8f1c1" xr:uid="{D2BE4AB4-F6A2-DF49-B6D2-D3E60179CE0F}"/>
    <hyperlink ref="A15" r:id="rId11" display="https://www.semanticscholar.org/paper/SynBioHub%3A-A-Standards-Enabled-Design-Repository-McLaughlin-Myers/d7e09b5e245b93e605a1207d13abe4cec70834c4" xr:uid="{841CA7D9-8014-474A-B569-60271B6917BF}"/>
    <hyperlink ref="A16" r:id="rId12" display="https://www.semanticscholar.org/paper/Data-model-for-biopart-datasheets-Murieta-Bultelle/77205bcb51b21967f13071409d6421c0784422ed" xr:uid="{F940BA13-6BC0-A34F-B7D7-BAA0FD2E02B2}"/>
    <hyperlink ref="A17" r:id="rId13" display="https://www.semanticscholar.org/paper/Automated-Robotic-Liquid-Handling-Assembly-of-DNA-Ortiz-Pavan/b707c62fdc49bc36dce092b2fdc726cda767d8a6" xr:uid="{F18C23DE-156F-D14D-AF13-4A8DF201FBFA}"/>
    <hyperlink ref="A18" r:id="rId14" display="https://www.semanticscholar.org/paper/De-novo-assembly-of-genomes-from-long-sequence-of-Deptula-Laine/8eabd748bd06a0d7deb525b56a0a5c3586cf7322" xr:uid="{7C644210-BF29-9B46-8F76-B1619B172721}"/>
    <hyperlink ref="A19" r:id="rId15" display="https://www.semanticscholar.org/paper/DNAplotlib%3A-Programmable-Visualization-of-Genetic-Der-Glassey/551849c6a4b324d5aae95fd70df05f5a52d977e5" xr:uid="{DAD235D6-AA8F-2E4E-B526-2E5AA51C6368}"/>
    <hyperlink ref="A20" r:id="rId16" display="https://www.semanticscholar.org/paper/A-standard-enabled-workflow-for-synthetic-biology.-Myers-Beal/b3252fe069b409ea5126e2ff22a91c91ffcabbea" xr:uid="{FC86B3AF-971D-6C4E-B475-6424EEA274A8}"/>
    <hyperlink ref="A21" r:id="rId17" display="https://www.semanticscholar.org/paper/Design-Automation-in-Synthetic-Biology.-Appleton-Madsen/a07320d661c65ef7349e4bd0933e7da01c44ac5b" xr:uid="{871474D0-5912-EA48-A715-6BCCC2823B02}"/>
    <hyperlink ref="A22" r:id="rId18" display="https://www.semanticscholar.org/paper/%5BApplication-of-microelectronics-CAD-tools-to-Madec-Haiech/3f423a19fa9d4fb087305ee7d3a983fde2f92fef" xr:uid="{C7B0FA3B-8547-1841-B79A-7494DA69281C}"/>
    <hyperlink ref="A23" r:id="rId19" display="https://www.semanticscholar.org/paper/Determining-virus-host-interactions-and-glycerol-in-Moller-Liang/582182b5041f7a64576fdb4fbd879e6bd423f0a8" xr:uid="{540E7AC3-4C46-7D4C-8B4B-E56B1533EF18}"/>
    <hyperlink ref="A24" r:id="rId20" display="https://www.semanticscholar.org/paper/An-end-to-end-solution-for-automation-of-biological-Rodr%C3%ADguez-Pat%C3%B3n/96c992df5676e89f56d7998dcf318d652c474a0e" xr:uid="{7C02ACF2-6966-B74F-BD61-5D299F439C92}"/>
    <hyperlink ref="A25" r:id="rId21" display="https://www.semanticscholar.org/paper/1-Stochastic-Model-Checking-of-Genetic-Circuits-Madsen/88e3e82a3e42324e65421282f0705c80570c8dbb" xr:uid="{EC4FD525-8073-B146-B6F6-7E2B4F760039}"/>
    <hyperlink ref="A26" r:id="rId22" display="https://www.semanticscholar.org/paper/RSMLab-%3A-a-web-based-tool-for-recombinase-based-and-Kugener/1f8c390855c17d1d3a599bb53aabf42b40734f50" xr:uid="{DEFB8D1E-3A43-DA4A-A33F-DA31492575C5}"/>
    <hyperlink ref="A27" r:id="rId23" display="https://www.semanticscholar.org/paper/Development-of-a-Bacillus-subtilis-cell-free-system-Kelwick-Webb/8dd1586a15fa07c2f30b220b657cf98fb1c108a9" xr:uid="{E77CDA22-BDDA-C943-A026-76E13457231B}"/>
    <hyperlink ref="A28" r:id="rId24" display="https://www.semanticscholar.org/paper/GeNeDA%3A-An-Open-Source-Workflow-for-Design-of-Gene-Madec-P%C3%AAcheux/6d9238163bf5a28eaa10f8e1fac6e8c05ccd7b5b" xr:uid="{8EBD63FA-27CF-8746-BE7C-41AD53384DD5}"/>
    <hyperlink ref="A29" r:id="rId25" display="https://www.semanticscholar.org/paper/Improving-Synthetic-Biology-Communication%3A-for-and-Hillson-Plahar/34851ee7baf69fdbcf590bf35656d81c33419456" xr:uid="{41DF59BF-9180-AB4D-9E53-F65492C7DE0C}"/>
    <hyperlink ref="A30" r:id="rId26" display="https://www.semanticscholar.org/paper/CRISPR-Cas9-Based-Genome-Editing-of-Penicillium-Pohl-Kiel/1961ee182e2da7402f83eb7ff33d028aabf6f083" xr:uid="{0EF018FF-8A74-9A4D-9645-FB330368718D}"/>
    <hyperlink ref="A31" r:id="rId27" display="https://www.semanticscholar.org/paper/A-protease-based-biosensor-for-the-detection-of-Webb-Kelwick/c89028a8e4269faae5f56404c0ded42d3bef4354" xr:uid="{F9B0AF4C-E896-224D-8A9F-3499FB2D0CD2}"/>
    <hyperlink ref="A32" r:id="rId28" display="https://www.semanticscholar.org/paper/Theory-and-Construction-of-Semi-Synthetic-Minimal-Stano-Luisi/691497f5d6d73037bf7cf368ad7833ea1dfc292c" xr:uid="{9F16A602-9A23-254B-A1CB-FD18CF607F84}"/>
    <hyperlink ref="A33" r:id="rId29" display="https://www.semanticscholar.org/paper/Harnessing-QbD%2C-Programming-Languages%2C-and-for-Sadowski-Grant/5982dbb98dba2b38fac6ca253ad9f0eb77261296" xr:uid="{469D9CA7-D710-774D-8C3F-661B80E3EAF9}"/>
    <hyperlink ref="A34" r:id="rId30" display="https://www.semanticscholar.org/paper/VisBOL%3A-Web-Based-Tools-for-Synthetic-Biology-McLaughlin-Pocock/27951453a376e907cff97e7f3d3167c024c7cf87" xr:uid="{F61E9591-22C6-9048-BD45-50E02477AC7D}"/>
    <hyperlink ref="A35" r:id="rId31" display="https://www.semanticscholar.org/paper/Design-Tools-for-Synthetic-Biology-Boeing-Ozdemir/4a4b4d3bdd3af7373621af7c536881724f95f07c" xr:uid="{5C832E32-CE49-7C44-9B4F-3E16DF00FCED}"/>
    <hyperlink ref="A36" r:id="rId32" display="https://www.semanticscholar.org/paper/CIDAR-MoClo%3A-Improved-MoClo-Assembly-Standard-and-Iverson-Haddock/b5ef39ab3a0e72cd0a60d707232435157d71dd99" xr:uid="{61C2764B-FA6B-324C-B609-DCD73832F3D7}"/>
    <hyperlink ref="A37" r:id="rId33" display="https://www.semanticscholar.org/paper/SBOL-Visual%3A-A-Graphical-Language-for-Genetic-Quinn-Cox/642d06a20fed94a96186ea0e6c89a694f84ab7bd" xr:uid="{CCFBADE1-6383-B84C-B8DF-F2CC10F48952}"/>
    <hyperlink ref="A38" r:id="rId34" display="https://www.semanticscholar.org/paper/Web-based-software-tool-for-constraint-based-design-Oberortner-Densmore/5667d6eb94f3cf026e8c1ec93e1e3a6bf16bae53" xr:uid="{582C74B7-FA64-DB44-B935-CD8455B8B625}"/>
    <hyperlink ref="A39" r:id="rId35" display="https://www.semanticscholar.org/paper/Generating-Systems-Biology-Markup-Language-Models-Roehner-Zhang/7ed442a9c7663023559600f27eecd251e2dcef0b" xr:uid="{A26AE1C1-0F4B-3245-B4A9-0DD48865A608}"/>
    <hyperlink ref="A40" r:id="rId36" display="https://www.semanticscholar.org/paper/Proposed-data-model-for-the-next-version-of-the-Roehner-Oberortner/a28d213c8c079a24bac094d3f7c9970a24f44cce" xr:uid="{4B8C9CDE-7975-544B-847D-0F170145666E}"/>
    <hyperlink ref="A41" r:id="rId37" display="https://www.semanticscholar.org/paper/The-synthetic-biology-open-language.-Myers-Clancy/6221f4cfbdaa503d2aedc998a52d965e4606e82f" xr:uid="{7C70DA5D-9E5E-C44A-BE5B-3B66AC2A239A}"/>
    <hyperlink ref="A42" r:id="rId38" display="https://www.semanticscholar.org/paper/Lawrence-Berkeley-National-Laboratory-Recent-Work-%3A-Quinn-Cox/fb94eeb8210b8966cb28ccf7aa014d260529b60f" xr:uid="{FD36C997-4DBF-9B49-8BB8-E535C23E17BF}"/>
    <hyperlink ref="A43" r:id="rId39" display="https://www.semanticscholar.org/paper/Composable-Modular-Models-for-Synthetic-Biology-Misirli-Hallinan/dfb7e40079e618b23e9e16ed13d466433e212d71" xr:uid="{9AF2E50F-BCF3-264E-8B65-3525AD4DD115}"/>
    <hyperlink ref="A44" r:id="rId40" display="https://www.semanticscholar.org/paper/A-Rule-Based-Design-Specification-Language-for-Oberortner-Bhatia/a337e752c7aa456e07e401c14df15e037b243a32" xr:uid="{A4ECD415-5363-744A-820A-0C9E3D04F475}"/>
    <hyperlink ref="A45" r:id="rId41" display="https://www.semanticscholar.org/paper/Stochastic-Model-Checking-of-Genetic-Circuits-Madsen-Zhang/19242b4b077b0214ba7f6405ec05abd961eb3f1e" xr:uid="{DF6C3510-C7AC-7849-A5FB-A58C9175DE8E}"/>
    <hyperlink ref="A46" r:id="rId42" display="https://www.semanticscholar.org/paper/Owl%3A-electronic-datasheet-generator.-Appleton-Tao/e62d35604ff0a3b027fb56caa91c0085c299b956" xr:uid="{21671355-74B7-0046-8E75-67C24CAAC0C1}"/>
    <hyperlink ref="A47" r:id="rId43" display="https://www.semanticscholar.org/paper/On-Industrial-Strength-Bio-design-Automation-Matzke-Barnes/324164966b2db9d7dba3a9c1e129518c2824ffe0" xr:uid="{BFDF7E12-E66E-E84E-92A8-C36FAA19BE50}"/>
    <hyperlink ref="A48" r:id="rId44" display="https://www.semanticscholar.org/paper/Interactive-assembly-algorithms-for-molecular-Appleton-Tao/51fabd0cf58c4e5907c46550b84fee853f74b754" xr:uid="{47568937-4922-CC41-9201-9E901945B0D9}"/>
    <hyperlink ref="A49" r:id="rId45" display="https://www.semanticscholar.org/paper/Principles-of-genetic-circuit-design-Brophy-Voigt/8aec0df176f2c4c06f9b67d021eec83585cc8af0" xr:uid="{565DF1BC-A534-E041-9E91-C4C5D71BFEB1}"/>
    <hyperlink ref="A50" r:id="rId46" display="https://www.semanticscholar.org/paper/Technology-mapping-of-genetic-circuit-designs-Roehner/e4f1b35990d81bac7758f3938ef67c50ffbd89e8" xr:uid="{EA904B4E-10FE-2046-84E8-2BB0EEE52C6C}"/>
    <hyperlink ref="A51" r:id="rId47" display="https://www.semanticscholar.org/paper/A-modelling-framework-for-Synthetic-Biology-Boysen-Laursen/24aa5298bd25c20d4b49902292a8e9462b318fcf" xr:uid="{CC22BE34-C7E7-2646-B36A-014AF22F3E46}"/>
    <hyperlink ref="A52" r:id="rId48" display="https://www.semanticscholar.org/paper/MoClo-planner%3A-Interactive-visualization-for-Shaer-Valdes/bebe7b33bffef9abfb32f4c5cc0665769234c94a" xr:uid="{36EBD7B1-9661-1443-8E91-1D573DCD7C3E}"/>
    <hyperlink ref="A53" r:id="rId49" display="https://www.semanticscholar.org/paper/SBOL%3A-A-community-standard-for-communicating-in-Michal-Mandy/e118a2de9835602ec0da1d1f6c30acba6e1cace3" xr:uid="{59A3F870-1F55-5B4D-894F-15A367FD0C8E}"/>
    <hyperlink ref="A54" r:id="rId50" display="https://www.semanticscholar.org/paper/Recent-Advances-in-the-Synthetic-Biology-Open-Galdzicki-Oberortner/116383a709e2eae871b7808ec31e8062755519e5" xr:uid="{F9821777-9423-4946-B4D0-B728F8C67DFA}"/>
    <hyperlink ref="A55" r:id="rId51" display="https://www.semanticscholar.org/paper/Platforms-for-Genetic-Design-Automation-Myers/e1239ce502b9b1f3373f4c3f93b763980880ab50" xr:uid="{21764B74-E98C-8C4A-BFA5-A2C7A6692127}"/>
    <hyperlink ref="A56" r:id="rId52" display="https://www.semanticscholar.org/paper/Synthetic-Biology-Open-Language-Visual%3A-An-Notation-Quinn-Beal/c17574e6a79289a7cb52edc5494e0ca69676a40b" xr:uid="{12D76A21-3AB0-294A-9DA6-D36C1ADA7D40}"/>
  </hyperlinks>
  <pageMargins left="0.7" right="0.7" top="0.75" bottom="0.75" header="0.3" footer="0.3"/>
  <pageSetup orientation="portrait" horizontalDpi="0" verticalDpi="0"/>
  <drawing r:id="rId53"/>
  <tableParts count="2">
    <tablePart r:id="rId54"/>
    <tablePart r:id="rId5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16FF-BFC2-634C-9802-891C994CBAA2}">
  <sheetPr>
    <tabColor theme="5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147</v>
      </c>
      <c r="B3">
        <v>2016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26</v>
      </c>
      <c r="B5">
        <v>2022</v>
      </c>
      <c r="D5">
        <v>2013</v>
      </c>
      <c r="E5">
        <f>COUNTIF(Table1814162024[Year],D5)</f>
        <v>0</v>
      </c>
    </row>
    <row r="6" spans="1:5" x14ac:dyDescent="0.2">
      <c r="A6" s="3" t="s">
        <v>32</v>
      </c>
      <c r="B6">
        <v>2021</v>
      </c>
      <c r="D6">
        <v>2014</v>
      </c>
      <c r="E6">
        <f>COUNTIF(Table1814162024[Year],D6)</f>
        <v>0</v>
      </c>
    </row>
    <row r="7" spans="1:5" x14ac:dyDescent="0.2">
      <c r="A7" s="3" t="s">
        <v>90</v>
      </c>
      <c r="B7">
        <v>2021</v>
      </c>
      <c r="D7">
        <v>2015</v>
      </c>
      <c r="E7">
        <f>COUNTIF(Table1814162024[Year],D7)</f>
        <v>0</v>
      </c>
    </row>
    <row r="8" spans="1:5" x14ac:dyDescent="0.2">
      <c r="A8" s="3" t="s">
        <v>148</v>
      </c>
      <c r="B8">
        <v>2020</v>
      </c>
      <c r="D8">
        <v>2016</v>
      </c>
      <c r="E8">
        <f>COUNTIF(Table1814162024[Year],D8)</f>
        <v>2</v>
      </c>
    </row>
    <row r="9" spans="1:5" x14ac:dyDescent="0.2">
      <c r="A9" s="3" t="s">
        <v>12</v>
      </c>
      <c r="B9">
        <v>2020</v>
      </c>
      <c r="D9">
        <v>2017</v>
      </c>
      <c r="E9">
        <f>COUNTIF(Table1814162024[Year],D9)</f>
        <v>4</v>
      </c>
    </row>
    <row r="10" spans="1:5" x14ac:dyDescent="0.2">
      <c r="A10" s="3" t="s">
        <v>149</v>
      </c>
      <c r="B10">
        <v>2020</v>
      </c>
      <c r="D10">
        <v>2018</v>
      </c>
      <c r="E10">
        <f>COUNTIF(Table1814162024[Year],D10)</f>
        <v>3</v>
      </c>
    </row>
    <row r="11" spans="1:5" x14ac:dyDescent="0.2">
      <c r="A11" s="3" t="s">
        <v>150</v>
      </c>
      <c r="B11">
        <v>2020</v>
      </c>
      <c r="D11">
        <v>2019</v>
      </c>
      <c r="E11">
        <f>COUNTIF(Table1814162024[Year],D11)</f>
        <v>1</v>
      </c>
    </row>
    <row r="12" spans="1:5" x14ac:dyDescent="0.2">
      <c r="A12" s="3" t="s">
        <v>151</v>
      </c>
      <c r="B12">
        <v>2020</v>
      </c>
      <c r="D12">
        <v>2020</v>
      </c>
      <c r="E12">
        <f>COUNTIF(Table1814162024[Year],D12)</f>
        <v>5</v>
      </c>
    </row>
    <row r="13" spans="1:5" x14ac:dyDescent="0.2">
      <c r="A13" s="3" t="s">
        <v>8</v>
      </c>
      <c r="B13">
        <v>2019</v>
      </c>
      <c r="D13">
        <v>2021</v>
      </c>
      <c r="E13">
        <f>COUNTIF(Table1814162024[Year],D13)</f>
        <v>2</v>
      </c>
    </row>
    <row r="14" spans="1:5" x14ac:dyDescent="0.2">
      <c r="A14" s="3" t="s">
        <v>152</v>
      </c>
      <c r="B14">
        <v>2018</v>
      </c>
      <c r="D14">
        <v>2022</v>
      </c>
      <c r="E14">
        <f>COUNTIF(Table1814162024[Year],D14)</f>
        <v>1</v>
      </c>
    </row>
    <row r="15" spans="1:5" x14ac:dyDescent="0.2">
      <c r="A15" s="3" t="s">
        <v>4</v>
      </c>
      <c r="B15">
        <v>2018</v>
      </c>
      <c r="D15">
        <v>2023</v>
      </c>
      <c r="E15">
        <f>COUNTIF(Table1814162024[Year],D15)</f>
        <v>0</v>
      </c>
    </row>
    <row r="16" spans="1:5" x14ac:dyDescent="0.2">
      <c r="A16" s="3" t="s">
        <v>61</v>
      </c>
      <c r="B16">
        <v>2018</v>
      </c>
      <c r="D16">
        <v>2024</v>
      </c>
      <c r="E16">
        <f>COUNTIF(Table1814162024[Year],D16)</f>
        <v>0</v>
      </c>
    </row>
    <row r="17" spans="1:5" x14ac:dyDescent="0.2">
      <c r="A17" s="3" t="s">
        <v>64</v>
      </c>
      <c r="B17">
        <v>2017</v>
      </c>
      <c r="D17">
        <v>2025</v>
      </c>
      <c r="E17">
        <f>COUNTIF(Table1814162024[Year],D17)</f>
        <v>0</v>
      </c>
    </row>
    <row r="18" spans="1:5" x14ac:dyDescent="0.2">
      <c r="A18" s="3" t="s">
        <v>65</v>
      </c>
      <c r="B18">
        <v>2017</v>
      </c>
    </row>
    <row r="19" spans="1:5" x14ac:dyDescent="0.2">
      <c r="A19" s="3" t="s">
        <v>6</v>
      </c>
      <c r="B19">
        <v>2017</v>
      </c>
    </row>
    <row r="20" spans="1:5" x14ac:dyDescent="0.2">
      <c r="A20" s="3" t="s">
        <v>13</v>
      </c>
      <c r="B20">
        <v>2017</v>
      </c>
    </row>
    <row r="21" spans="1:5" x14ac:dyDescent="0.2">
      <c r="A21" s="3" t="s">
        <v>79</v>
      </c>
      <c r="B21">
        <v>2016</v>
      </c>
    </row>
    <row r="22" spans="1:5" x14ac:dyDescent="0.2">
      <c r="A22" s="3" t="s">
        <v>87</v>
      </c>
      <c r="B22">
        <v>2016</v>
      </c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Tyto%3A-A-Python-Tool-Enabling-Better-Annotation-for-Bartley/5a98d45623e002e070fef7ce8e728dc2e09783a2" xr:uid="{6D3DCC7B-19A7-8843-AE80-F434E591AEDA}"/>
    <hyperlink ref="A7" r:id="rId2" display="https://www.semanticscholar.org/paper/paraSBOLv%3A-a-foundation-for-standard-compliant-Clark-Scott-Brown/71d8f5cdbf50f2f0ef2c9333a4542ddbd45f588a" xr:uid="{827281F7-CF0F-664A-BB44-68848FBC871C}"/>
    <hyperlink ref="A8" r:id="rId3" display="https://www.semanticscholar.org/paper/Flapjack%3A-a-data-management-and-analysis-tool-for-Feli%C3%BA-G%C3%B3mez/3866adc21f934ea25ee7472ce7d9eb08223daf81" xr:uid="{AF4313AF-998A-0A4C-9720-39FD96C20EFA}"/>
    <hyperlink ref="A9" r:id="rId4" display="https://www.semanticscholar.org/paper/The-Synthetic-Biology-Open-Language-(SBOL)-Version-McLaughlin-Beal/6dfcd20a4abfb0f7231a755f31c04f3c44d1ac4f" xr:uid="{7BCC944B-6F68-7D46-AE3B-3BAA35B79534}"/>
    <hyperlink ref="A10" r:id="rId5" display="https://www.semanticscholar.org/paper/Teaching-Experience-Vershynina-Nachtergaele/6650da82ac9644e36243dda67b74ff5699179d33" xr:uid="{A8D76213-708E-2F41-BF7A-B8699E96ABEE}"/>
    <hyperlink ref="A11" r:id="rId6" display="https://www.semanticscholar.org/paper/ShortBOL%3A-A-language-for-scripting-designs-for-Open-Crowther-Grozinger/3e079a36c6ae4b424f9aa0d988f78c6b496e4fe6" xr:uid="{21BE2CC9-C041-CB48-8D17-5853F7967C9F}"/>
    <hyperlink ref="A12" r:id="rId7" display="https://www.semanticscholar.org/paper/Digital-Circuit-Design-for-Biological-and-Silicon-F%C3%BCgger-Kushwaha/ad2beb4ef538ad0d269b73ccc83c576d0622115f" xr:uid="{B91F6F5C-1A13-6343-9944-607923B28271}"/>
    <hyperlink ref="A13" r:id="rId8" display="https://www.semanticscholar.org/paper/Communicating-Structure-and-Function-in-Synthetic-Beal-Nguyen/fd928bd543c77845da28c0f1dd30eaebb0b3c10e" xr:uid="{C69C4DCF-A3DD-AC4C-9D55-59D65BD11E88}"/>
    <hyperlink ref="A6" r:id="rId9" display="https://www.semanticscholar.org/paper/Synthetic-Biology-in-Plants%2C-a-Boon-for-Coming-Gupta-Sharma/ced6ba66f50ddc4d90eb8c451f5df66f33d9b366" xr:uid="{59E9FD93-83DF-4B4B-B82D-71F9920DE2A4}"/>
    <hyperlink ref="A14" r:id="rId10" display="https://www.semanticscholar.org/paper/sboljs%3A-Bringing-the-Synthetic-Biology-Open-to-the-McLaughlin-Myers/73b828dfde9d9d5b86ad4040f30e6d16673791f2" xr:uid="{C003F079-EEDC-F946-9F9F-64F266F8C7FF}"/>
    <hyperlink ref="A15" r:id="rId11" display="https://www.semanticscholar.org/paper/Automated-Visualization-of-Genetic-Designs-Using-Bartoli-Dixon/46a419649aba0e0bc8a17d7e3daf13316df8f1c1" xr:uid="{BE69D220-D42E-7940-8BFD-3F0A28465AB9}"/>
    <hyperlink ref="A16" r:id="rId12" display="https://www.semanticscholar.org/paper/SynBioHub%3A-A-Standards-Enabled-Design-Repository-McLaughlin-Myers/d7e09b5e245b93e605a1207d13abe4cec70834c4" xr:uid="{4A13AE21-DCD6-1343-9C53-CFB56C9FDCA3}"/>
    <hyperlink ref="A17" r:id="rId13" display="https://www.semanticscholar.org/paper/Proceedings-of-the-2017-Winter-Simulation-Chan-D%E2%80%99Ambrogio/05e24ff19ba3e6960847d86ca82cde7c664bfd9b" xr:uid="{EE5D52FE-DEED-CD42-BA71-72A65304EACC}"/>
    <hyperlink ref="A18" r:id="rId14" display="https://www.semanticscholar.org/paper/A-brief-history-of-COMBINE-Myers-Bader/8539b78b176b731c0554f6f57261d2cc80b6322a" xr:uid="{19544C54-8DC1-FB48-A11D-11FCC2C291C9}"/>
    <hyperlink ref="A19" r:id="rId15" display="https://www.semanticscholar.org/paper/DNAplotlib%3A-Programmable-Visualization-of-Genetic-Der-Glassey/551849c6a4b324d5aae95fd70df05f5a52d977e5" xr:uid="{D65F11E0-B0AA-834D-B93C-5D122054273E}"/>
    <hyperlink ref="A20" r:id="rId16" display="https://www.semanticscholar.org/paper/A-standard-enabled-workflow-for-synthetic-biology.-Myers-Beal/b3252fe069b409ea5126e2ff22a91c91ffcabbea" xr:uid="{977753B9-8515-3E49-91B4-B4525B2165A9}"/>
    <hyperlink ref="A21" r:id="rId17" display="https://www.semanticscholar.org/paper/The-SBOL-Stack%3A-A-Platform-for-Storing%2C-Publishing%2C-Madsen-McLaughlin/4c88cdab1a6db8f88a73331cd1158e6ce42b8f02" xr:uid="{34E6ADA7-47BE-4540-AEF5-880B10D58961}"/>
    <hyperlink ref="A22" r:id="rId18" display="https://www.semanticscholar.org/paper/Deriving-stress-specific-biomarkers-for-Bacillus-of-Pastor-Wipat/b5347be81c0b01bf3e6b5a8c450f0920116690e4" xr:uid="{392354F8-6757-5044-BB4D-4989797F8106}"/>
  </hyperlinks>
  <pageMargins left="0.7" right="0.7" top="0.75" bottom="0.75" header="0.3" footer="0.3"/>
  <pageSetup orientation="portrait" horizontalDpi="0" verticalDpi="0"/>
  <drawing r:id="rId19"/>
  <tableParts count="2"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7BA6-2D12-8A49-9DF8-23AC82674A77}">
  <sheetPr>
    <tabColor theme="5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6</v>
      </c>
      <c r="B3">
        <v>2017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124</v>
      </c>
      <c r="B5">
        <v>2024</v>
      </c>
      <c r="D5">
        <v>2013</v>
      </c>
      <c r="E5">
        <f>COUNTIF(Table18141620242618[Year],D5)</f>
        <v>0</v>
      </c>
    </row>
    <row r="6" spans="1:5" x14ac:dyDescent="0.2">
      <c r="A6" s="3" t="s">
        <v>136</v>
      </c>
      <c r="B6">
        <v>2024</v>
      </c>
      <c r="D6">
        <v>2014</v>
      </c>
      <c r="E6">
        <f>COUNTIF(Table18141620242618[Year],D6)</f>
        <v>0</v>
      </c>
    </row>
    <row r="7" spans="1:5" x14ac:dyDescent="0.2">
      <c r="A7" s="3" t="s">
        <v>175</v>
      </c>
      <c r="B7">
        <v>2023</v>
      </c>
      <c r="D7">
        <v>2015</v>
      </c>
      <c r="E7">
        <f>COUNTIF(Table18141620242618[Year],D7)</f>
        <v>0</v>
      </c>
    </row>
    <row r="8" spans="1:5" x14ac:dyDescent="0.2">
      <c r="A8" s="3" t="s">
        <v>176</v>
      </c>
      <c r="B8">
        <v>2023</v>
      </c>
      <c r="D8">
        <v>2016</v>
      </c>
      <c r="E8">
        <f>COUNTIF(Table18141620242618[Year],D8)</f>
        <v>1</v>
      </c>
    </row>
    <row r="9" spans="1:5" x14ac:dyDescent="0.2">
      <c r="A9" s="3" t="s">
        <v>177</v>
      </c>
      <c r="B9">
        <v>2022</v>
      </c>
      <c r="D9">
        <v>2017</v>
      </c>
      <c r="E9">
        <f>COUNTIF(Table18141620242618[Year],D9)</f>
        <v>4</v>
      </c>
    </row>
    <row r="10" spans="1:5" x14ac:dyDescent="0.2">
      <c r="A10" s="3" t="s">
        <v>26</v>
      </c>
      <c r="B10">
        <v>2022</v>
      </c>
      <c r="D10">
        <v>2018</v>
      </c>
      <c r="E10">
        <f>COUNTIF(Table18141620242618[Year],D10)</f>
        <v>4</v>
      </c>
    </row>
    <row r="11" spans="1:5" x14ac:dyDescent="0.2">
      <c r="A11" s="3" t="s">
        <v>178</v>
      </c>
      <c r="B11">
        <v>2022</v>
      </c>
      <c r="D11">
        <v>2019</v>
      </c>
      <c r="E11">
        <f>COUNTIF(Table18141620242618[Year],D11)</f>
        <v>5</v>
      </c>
    </row>
    <row r="12" spans="1:5" x14ac:dyDescent="0.2">
      <c r="A12" s="3" t="s">
        <v>90</v>
      </c>
      <c r="B12">
        <v>2021</v>
      </c>
      <c r="D12">
        <v>2020</v>
      </c>
      <c r="E12">
        <f>COUNTIF(Table18141620242618[Year],D12)</f>
        <v>12</v>
      </c>
    </row>
    <row r="13" spans="1:5" x14ac:dyDescent="0.2">
      <c r="A13" s="3" t="s">
        <v>179</v>
      </c>
      <c r="B13">
        <v>2021</v>
      </c>
      <c r="D13">
        <v>2021</v>
      </c>
      <c r="E13">
        <f>COUNTIF(Table18141620242618[Year],D13)</f>
        <v>8</v>
      </c>
    </row>
    <row r="14" spans="1:5" x14ac:dyDescent="0.2">
      <c r="A14" s="3" t="s">
        <v>128</v>
      </c>
      <c r="B14">
        <v>2021</v>
      </c>
      <c r="D14">
        <v>2022</v>
      </c>
      <c r="E14">
        <f>COUNTIF(Table18141620242618[Year],D14)</f>
        <v>3</v>
      </c>
    </row>
    <row r="15" spans="1:5" x14ac:dyDescent="0.2">
      <c r="A15" s="3" t="s">
        <v>121</v>
      </c>
      <c r="B15">
        <v>2021</v>
      </c>
      <c r="D15">
        <v>2023</v>
      </c>
      <c r="E15">
        <f>COUNTIF(Table18141620242618[Year],D15)</f>
        <v>2</v>
      </c>
    </row>
    <row r="16" spans="1:5" x14ac:dyDescent="0.2">
      <c r="A16" s="3" t="s">
        <v>35</v>
      </c>
      <c r="B16">
        <v>2021</v>
      </c>
      <c r="D16">
        <v>2024</v>
      </c>
      <c r="E16">
        <f>COUNTIF(Table18141620242618[Year],D16)</f>
        <v>2</v>
      </c>
    </row>
    <row r="17" spans="1:5" x14ac:dyDescent="0.2">
      <c r="A17" s="3" t="s">
        <v>180</v>
      </c>
      <c r="B17">
        <v>2021</v>
      </c>
      <c r="D17">
        <v>2025</v>
      </c>
      <c r="E17">
        <f>COUNTIF(Table18141620242618[Year],D17)</f>
        <v>0</v>
      </c>
    </row>
    <row r="18" spans="1:5" x14ac:dyDescent="0.2">
      <c r="A18" s="3" t="s">
        <v>181</v>
      </c>
      <c r="B18">
        <v>2021</v>
      </c>
    </row>
    <row r="19" spans="1:5" x14ac:dyDescent="0.2">
      <c r="A19" s="3" t="s">
        <v>182</v>
      </c>
      <c r="B19">
        <v>2021</v>
      </c>
    </row>
    <row r="20" spans="1:5" x14ac:dyDescent="0.2">
      <c r="A20" s="3" t="s">
        <v>91</v>
      </c>
      <c r="B20">
        <v>2020</v>
      </c>
    </row>
    <row r="21" spans="1:5" x14ac:dyDescent="0.2">
      <c r="A21" s="3" t="s">
        <v>183</v>
      </c>
      <c r="B21">
        <v>2020</v>
      </c>
    </row>
    <row r="22" spans="1:5" x14ac:dyDescent="0.2">
      <c r="A22" s="3" t="s">
        <v>184</v>
      </c>
      <c r="B22">
        <v>2020</v>
      </c>
    </row>
    <row r="23" spans="1:5" x14ac:dyDescent="0.2">
      <c r="A23" s="3" t="s">
        <v>12</v>
      </c>
      <c r="B23">
        <v>2020</v>
      </c>
    </row>
    <row r="24" spans="1:5" x14ac:dyDescent="0.2">
      <c r="A24" s="3" t="s">
        <v>185</v>
      </c>
      <c r="B24">
        <v>2020</v>
      </c>
    </row>
    <row r="25" spans="1:5" x14ac:dyDescent="0.2">
      <c r="A25" s="3" t="s">
        <v>186</v>
      </c>
      <c r="B25">
        <v>2020</v>
      </c>
    </row>
    <row r="26" spans="1:5" x14ac:dyDescent="0.2">
      <c r="A26" s="3" t="s">
        <v>187</v>
      </c>
      <c r="B26">
        <v>2020</v>
      </c>
    </row>
    <row r="27" spans="1:5" x14ac:dyDescent="0.2">
      <c r="A27" s="3" t="s">
        <v>188</v>
      </c>
      <c r="B27">
        <v>2020</v>
      </c>
    </row>
    <row r="28" spans="1:5" x14ac:dyDescent="0.2">
      <c r="A28" s="3" t="s">
        <v>189</v>
      </c>
      <c r="B28">
        <v>2020</v>
      </c>
    </row>
    <row r="29" spans="1:5" x14ac:dyDescent="0.2">
      <c r="A29" s="3" t="s">
        <v>190</v>
      </c>
      <c r="B29">
        <v>2020</v>
      </c>
    </row>
    <row r="30" spans="1:5" x14ac:dyDescent="0.2">
      <c r="A30" s="3" t="s">
        <v>191</v>
      </c>
      <c r="B30">
        <v>2020</v>
      </c>
    </row>
    <row r="31" spans="1:5" x14ac:dyDescent="0.2">
      <c r="A31" s="3" t="s">
        <v>192</v>
      </c>
      <c r="B31">
        <v>2020</v>
      </c>
    </row>
    <row r="32" spans="1:5" x14ac:dyDescent="0.2">
      <c r="A32" s="3" t="s">
        <v>193</v>
      </c>
      <c r="B32">
        <v>2019</v>
      </c>
    </row>
    <row r="33" spans="1:2" x14ac:dyDescent="0.2">
      <c r="A33" s="3" t="s">
        <v>8</v>
      </c>
      <c r="B33">
        <v>2019</v>
      </c>
    </row>
    <row r="34" spans="1:2" x14ac:dyDescent="0.2">
      <c r="A34" s="3" t="s">
        <v>101</v>
      </c>
      <c r="B34">
        <v>2019</v>
      </c>
    </row>
    <row r="35" spans="1:2" x14ac:dyDescent="0.2">
      <c r="A35" s="3" t="s">
        <v>194</v>
      </c>
      <c r="B35">
        <v>2019</v>
      </c>
    </row>
    <row r="36" spans="1:2" x14ac:dyDescent="0.2">
      <c r="A36" s="3" t="s">
        <v>165</v>
      </c>
      <c r="B36">
        <v>2019</v>
      </c>
    </row>
    <row r="37" spans="1:2" x14ac:dyDescent="0.2">
      <c r="A37" s="3" t="s">
        <v>195</v>
      </c>
      <c r="B37">
        <v>2018</v>
      </c>
    </row>
    <row r="38" spans="1:2" x14ac:dyDescent="0.2">
      <c r="A38" s="3" t="s">
        <v>196</v>
      </c>
      <c r="B38">
        <v>2018</v>
      </c>
    </row>
    <row r="39" spans="1:2" x14ac:dyDescent="0.2">
      <c r="A39" s="3" t="s">
        <v>4</v>
      </c>
      <c r="B39">
        <v>2018</v>
      </c>
    </row>
    <row r="40" spans="1:2" x14ac:dyDescent="0.2">
      <c r="A40" s="3" t="s">
        <v>61</v>
      </c>
      <c r="B40">
        <v>2018</v>
      </c>
    </row>
    <row r="41" spans="1:2" x14ac:dyDescent="0.2">
      <c r="A41" s="3" t="s">
        <v>197</v>
      </c>
      <c r="B41">
        <v>2017</v>
      </c>
    </row>
    <row r="42" spans="1:2" x14ac:dyDescent="0.2">
      <c r="A42" s="3" t="s">
        <v>198</v>
      </c>
      <c r="B42">
        <v>2017</v>
      </c>
    </row>
    <row r="43" spans="1:2" x14ac:dyDescent="0.2">
      <c r="A43" s="3" t="s">
        <v>13</v>
      </c>
      <c r="B43">
        <v>2017</v>
      </c>
    </row>
    <row r="44" spans="1:2" x14ac:dyDescent="0.2">
      <c r="A44" s="3" t="s">
        <v>199</v>
      </c>
      <c r="B44">
        <v>2017</v>
      </c>
    </row>
    <row r="45" spans="1:2" x14ac:dyDescent="0.2">
      <c r="A45" s="3" t="s">
        <v>74</v>
      </c>
      <c r="B45">
        <v>2016</v>
      </c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Specifications-of-standards-in-systems-and-biology%3A-Golebiewski-Bader/ea67fe2db24f8615bfe0aef923986875d422f345" xr:uid="{11844EE4-B725-CA42-B785-85313DFD0A6D}"/>
    <hyperlink ref="A6" r:id="rId2" display="https://www.semanticscholar.org/paper/Genetic-Parts-and-Enabling-Tools-for-Biocircuit-Buson-Gao/dc9b8f6aba3ffff97b2b02b91cd46faf7bf655d9" xr:uid="{D151AD63-BEB2-3244-B3BA-F06A4E259A77}"/>
    <hyperlink ref="A7" r:id="rId3" display="https://www.semanticscholar.org/paper/Living-Material-with-Temperature%E2%80%90Dependent-Light-Xiong-Garrett/ed1ea72c54d373eb823a759bcd177386c3a0b154" xr:uid="{EB03CA52-D850-814B-9DC0-B5C0E526E779}"/>
    <hyperlink ref="A8" r:id="rId4" display="https://www.semanticscholar.org/paper/Pan-genome-survey-of-the-fish-pathogen-Yersinia-and-Riborg-Gulla/05da3c33800784a09da7e6c534a60b4ec3c3761c" xr:uid="{42A42794-64F5-4741-8020-290C631D2AF7}"/>
    <hyperlink ref="A9" r:id="rId5" display="https://www.semanticscholar.org/paper/Cross-kingdom-expression-of-synthetic-genetic-of-in-Patel-Oh/dc79bc182d95eb2b8e93c2e80bb74917756d3b92" xr:uid="{53505A0B-359A-AB4F-ADFA-1009F26301DA}"/>
    <hyperlink ref="A10" r:id="rId6" display="https://www.semanticscholar.org/paper/Tyto%3A-A-Python-Tool-Enabling-Better-Annotation-for-Bartley/5a98d45623e002e070fef7ce8e728dc2e09783a2" xr:uid="{070F0EDE-636C-C24A-B76C-C89E5E3DAEDA}"/>
    <hyperlink ref="A11" r:id="rId7" display="https://www.semanticscholar.org/paper/Genetic-circuit-design-automation-with-Cello-2.0-Jones-Oliveira/9f5f8e858c13595cd75eeef746fd9e8b6e9f48f5" xr:uid="{D432284A-56B0-2147-BA3A-E357EBD4982E}"/>
    <hyperlink ref="A12" r:id="rId8" display="https://www.semanticscholar.org/paper/paraSBOLv%3A-a-foundation-for-standard-compliant-Clark-Scott-Brown/71d8f5cdbf50f2f0ef2c9333a4542ddbd45f588a" xr:uid="{8E92AE84-2B48-F846-8A09-7B42A7C1C1F6}"/>
    <hyperlink ref="A13" r:id="rId9" display="https://www.semanticscholar.org/paper/Evolution-of-genome-fragility-enables-microbial-of-Colizzi-Dijk/30b8fc584eefd623bf0e9366309927cf0565ded4" xr:uid="{512FEFD1-309D-FF40-972B-F56C4CF28115}"/>
    <hyperlink ref="A14" r:id="rId10" display="https://www.semanticscholar.org/paper/Virtual-Parts-Repository-2%3A-Model-driven-design-of-Misirli-Yang/dcdb229c321d6c3ced65630073a84b0c47642f4f" xr:uid="{AC3BA541-BEB7-2547-84E8-0CAF3C59818F}"/>
    <hyperlink ref="A15" r:id="rId11" display="https://www.semanticscholar.org/paper/Massively-parallel-characterization-of-engineered-Tarnowski-Gorochowski/53c6e7eec4292c465dadabc41b767962472d37f8" xr:uid="{BF405851-682A-8745-A660-14E28C5AD8C1}"/>
    <hyperlink ref="A16" r:id="rId12" display="https://www.semanticscholar.org/paper/SynBiopython%3A-an-open-source-software-library-for-Yeoh-Swainston/1f3894b3d7aba2c48d01ca4b191d717a12a28c14" xr:uid="{EE1A98A0-FCC8-EA46-B0AF-020F831AA5E7}"/>
    <hyperlink ref="A17" r:id="rId13" display="https://www.semanticscholar.org/paper/Characterizing-Genetic-Parts-and-Devices-Using-RNA-Vipin-Ignatova/ea2f1cd826d6d2898ab94cf6c16f1cf2c531cac6" xr:uid="{D8E92BC1-E46B-A148-952B-A9EA4808C462}"/>
    <hyperlink ref="A18" r:id="rId14" display="https://www.semanticscholar.org/paper/Engineering-Sensors-for-Gene-Expression-Burden.-Boo-Ceroni/c1e84c04b5433802852d87c1999b5fcba7e5cbc4" xr:uid="{3637F9F9-86C1-E44A-9247-6ED25E557CA8}"/>
    <hyperlink ref="A19" r:id="rId15" display="https://www.semanticscholar.org/paper/Engineering-Logical-Inflammation-Sensing-and-for-Merk/15f4b59b8d71d7466746c5493911a928fac16425" xr:uid="{7C4A8770-A031-1243-BB49-6FECBBA672A4}"/>
    <hyperlink ref="A20" r:id="rId16" display="https://www.semanticscholar.org/paper/Combinatorial-metabolic-pathway-assembly-approaches-Young-Haines/62ce435ae8ac90cc841fb66e2ccae669922efbb4" xr:uid="{372CB866-E6B6-F34B-B0AB-C1862B651281}"/>
    <hyperlink ref="A21" r:id="rId17" display="https://www.semanticscholar.org/paper/Diagnostic-and-Therapeutic-Microbial-Circuit-with-Merk-Shur/6ae56146e342f35f0d31f03120687cfed9b1f541" xr:uid="{A048DCA4-5882-EF47-94E6-A8A1CC325807}"/>
    <hyperlink ref="A22" r:id="rId18" display="https://www.semanticscholar.org/paper/Synthetic-neural-like-computing-in-microbial-for-Li-Rizik/50ef9fc2d3f67a8801b011edb1a730e869b708d7" xr:uid="{B0CAA45B-DFD1-2B4B-89FB-0EF447315AAC}"/>
    <hyperlink ref="A23" r:id="rId19" display="https://www.semanticscholar.org/paper/The-Synthetic-Biology-Open-Language-(SBOL)-Version-McLaughlin-Beal/6dfcd20a4abfb0f7231a755f31c04f3c44d1ac4f" xr:uid="{0136913B-AD3A-1841-8E9B-46A0C91DD138}"/>
    <hyperlink ref="A24" r:id="rId20" display="https://www.semanticscholar.org/paper/A-role-for-Biofoundries-in-rapid-development-and-of-Crone-Priestman/40ccb96d90eced9ab149c919e7c56b41455f7760" xr:uid="{965D1970-E463-D548-8226-953B4D618B29}"/>
    <hyperlink ref="A25" r:id="rId21" display="https://www.semanticscholar.org/paper/BioCRNpyler%3A-Compiling-chemical-reaction-networks-Poole-Pandey/85c73df7367ba020377933a7e7f69ba3c5b9564c" xr:uid="{94967D57-58EB-5C43-A805-D5B2ECF63BEB}"/>
    <hyperlink ref="A26" r:id="rId22" display="https://www.semanticscholar.org/paper/Harnessing-the-central-dogma-for-stringent-control-Greco-Pandi/f830d7ce1405bda09d220f0f676f2ef4fd41a9cb" xr:uid="{D1584613-F55F-304E-9AC5-FC12751D3E12}"/>
    <hyperlink ref="A27" r:id="rId23" display="https://www.semanticscholar.org/paper/Cheetah%3A-a-computational-toolkit-for-cybergenetic-Pedone-Cesare/d46f4c7d119756bf8e2f1c5a8473573dd29ca52f" xr:uid="{C88968E1-E30A-D443-9412-826E0D938922}"/>
    <hyperlink ref="A28" r:id="rId24" display="https://www.semanticscholar.org/paper/Dynamical-model-fitting-to-a-synthetic-positive-in-Isalan-Tica/ce39a5e753ee7ecf44c22bdff97f9041a8910ba6" xr:uid="{314CA56D-184A-934D-BF78-F30B3B20194F}"/>
    <hyperlink ref="A29" r:id="rId25" display="https://www.semanticscholar.org/paper/Sparse-estimation-of-mutual-information-landscapes-Sarkar-Tack/58dc7818631fd1c31ed3a541bf563eeacde6332a" xr:uid="{1E3BFBD5-F6C1-8449-ADEB-D7057F5E07BD}"/>
    <hyperlink ref="A30" r:id="rId26" display="https://www.semanticscholar.org/paper/From-genotypes-to-organisms%3A-State-of-the-art-and-a-Manrubia-Cuesta/a9bf299d167830bd4918088aff18f6d1869a712d" xr:uid="{8EDC0564-F1D3-CC4E-8A08-CEE4B14455D5}"/>
    <hyperlink ref="A31" r:id="rId27" display="https://www.semanticscholar.org/paper/DNA-Features-Viewer%2C-a-sequence-annotations-and-for-Zulkower-Rosser/2539ed2a518f604511faa22716a936b21f715efd" xr:uid="{851B499E-0C1E-714D-9D8F-5719AC533636}"/>
    <hyperlink ref="A32" r:id="rId28" display="https://www.semanticscholar.org/paper/Simultaneous-repression-of-multiple-bacterial-genes-Reis-Halper/4742e1d4174f5094340228800dff5018b9117cc4" xr:uid="{4505966D-B29B-B74E-9B85-DEF6B167D9B8}"/>
    <hyperlink ref="A33" r:id="rId29" display="https://www.semanticscholar.org/paper/Communicating-Structure-and-Function-in-Synthetic-Beal-Nguyen/fd928bd543c77845da28c0f1dd30eaebb0b3c10e" xr:uid="{758BDABE-AC27-1749-A45C-B93C30253D70}"/>
    <hyperlink ref="A34" r:id="rId30" display="https://www.semanticscholar.org/paper/Tunable-genetic-devices-through-simultaneous-of-and-Bartoli-Meaker/253dfc9ae08dce2e8ce7cb541b545829ba10d7b3" xr:uid="{836D182C-7CFB-9342-94BB-DC478E8EF368}"/>
    <hyperlink ref="A35" r:id="rId31" display="https://www.semanticscholar.org/paper/An-Automated-Biomodel-Selection-System-(BMSS)-for-Yeoh-Ng/0ca118a5d4b84ab9feede891bfe25badb2528927" xr:uid="{2A498D2F-AF48-F949-A239-45B98C2D11F6}"/>
    <hyperlink ref="A36" r:id="rId32" display="https://www.semanticscholar.org/paper/Plant-Synthetic-Biology%3A-Quantifying-the-%E2%80%9CKnown-and-Wright-Nemhauser/93bc681c9a63b88cf154087962769f20a22b251e" xr:uid="{4422884A-3084-064B-9CFB-EC0D973F97B3}"/>
    <hyperlink ref="A37" r:id="rId33" display="https://www.semanticscholar.org/paper/Towards-an-Aspect-Oriented-Design-and-Modelling-for-Boeing-Leon/1ae21bda5e1a9b09a245d93fc9e207eae45ba47f" xr:uid="{6E39DAA5-F340-9C4C-82B9-2CCE0FD19492}"/>
    <hyperlink ref="A38" r:id="rId34" display="https://www.semanticscholar.org/paper/Engineering-DNA-vaccines-against-infectious-Lee-Kumar/8178b6727c4ad5c156cc7671a1473d4802a3c1fa" xr:uid="{0ECC37CD-55B3-7D47-88D7-7836F9D6E1B4}"/>
    <hyperlink ref="A39" r:id="rId35" display="https://www.semanticscholar.org/paper/Automated-Visualization-of-Genetic-Designs-Using-Bartoli-Dixon/46a419649aba0e0bc8a17d7e3daf13316df8f1c1" xr:uid="{2DC7CDFC-0989-DF47-BA24-EFA8BECBA354}"/>
    <hyperlink ref="A40" r:id="rId36" display="https://www.semanticscholar.org/paper/SynBioHub%3A-A-Standards-Enabled-Design-Repository-McLaughlin-Myers/d7e09b5e245b93e605a1207d13abe4cec70834c4" xr:uid="{B0DF26F1-56E0-984D-B62D-1BBB7A0754DE}"/>
    <hyperlink ref="A41" r:id="rId37" display="https://www.semanticscholar.org/paper/Genetic-circuit-characterization-and-debugging-Gorochowski-Borujeni/6bba2b72a66ce6378a1bc30c1564d6d6a5e389c5" xr:uid="{CD6FB3A7-6E8A-FC4F-A205-74AE70A94E3C}"/>
    <hyperlink ref="A42" r:id="rId38" display="https://www.semanticscholar.org/paper/Burden-driven-feedback-control-of-gene-expression-Ceroni-Boo/28a899927abb565dbfcf018d0c2dcdc5f685ca5d" xr:uid="{C236731B-579E-314E-9B6D-D91AF3F7764C}"/>
    <hyperlink ref="A43" r:id="rId39" display="https://www.semanticscholar.org/paper/A-standard-enabled-workflow-for-synthetic-biology.-Myers-Beal/b3252fe069b409ea5126e2ff22a91c91ffcabbea" xr:uid="{9F36C57F-2E83-E34D-A92E-AA2C96B181CF}"/>
    <hyperlink ref="A44" r:id="rId40" display="https://www.semanticscholar.org/paper/Internal-workings-of-a-genetic-circuit-Gorochowski-Borujeni/a101800fd0b44ec29b81c245df6cb7fb86096d21" xr:uid="{B848317F-9FBB-5042-96FF-D4434B1677B0}"/>
    <hyperlink ref="A45" r:id="rId41" display="https://www.semanticscholar.org/paper/Agent-based-modelling-in-synthetic-biology-Gorochowski/cfd1c88a43d96b916de2e4bacf081aa52a0f4173" xr:uid="{502CADB7-5192-7241-B67A-13A1233D38A5}"/>
  </hyperlinks>
  <pageMargins left="0.7" right="0.7" top="0.75" bottom="0.75" header="0.3" footer="0.3"/>
  <pageSetup orientation="portrait" horizontalDpi="0" verticalDpi="0"/>
  <drawing r:id="rId42"/>
  <tableParts count="2">
    <tablePart r:id="rId43"/>
    <tablePart r:id="rId4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6BD1-D962-444A-97D6-A310B1120BDF}">
  <sheetPr>
    <tabColor theme="5"/>
  </sheetPr>
  <dimension ref="A1:E89"/>
  <sheetViews>
    <sheetView tabSelected="1" zoomScale="140" zoomScaleNormal="140" workbookViewId="0"/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7</v>
      </c>
      <c r="B3">
        <v>2021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153</v>
      </c>
      <c r="B5">
        <v>2024</v>
      </c>
      <c r="D5">
        <v>2013</v>
      </c>
      <c r="E5">
        <f>COUNTIF(Table18141620242616[Year],D5)</f>
        <v>0</v>
      </c>
    </row>
    <row r="6" spans="1:5" x14ac:dyDescent="0.2">
      <c r="A6" s="3" t="s">
        <v>154</v>
      </c>
      <c r="B6">
        <v>2024</v>
      </c>
      <c r="D6">
        <v>2014</v>
      </c>
      <c r="E6">
        <f>COUNTIF(Table18141620242616[Year],D6)</f>
        <v>0</v>
      </c>
    </row>
    <row r="7" spans="1:5" x14ac:dyDescent="0.2">
      <c r="A7" s="3" t="s">
        <v>155</v>
      </c>
      <c r="B7">
        <v>2024</v>
      </c>
      <c r="D7">
        <v>2015</v>
      </c>
      <c r="E7">
        <f>COUNTIF(Table18141620242616[Year],D7)</f>
        <v>0</v>
      </c>
    </row>
    <row r="8" spans="1:5" x14ac:dyDescent="0.2">
      <c r="A8" s="3" t="s">
        <v>142</v>
      </c>
      <c r="B8">
        <v>2023</v>
      </c>
      <c r="D8">
        <v>2016</v>
      </c>
      <c r="E8">
        <f>COUNTIF(Table18141620242616[Year],D8)</f>
        <v>0</v>
      </c>
    </row>
    <row r="9" spans="1:5" x14ac:dyDescent="0.2">
      <c r="A9" s="3" t="s">
        <v>156</v>
      </c>
      <c r="B9">
        <v>2022</v>
      </c>
      <c r="D9">
        <v>2017</v>
      </c>
      <c r="E9">
        <f>COUNTIF(Table18141620242616[Year],D9)</f>
        <v>2</v>
      </c>
    </row>
    <row r="10" spans="1:5" x14ac:dyDescent="0.2">
      <c r="A10" s="3" t="s">
        <v>157</v>
      </c>
      <c r="B10">
        <v>2021</v>
      </c>
      <c r="D10">
        <v>2018</v>
      </c>
      <c r="E10">
        <f>COUNTIF(Table18141620242616[Year],D10)</f>
        <v>5</v>
      </c>
    </row>
    <row r="11" spans="1:5" x14ac:dyDescent="0.2">
      <c r="A11" s="3" t="s">
        <v>29</v>
      </c>
      <c r="B11">
        <v>2021</v>
      </c>
      <c r="D11">
        <v>2019</v>
      </c>
      <c r="E11">
        <f>COUNTIF(Table18141620242616[Year],D11)</f>
        <v>10</v>
      </c>
    </row>
    <row r="12" spans="1:5" x14ac:dyDescent="0.2">
      <c r="A12" s="3" t="s">
        <v>31</v>
      </c>
      <c r="B12">
        <v>2021</v>
      </c>
      <c r="D12">
        <v>2020</v>
      </c>
      <c r="E12">
        <f>COUNTIF(Table18141620242616[Year],D12)</f>
        <v>11</v>
      </c>
    </row>
    <row r="13" spans="1:5" x14ac:dyDescent="0.2">
      <c r="A13" s="3" t="s">
        <v>90</v>
      </c>
      <c r="B13">
        <v>2021</v>
      </c>
      <c r="D13">
        <v>2021</v>
      </c>
      <c r="E13">
        <f>COUNTIF(Table18141620242616[Year],D13)</f>
        <v>6</v>
      </c>
    </row>
    <row r="14" spans="1:5" x14ac:dyDescent="0.2">
      <c r="A14" s="3" t="s">
        <v>128</v>
      </c>
      <c r="B14">
        <v>2021</v>
      </c>
      <c r="D14">
        <v>2022</v>
      </c>
      <c r="E14">
        <f>COUNTIF(Table18141620242616[Year],D14)</f>
        <v>1</v>
      </c>
    </row>
    <row r="15" spans="1:5" x14ac:dyDescent="0.2">
      <c r="A15" s="3" t="s">
        <v>36</v>
      </c>
      <c r="B15">
        <v>2021</v>
      </c>
      <c r="D15">
        <v>2023</v>
      </c>
      <c r="E15">
        <f>COUNTIF(Table18141620242616[Year],D15)</f>
        <v>1</v>
      </c>
    </row>
    <row r="16" spans="1:5" x14ac:dyDescent="0.2">
      <c r="A16" s="3" t="s">
        <v>158</v>
      </c>
      <c r="B16">
        <v>2020</v>
      </c>
      <c r="D16">
        <v>2024</v>
      </c>
      <c r="E16">
        <f>COUNTIF(Table18141620242616[Year],D16)</f>
        <v>3</v>
      </c>
    </row>
    <row r="17" spans="1:5" x14ac:dyDescent="0.2">
      <c r="A17" s="3" t="s">
        <v>148</v>
      </c>
      <c r="B17">
        <v>2020</v>
      </c>
      <c r="D17">
        <v>2025</v>
      </c>
      <c r="E17">
        <f>COUNTIF(Table18141620242616[Year],D17)</f>
        <v>0</v>
      </c>
    </row>
    <row r="18" spans="1:5" x14ac:dyDescent="0.2">
      <c r="A18" s="3" t="s">
        <v>12</v>
      </c>
      <c r="B18">
        <v>2020</v>
      </c>
    </row>
    <row r="19" spans="1:5" x14ac:dyDescent="0.2">
      <c r="A19" s="3" t="s">
        <v>159</v>
      </c>
      <c r="B19">
        <v>2020</v>
      </c>
    </row>
    <row r="20" spans="1:5" x14ac:dyDescent="0.2">
      <c r="A20" s="3" t="s">
        <v>160</v>
      </c>
      <c r="B20">
        <v>2020</v>
      </c>
    </row>
    <row r="21" spans="1:5" x14ac:dyDescent="0.2">
      <c r="A21" s="3" t="s">
        <v>161</v>
      </c>
      <c r="B21">
        <v>2020</v>
      </c>
    </row>
    <row r="22" spans="1:5" x14ac:dyDescent="0.2">
      <c r="A22" s="3" t="s">
        <v>38</v>
      </c>
      <c r="B22">
        <v>2020</v>
      </c>
    </row>
    <row r="23" spans="1:5" x14ac:dyDescent="0.2">
      <c r="A23" s="3" t="s">
        <v>39</v>
      </c>
      <c r="B23">
        <v>2020</v>
      </c>
    </row>
    <row r="24" spans="1:5" x14ac:dyDescent="0.2">
      <c r="A24" s="3" t="s">
        <v>150</v>
      </c>
      <c r="B24">
        <v>2020</v>
      </c>
    </row>
    <row r="25" spans="1:5" x14ac:dyDescent="0.2">
      <c r="A25" s="3" t="s">
        <v>162</v>
      </c>
      <c r="B25">
        <v>2020</v>
      </c>
    </row>
    <row r="26" spans="1:5" x14ac:dyDescent="0.2">
      <c r="A26" s="3" t="s">
        <v>163</v>
      </c>
      <c r="B26">
        <v>2020</v>
      </c>
    </row>
    <row r="27" spans="1:5" x14ac:dyDescent="0.2">
      <c r="A27" s="3" t="s">
        <v>50</v>
      </c>
      <c r="B27">
        <v>2019</v>
      </c>
    </row>
    <row r="28" spans="1:5" x14ac:dyDescent="0.2">
      <c r="A28" s="3" t="s">
        <v>8</v>
      </c>
      <c r="B28">
        <v>2019</v>
      </c>
    </row>
    <row r="29" spans="1:5" x14ac:dyDescent="0.2">
      <c r="A29" s="3" t="s">
        <v>51</v>
      </c>
      <c r="B29">
        <v>2019</v>
      </c>
    </row>
    <row r="30" spans="1:5" x14ac:dyDescent="0.2">
      <c r="A30" s="3" t="s">
        <v>102</v>
      </c>
      <c r="B30">
        <v>2019</v>
      </c>
    </row>
    <row r="31" spans="1:5" x14ac:dyDescent="0.2">
      <c r="A31" s="3" t="s">
        <v>164</v>
      </c>
      <c r="B31">
        <v>2019</v>
      </c>
    </row>
    <row r="32" spans="1:5" x14ac:dyDescent="0.2">
      <c r="A32" s="3" t="s">
        <v>165</v>
      </c>
      <c r="B32">
        <v>2019</v>
      </c>
    </row>
    <row r="33" spans="1:2" x14ac:dyDescent="0.2">
      <c r="A33" s="3" t="s">
        <v>166</v>
      </c>
      <c r="B33">
        <v>2019</v>
      </c>
    </row>
    <row r="34" spans="1:2" x14ac:dyDescent="0.2">
      <c r="A34" s="3" t="s">
        <v>167</v>
      </c>
      <c r="B34">
        <v>2019</v>
      </c>
    </row>
    <row r="35" spans="1:2" x14ac:dyDescent="0.2">
      <c r="A35" s="3" t="s">
        <v>168</v>
      </c>
      <c r="B35">
        <v>2019</v>
      </c>
    </row>
    <row r="36" spans="1:2" x14ac:dyDescent="0.2">
      <c r="A36" s="3" t="s">
        <v>174</v>
      </c>
      <c r="B36">
        <v>2019</v>
      </c>
    </row>
    <row r="37" spans="1:2" x14ac:dyDescent="0.2">
      <c r="A37" s="3" t="s">
        <v>169</v>
      </c>
      <c r="B37">
        <v>2018</v>
      </c>
    </row>
    <row r="38" spans="1:2" x14ac:dyDescent="0.2">
      <c r="A38" s="3" t="s">
        <v>170</v>
      </c>
      <c r="B38">
        <v>2018</v>
      </c>
    </row>
    <row r="39" spans="1:2" x14ac:dyDescent="0.2">
      <c r="A39" s="3" t="s">
        <v>171</v>
      </c>
      <c r="B39">
        <v>2018</v>
      </c>
    </row>
    <row r="40" spans="1:2" x14ac:dyDescent="0.2">
      <c r="A40" s="3" t="s">
        <v>61</v>
      </c>
      <c r="B40">
        <v>2018</v>
      </c>
    </row>
    <row r="41" spans="1:2" x14ac:dyDescent="0.2">
      <c r="A41" s="3" t="s">
        <v>172</v>
      </c>
      <c r="B41">
        <v>2018</v>
      </c>
    </row>
    <row r="42" spans="1:2" x14ac:dyDescent="0.2">
      <c r="A42" s="3" t="s">
        <v>66</v>
      </c>
      <c r="B42">
        <v>2017</v>
      </c>
    </row>
    <row r="43" spans="1:2" x14ac:dyDescent="0.2">
      <c r="A43" s="3" t="s">
        <v>173</v>
      </c>
      <c r="B43">
        <v>2017</v>
      </c>
    </row>
    <row r="44" spans="1:2" x14ac:dyDescent="0.2">
      <c r="A44" s="3"/>
    </row>
    <row r="45" spans="1:2" x14ac:dyDescent="0.2">
      <c r="A45" s="3"/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6" r:id="rId1" display="https://www.semanticscholar.org/paper/GOLDBAR%3A-A-Framework-for-Combinatorial-Biological-Roehner-Roberts/da5757359f6a7d1744040e0bd6b029bd3fc0cbe0" xr:uid="{13ED44F1-37DE-4F45-89C9-11AC321207CF}"/>
    <hyperlink ref="A7" r:id="rId2" display="https://www.semanticscholar.org/paper/Technologies-for-design-build-test-learn-automation-Matzko-Konur/b7ebf5cc0cdb31adc80effde28168f8f01dc75c8" xr:uid="{6A642059-1F2B-CC41-BA26-D35FFA828494}"/>
    <hyperlink ref="A8" r:id="rId3" display="https://www.semanticscholar.org/paper/pyBrick-DNA%3A-A-Python-Based-Environment-for-Genetic-Rozas-Mandujano/2b243346c4715c0900b0040539011c47900e3cab" xr:uid="{7B31FD70-448E-6B4F-8732-C2E91D137532}"/>
    <hyperlink ref="A9" r:id="rId4" display="https://www.semanticscholar.org/paper/SynBio2Easy%E2%80%94a-biologist-friendly-tool-for-batch-on-Zieli%C5%84ski-Hay/9aee48f26287f0e14a17622cf812e4c306fd04c6" xr:uid="{EF05047F-3D73-E146-A088-75A40A54B541}"/>
    <hyperlink ref="A10" r:id="rId5" display="https://www.semanticscholar.org/paper/Synthetic-Biology-Curation-Tools-(SYNBICT).-Roehner-Mante/0b9880f862dfc1f36e5fb587220eb2e824dda381" xr:uid="{214AFA24-7473-0544-A134-281EA4EB4005}"/>
    <hyperlink ref="A11" r:id="rId6" display="https://www.semanticscholar.org/paper/Stochastic-Hazard-Analysis-of-Genetic-Circuits-in-Buecherl-Roberts/54a62c24ef4c376f44daaea5303fef85f60538b1" xr:uid="{C64AFCF4-EA7A-3A4A-8095-53F69E9F97D0}"/>
    <hyperlink ref="A12" r:id="rId7" display="https://www.semanticscholar.org/paper/BioParts-A-Biological-Parts-Search-Portal-and-to-Plahar-Rich/bb9dde6ebf15f1ea1dea06cb7cf4203b89496daf" xr:uid="{75FC331C-3E7B-C24B-9FF7-33C99E077C32}"/>
    <hyperlink ref="A13" r:id="rId8" display="https://www.semanticscholar.org/paper/paraSBOLv%3A-a-foundation-for-standard-compliant-Clark-Scott-Brown/71d8f5cdbf50f2f0ef2c9333a4542ddbd45f588a" xr:uid="{355E59C3-A107-2446-984F-1182BF23DC12}"/>
    <hyperlink ref="A14" r:id="rId9" display="https://www.semanticscholar.org/paper/Virtual-Parts-Repository-2%3A-Model-driven-design-of-Misirli-Yang/dcdb229c321d6c3ced65630073a84b0c47642f4f" xr:uid="{11985A50-C011-A542-968F-388C0657B1F7}"/>
    <hyperlink ref="A15" r:id="rId10" display="https://www.semanticscholar.org/paper/Status-and-Challenges-of-Reproducibility-in-Systems-Choi-Karr/e7d74d722cc0148cb46a3ece0998fa0e4c45cf2f" xr:uid="{7A7D7EA7-8B1A-BF49-A58C-199621C3D53A}"/>
    <hyperlink ref="A16" r:id="rId11" display="https://www.semanticscholar.org/paper/Plant-Biosystems-Design-Research-Roadmap-1.0-Yang-Medford/73a2fd22c1fe02bb394f73671de98d49ce43ffd5" xr:uid="{5AE4A8B5-E9C6-474F-9869-6FA16E1B4B84}"/>
    <hyperlink ref="A17" r:id="rId12" display="https://www.semanticscholar.org/paper/Flapjack%3A-a-data-management-and-analysis-tool-for-Feli%C3%BA-G%C3%B3mez/3866adc21f934ea25ee7472ce7d9eb08223daf81" xr:uid="{31980F5C-5200-C246-A39F-148F8BE4F8D5}"/>
    <hyperlink ref="A18" r:id="rId13" display="https://www.semanticscholar.org/paper/The-Synthetic-Biology-Open-Language-(SBOL)-Version-McLaughlin-Beal/6dfcd20a4abfb0f7231a755f31c04f3c44d1ac4f" xr:uid="{20C69537-F318-8D42-890C-89BB88FE07A9}"/>
    <hyperlink ref="A19" r:id="rId14" display="https://www.semanticscholar.org/paper/Genetic-Circuit-Dynamics%3A-Hazard-and-Glitch-Fontanarrosa-Doosthosseini/e627238f2ece6b809603421a6e07763d370136c4" xr:uid="{C90E758D-649C-9D4A-9E44-10BB13761EC5}"/>
    <hyperlink ref="A20" r:id="rId15" display="https://www.semanticscholar.org/paper/Data-driven-rational-biosynthesis-design%3A-from-to-Chen-Yuan/c258ab01a28c2b4c2245c83efbfb960819a623f6" xr:uid="{47970391-88B3-684B-BD40-91D84E299FE4}"/>
    <hyperlink ref="A21" r:id="rId16" display="https://www.semanticscholar.org/paper/Enhanced-production-of-taxadiene-in-Saccharomyces-Nowrouzi-Li/7aca4f4068b7f874ede948ea116f6293c64e4d1f" xr:uid="{42EDC29A-620E-9A48-B847-C41032D0FF62}"/>
    <hyperlink ref="A22" r:id="rId17" display="https://www.semanticscholar.org/paper/Synthetic-biology-open-language-(SBOL)-version-Baig-Fontanarrosa/8bc672d75aae7c86da1d578941352ef2324bb614" xr:uid="{7101D445-CAF1-9D48-ADB7-E7A4CBA8B221}"/>
    <hyperlink ref="A23" r:id="rId18" display="https://www.semanticscholar.org/paper/The-first-10-years-of-the-international-network-for-Waltemath-Golebiewski/56fcb0902e43ea4d8c9778643adcee5e52d56087" xr:uid="{F0F92114-E453-4147-99AF-25E84DFCDC27}"/>
    <hyperlink ref="A24" r:id="rId19" display="https://www.semanticscholar.org/paper/ShortBOL%3A-A-language-for-scripting-designs-for-Open-Crowther-Grozinger/3e079a36c6ae4b424f9aa0d988f78c6b496e4fe6" xr:uid="{33893D40-8F65-CD46-AF72-CDDC983D1351}"/>
    <hyperlink ref="A25" r:id="rId20" display="https://www.semanticscholar.org/paper/Opinion-Plant-Biosystem-Design-Research-Roadmap-1.0-Yang-Medford/d435f091657b5a83407266684dc3fa904ddafb73" xr:uid="{4B320F06-020A-914A-9247-76A3347938F4}"/>
    <hyperlink ref="A26" r:id="rId21" display="https://www.semanticscholar.org/paper/Fundamentals-of-Molecular-Biology-and-Genetic-Baig-Madsen/baf95bfe965fc3b3d40ae6fe47462974cf645609" xr:uid="{F9DB146F-8168-BD4A-9AF3-EABA65C9B1AA}"/>
    <hyperlink ref="A27" r:id="rId22" display="https://www.semanticscholar.org/paper/SBOLExplorer%3A-Data-Infrastructure-and-Data-Mining-Zhang-Zundel/4bfbe2f54ca095eef6eb0eb5b0982dd1fe33caf5" xr:uid="{86D0E76E-8C08-3145-A322-F856A798FC30}"/>
    <hyperlink ref="A28" r:id="rId23" display="https://www.semanticscholar.org/paper/Communicating-Structure-and-Function-in-Synthetic-Beal-Nguyen/fd928bd543c77845da28c0f1dd30eaebb0b3c10e" xr:uid="{2978629A-F059-6141-A964-C5F9B0D6DAE4}"/>
    <hyperlink ref="A29" r:id="rId24" display="https://www.semanticscholar.org/paper/A-Computational-Workflow-for-the-Automated-of-of-Misirli-Nguyen/92d96e75a6bbc39c0ee4eafed1542bd59db53adc" xr:uid="{0941DB42-7CD5-EF48-B285-B00269A8FEBB}"/>
    <hyperlink ref="A30" r:id="rId25" display="https://www.semanticscholar.org/paper/Specifying-Combinatorial-Designs-with-the-Synthetic-Roehner-Bartley/583729aa951d4fc8f3ad15f0a9d724d9c35c0670" xr:uid="{E13DC4CE-D536-BB40-ACC5-81BA546D4137}"/>
    <hyperlink ref="A31" r:id="rId26" display="https://www.semanticscholar.org/paper/Phase-space-characterization-for-gene-circuit-Silva-Mat%C3%BAte/48f5a0632449f0ae4323b59ee472663a9962bf0f" xr:uid="{3F60C64E-D608-3D40-B3D9-C75442A5A2D6}"/>
    <hyperlink ref="A32" r:id="rId27" display="https://www.semanticscholar.org/paper/Plant-Synthetic-Biology%3A-Quantifying-the-%E2%80%9CKnown-and-Wright-Nemhauser/93bc681c9a63b88cf154087962769f20a22b251e" xr:uid="{075CFA3A-AB15-2D40-A8B2-72D281E22A02}"/>
    <hyperlink ref="A33" r:id="rId28" display="https://www.semanticscholar.org/paper/Better-research-by-efficient-sharing%3A-evaluation-of-Urquiza-Garc%C3%ADa-Zieli%C5%84ski/c4bfc886d000cbdf2252b1b63c6cf0d4f65318d7" xr:uid="{EEF2DD77-6F1B-7442-BAAB-0CD4D2D03C7E}"/>
    <hyperlink ref="A34" r:id="rId29" display="https://www.semanticscholar.org/paper/Scalable-and-Reproducible-Modeling-and-Simulation-Watanabe/fbe5e0424bdc19e0b333f5130d8be54d0af74124" xr:uid="{AB2CBF3D-2179-F642-BBD7-D9386F6BA3BC}"/>
    <hyperlink ref="A35" r:id="rId30" display="https://www.semanticscholar.org/paper/The-Synthetic-Biology-Open-Language-Supports-of-the-Bartley-Atallah/20a4657a2aae8d81143ab3c3d340c5ca76f7c165" xr:uid="{5D338470-4791-3A4E-B158-2E3DC87F3E04}"/>
    <hyperlink ref="A37" r:id="rId31" display="https://www.semanticscholar.org/paper/Opening-options-for-material-transfer-Kahl-Molloy/1c9012fc36b3e8429a5d2b8453549ee1fcf75cd6" xr:uid="{EAF7E354-1F28-DA4F-9C74-9FD2A13403A4}"/>
    <hyperlink ref="A38" r:id="rId32" display="https://www.semanticscholar.org/paper/Standardization-in-synthetic-biology%3A-an-discipline-Decoene-Paepe/503f1f6190665981a80862a96dc70a9e1675b450" xr:uid="{EC29E109-B080-A74B-BF57-8EF556BC53E0}"/>
    <hyperlink ref="A39" r:id="rId33" display="https://www.semanticscholar.org/paper/iBioSim-3%3A-A-Tool-for-Model-Based-Genetic-Circuit-Watanabe-Nguyen/be70398953b96aae69d7ebcaf3072f36ed75e0b3" xr:uid="{6B74DD54-4655-904C-B811-3B64F24A771C}"/>
    <hyperlink ref="A40" r:id="rId34" display="https://www.semanticscholar.org/paper/SynBioHub%3A-A-Standards-Enabled-Design-Repository-McLaughlin-Myers/d7e09b5e245b93e605a1207d13abe4cec70834c4" xr:uid="{16CD4133-1D6A-8146-BFDC-49EDB92F7B1C}"/>
    <hyperlink ref="A41" r:id="rId35" display="https://www.semanticscholar.org/paper/Standard-Enabled-Model-Generator-for-Genetic-Design-Misirli-Wipat/995577dd28da1658892bfc504d1d0ae1a66cf8cc" xr:uid="{B78E77C7-BA07-CB43-A9F4-7C0516748628}"/>
    <hyperlink ref="A42" r:id="rId36" display="https://www.semanticscholar.org/paper/PartsGenie%3A-an-integrated-tool-for-optimising-and-Swainston-Dunstan/ae84b9b0090c454eb6e3d4845e38cf0bf7b9ece9" xr:uid="{9C449AA3-DCDA-1649-BA43-ED86C3D22B45}"/>
    <hyperlink ref="A43" r:id="rId37" display="https://www.semanticscholar.org/paper/Methods-and-Tools-for-the-Analysis%2C-Verification-of-Baig/9cd0e3b4dac888473637d2d84589f8cc200c51b2" xr:uid="{10C3B2F3-E023-6647-B61E-8EE32DFC4FFB}"/>
    <hyperlink ref="A36" r:id="rId38" display="https://www.semanticscholar.org/paper/Edinburgh-Research-Explorer-Better-research-by-Urquiza-Garc%C4%B1%C2%B4a-nski/23a0ed74fa76da61defdc51c1a2248b39468fbe2" xr:uid="{619792AF-FC91-464E-99FB-EA47FC7B1126}"/>
  </hyperlinks>
  <pageMargins left="0.7" right="0.7" top="0.75" bottom="0.75" header="0.3" footer="0.3"/>
  <pageSetup orientation="portrait" horizontalDpi="0" verticalDpi="0"/>
  <drawing r:id="rId39"/>
  <tableParts count="2">
    <tablePart r:id="rId40"/>
    <tablePart r:id="rId4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2A82A-42C7-9B43-98EB-566AAB6EDC85}">
  <sheetPr>
    <tabColor theme="5"/>
  </sheetPr>
  <dimension ref="A1:E89"/>
  <sheetViews>
    <sheetView zoomScale="140" zoomScaleNormal="140" workbookViewId="0">
      <selection activeCell="D5" sqref="D5:D17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90</v>
      </c>
      <c r="B3">
        <v>2021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200</v>
      </c>
      <c r="B5">
        <v>2025</v>
      </c>
      <c r="D5">
        <v>2013</v>
      </c>
      <c r="E5">
        <f>COUNTIF(Table181416202426[Year],D5)</f>
        <v>0</v>
      </c>
    </row>
    <row r="6" spans="1:5" x14ac:dyDescent="0.2">
      <c r="A6" s="3" t="s">
        <v>124</v>
      </c>
      <c r="B6">
        <v>2024</v>
      </c>
      <c r="D6">
        <v>2014</v>
      </c>
      <c r="E6">
        <f>COUNTIF(Table181416202426[Year],D6)</f>
        <v>0</v>
      </c>
    </row>
    <row r="7" spans="1:5" x14ac:dyDescent="0.2">
      <c r="A7" s="3" t="s">
        <v>201</v>
      </c>
      <c r="B7">
        <v>2022</v>
      </c>
      <c r="D7">
        <v>2015</v>
      </c>
      <c r="E7">
        <f>COUNTIF(Table181416202426[Year],D7)</f>
        <v>0</v>
      </c>
    </row>
    <row r="8" spans="1:5" x14ac:dyDescent="0.2">
      <c r="A8" s="3" t="s">
        <v>26</v>
      </c>
      <c r="B8">
        <v>2022</v>
      </c>
      <c r="D8">
        <v>2016</v>
      </c>
      <c r="E8">
        <f>COUNTIF(Table181416202426[Year],D8)</f>
        <v>0</v>
      </c>
    </row>
    <row r="9" spans="1:5" x14ac:dyDescent="0.2">
      <c r="A9" s="3"/>
      <c r="D9">
        <v>2017</v>
      </c>
      <c r="E9">
        <f>COUNTIF(Table181416202426[Year],D9)</f>
        <v>0</v>
      </c>
    </row>
    <row r="10" spans="1:5" x14ac:dyDescent="0.2">
      <c r="A10" s="3"/>
      <c r="D10">
        <v>2018</v>
      </c>
      <c r="E10">
        <f>COUNTIF(Table181416202426[Year],D10)</f>
        <v>0</v>
      </c>
    </row>
    <row r="11" spans="1:5" x14ac:dyDescent="0.2">
      <c r="A11" s="3"/>
      <c r="D11">
        <v>2019</v>
      </c>
      <c r="E11">
        <f>COUNTIF(Table181416202426[Year],D11)</f>
        <v>0</v>
      </c>
    </row>
    <row r="12" spans="1:5" x14ac:dyDescent="0.2">
      <c r="A12" s="3"/>
      <c r="D12">
        <v>2020</v>
      </c>
      <c r="E12">
        <f>COUNTIF(Table181416202426[Year],D12)</f>
        <v>0</v>
      </c>
    </row>
    <row r="13" spans="1:5" x14ac:dyDescent="0.2">
      <c r="A13" s="3"/>
      <c r="D13">
        <v>2021</v>
      </c>
      <c r="E13">
        <f>COUNTIF(Table181416202426[Year],D13)</f>
        <v>0</v>
      </c>
    </row>
    <row r="14" spans="1:5" x14ac:dyDescent="0.2">
      <c r="A14" s="3"/>
      <c r="D14">
        <v>2022</v>
      </c>
      <c r="E14">
        <f>COUNTIF(Table181416202426[Year],D14)</f>
        <v>2</v>
      </c>
    </row>
    <row r="15" spans="1:5" x14ac:dyDescent="0.2">
      <c r="A15" s="3"/>
      <c r="D15">
        <v>2023</v>
      </c>
      <c r="E15">
        <f>COUNTIF(Table181416202426[Year],D15)</f>
        <v>0</v>
      </c>
    </row>
    <row r="16" spans="1:5" x14ac:dyDescent="0.2">
      <c r="A16" s="3"/>
      <c r="D16">
        <v>2024</v>
      </c>
      <c r="E16">
        <f>COUNTIF(Table181416202426[Year],D16)</f>
        <v>1</v>
      </c>
    </row>
    <row r="17" spans="1:5" x14ac:dyDescent="0.2">
      <c r="A17" s="3"/>
      <c r="D17">
        <v>2025</v>
      </c>
      <c r="E17">
        <f>COUNTIF(Table181416202426[Year],D17)</f>
        <v>1</v>
      </c>
    </row>
    <row r="18" spans="1:5" x14ac:dyDescent="0.2">
      <c r="A18" s="3"/>
    </row>
    <row r="19" spans="1:5" x14ac:dyDescent="0.2">
      <c r="A19" s="3"/>
    </row>
    <row r="20" spans="1:5" x14ac:dyDescent="0.2">
      <c r="A20" s="3"/>
    </row>
    <row r="21" spans="1:5" x14ac:dyDescent="0.2">
      <c r="A21" s="3"/>
    </row>
    <row r="22" spans="1:5" x14ac:dyDescent="0.2">
      <c r="A22" s="3"/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Structure-guided-design-of-protein-attachment-for-S%C3%B8rensen-James/bff103f67f1d78b772794a754f7a7b7a9818ebf1" xr:uid="{56A1BDB2-A43F-2F49-8B61-06CFD2FB048A}"/>
    <hyperlink ref="A6" r:id="rId2" display="https://www.semanticscholar.org/paper/Specifications-of-standards-in-systems-and-biology%3A-Golebiewski-Bader/ea67fe2db24f8615bfe0aef923986875d422f345" xr:uid="{F06C5DF4-030F-7C40-96A9-FA92C5005F7C}"/>
    <hyperlink ref="A7" r:id="rId3" display="https://www.semanticscholar.org/paper/A-Visual-Comprehensive-Evaluation-of-Cultural-and-Luo-Liu/63adc78b57ac7ca01ba4977081a4fe4e2c4e227f" xr:uid="{EB816A55-1D3F-6A43-A5E6-7DB22C9014DD}"/>
    <hyperlink ref="A8" r:id="rId4" display="https://www.semanticscholar.org/paper/Tyto%3A-A-Python-Tool-Enabling-Better-Annotation-for-Bartley/5a98d45623e002e070fef7ce8e728dc2e09783a2" xr:uid="{8F2D0812-BF58-6844-AF66-5E1E2995CD59}"/>
  </hyperlinks>
  <pageMargins left="0.7" right="0.7" top="0.75" bottom="0.75" header="0.3" footer="0.3"/>
  <pageSetup orientation="portrait" horizontalDpi="0" verticalDpi="0"/>
  <drawing r:id="rId5"/>
  <tableParts count="2"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FC4B-171A-CA45-A547-E8C833CE48BD}">
  <sheetPr>
    <tabColor theme="5"/>
  </sheetPr>
  <dimension ref="A1:E89"/>
  <sheetViews>
    <sheetView zoomScale="140" zoomScaleNormal="140" workbookViewId="0">
      <selection activeCell="A15" sqref="A5:A15"/>
    </sheetView>
  </sheetViews>
  <sheetFormatPr baseColWidth="10" defaultColWidth="11.140625" defaultRowHeight="16" x14ac:dyDescent="0.2"/>
  <cols>
    <col min="1" max="1" width="72.28515625" customWidth="1"/>
  </cols>
  <sheetData>
    <row r="1" spans="1:5" ht="20" x14ac:dyDescent="0.2">
      <c r="A1" s="1" t="s">
        <v>0</v>
      </c>
    </row>
    <row r="2" spans="1:5" ht="20" x14ac:dyDescent="0.2">
      <c r="A2" s="1"/>
    </row>
    <row r="3" spans="1:5" x14ac:dyDescent="0.2">
      <c r="A3" s="2" t="s">
        <v>141</v>
      </c>
      <c r="B3">
        <v>2021</v>
      </c>
    </row>
    <row r="4" spans="1:5" x14ac:dyDescent="0.2">
      <c r="A4" t="s">
        <v>1</v>
      </c>
      <c r="B4" t="s">
        <v>2</v>
      </c>
      <c r="D4" t="s">
        <v>2</v>
      </c>
      <c r="E4" t="s">
        <v>89</v>
      </c>
    </row>
    <row r="5" spans="1:5" x14ac:dyDescent="0.2">
      <c r="A5" s="3" t="s">
        <v>131</v>
      </c>
      <c r="B5">
        <v>2024</v>
      </c>
      <c r="D5">
        <v>2013</v>
      </c>
      <c r="E5">
        <f>COUNTIF(Table18141620[Year],D5)</f>
        <v>0</v>
      </c>
    </row>
    <row r="6" spans="1:5" x14ac:dyDescent="0.2">
      <c r="A6" s="3" t="s">
        <v>17</v>
      </c>
      <c r="B6">
        <v>2024</v>
      </c>
      <c r="D6">
        <v>2014</v>
      </c>
      <c r="E6">
        <f>COUNTIF(Table18141620[Year],D6)</f>
        <v>0</v>
      </c>
    </row>
    <row r="7" spans="1:5" x14ac:dyDescent="0.2">
      <c r="A7" s="3" t="s">
        <v>124</v>
      </c>
      <c r="B7">
        <v>2024</v>
      </c>
      <c r="D7">
        <v>2015</v>
      </c>
      <c r="E7">
        <f>COUNTIF(Table18141620[Year],D7)</f>
        <v>0</v>
      </c>
    </row>
    <row r="8" spans="1:5" x14ac:dyDescent="0.2">
      <c r="A8" s="3" t="s">
        <v>146</v>
      </c>
      <c r="B8">
        <v>2024</v>
      </c>
      <c r="D8">
        <v>2016</v>
      </c>
      <c r="E8">
        <f>COUNTIF(Table18141620[Year],D8)</f>
        <v>0</v>
      </c>
    </row>
    <row r="9" spans="1:5" x14ac:dyDescent="0.2">
      <c r="A9" s="3" t="s">
        <v>142</v>
      </c>
      <c r="B9">
        <v>2023</v>
      </c>
      <c r="D9">
        <v>2017</v>
      </c>
      <c r="E9">
        <f>COUNTIF(Table18141620[Year],D9)</f>
        <v>0</v>
      </c>
    </row>
    <row r="10" spans="1:5" x14ac:dyDescent="0.2">
      <c r="A10" s="3" t="s">
        <v>138</v>
      </c>
      <c r="B10">
        <v>2023</v>
      </c>
      <c r="D10">
        <v>2018</v>
      </c>
      <c r="E10">
        <f>COUNTIF(Table18141620[Year],D10)</f>
        <v>0</v>
      </c>
    </row>
    <row r="11" spans="1:5" x14ac:dyDescent="0.2">
      <c r="A11" s="3" t="s">
        <v>143</v>
      </c>
      <c r="B11">
        <v>2022</v>
      </c>
      <c r="D11">
        <v>2019</v>
      </c>
      <c r="E11">
        <f>COUNTIF(Table18141620[Year],D11)</f>
        <v>0</v>
      </c>
    </row>
    <row r="12" spans="1:5" x14ac:dyDescent="0.2">
      <c r="A12" s="3" t="s">
        <v>25</v>
      </c>
      <c r="B12">
        <v>2022</v>
      </c>
      <c r="D12">
        <v>2020</v>
      </c>
      <c r="E12">
        <f>COUNTIF(Table18141620[Year],D12)</f>
        <v>0</v>
      </c>
    </row>
    <row r="13" spans="1:5" x14ac:dyDescent="0.2">
      <c r="A13" s="3" t="s">
        <v>144</v>
      </c>
      <c r="B13">
        <v>2022</v>
      </c>
      <c r="D13">
        <v>2021</v>
      </c>
      <c r="E13">
        <f>COUNTIF(Table18141620[Year],D13)</f>
        <v>2</v>
      </c>
    </row>
    <row r="14" spans="1:5" x14ac:dyDescent="0.2">
      <c r="A14" s="3" t="s">
        <v>145</v>
      </c>
      <c r="B14">
        <v>2021</v>
      </c>
      <c r="D14">
        <v>2022</v>
      </c>
      <c r="E14">
        <f>COUNTIF(Table18141620[Year],D14)</f>
        <v>3</v>
      </c>
    </row>
    <row r="15" spans="1:5" x14ac:dyDescent="0.2">
      <c r="A15" s="3" t="s">
        <v>90</v>
      </c>
      <c r="B15">
        <v>2021</v>
      </c>
      <c r="D15">
        <v>2023</v>
      </c>
      <c r="E15">
        <f>COUNTIF(Table18141620[Year],D15)</f>
        <v>2</v>
      </c>
    </row>
    <row r="16" spans="1:5" x14ac:dyDescent="0.2">
      <c r="A16" s="3"/>
      <c r="D16">
        <v>2024</v>
      </c>
      <c r="E16">
        <f>COUNTIF(Table18141620[Year],D16)</f>
        <v>4</v>
      </c>
    </row>
    <row r="17" spans="1:5" x14ac:dyDescent="0.2">
      <c r="A17" s="3"/>
      <c r="D17">
        <v>2025</v>
      </c>
      <c r="E17">
        <f>COUNTIF(Table18141620[Year],D17)</f>
        <v>0</v>
      </c>
    </row>
    <row r="18" spans="1:5" x14ac:dyDescent="0.2">
      <c r="A18" s="3"/>
    </row>
    <row r="19" spans="1:5" x14ac:dyDescent="0.2">
      <c r="A19" s="3"/>
    </row>
    <row r="20" spans="1:5" x14ac:dyDescent="0.2">
      <c r="A20" s="3"/>
    </row>
    <row r="21" spans="1:5" x14ac:dyDescent="0.2">
      <c r="A21" s="3"/>
    </row>
    <row r="22" spans="1:5" x14ac:dyDescent="0.2">
      <c r="A22" s="3"/>
    </row>
    <row r="23" spans="1:5" x14ac:dyDescent="0.2">
      <c r="A23" s="3"/>
    </row>
    <row r="24" spans="1:5" x14ac:dyDescent="0.2">
      <c r="A24" s="3"/>
    </row>
    <row r="25" spans="1:5" x14ac:dyDescent="0.2">
      <c r="A25" s="3"/>
    </row>
    <row r="26" spans="1:5" x14ac:dyDescent="0.2">
      <c r="A26" s="3"/>
    </row>
    <row r="27" spans="1:5" x14ac:dyDescent="0.2">
      <c r="A27" s="3"/>
    </row>
    <row r="28" spans="1:5" x14ac:dyDescent="0.2">
      <c r="A28" s="3"/>
    </row>
    <row r="29" spans="1:5" x14ac:dyDescent="0.2">
      <c r="A29" s="3"/>
    </row>
    <row r="30" spans="1:5" x14ac:dyDescent="0.2">
      <c r="A30" s="3"/>
    </row>
    <row r="31" spans="1:5" x14ac:dyDescent="0.2">
      <c r="A31" s="3"/>
    </row>
    <row r="32" spans="1:5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</sheetData>
  <hyperlinks>
    <hyperlink ref="A5" r:id="rId1" display="https://www.semanticscholar.org/paper/Translating-weighted-probabilistic-bits-to-genetic-Ciccone-Messina/d7e3ab773e7092cd85563a6dd02c81c4c8cd76c0" xr:uid="{0855BD8E-0348-7743-BD12-E467B8AA7588}"/>
    <hyperlink ref="A6" r:id="rId2" display="https://www.semanticscholar.org/paper/Energy-Aware-Technology-Mapping-of-Genetic-Logic-Kubaczka-Gehri/368d1ff5f2248a6d4f3ecbcc3436ad699bd62826" xr:uid="{12B938CA-7313-9D4A-BBE8-C133747602C1}"/>
    <hyperlink ref="A7" r:id="rId3" display="https://www.semanticscholar.org/paper/Specifications-of-standards-in-systems-and-biology%3A-Golebiewski-Bader/ea67fe2db24f8615bfe0aef923986875d422f345" xr:uid="{870DBB66-6C24-0640-90E6-C7D2C3614621}"/>
    <hyperlink ref="A9" r:id="rId4" display="https://www.semanticscholar.org/paper/pyBrick-DNA%3A-A-Python-Based-Environment-for-Genetic-Rozas-Mandujano/2b243346c4715c0900b0040539011c47900e3cab" xr:uid="{EBFE0BCE-19F1-F643-BE8A-E06B07DD2E6E}"/>
    <hyperlink ref="A10" r:id="rId5" display="https://www.semanticscholar.org/paper/SynBioSuite%3A-A-Tool-for-Improving-the-Workflow-for-Sents-Stoughton/f9fcd46ddd13318add37a865c20c2a0e681543a3" xr:uid="{F97804DA-BB2D-D044-A908-F2B92D69BDBF}"/>
    <hyperlink ref="A11" r:id="rId6" display="https://www.semanticscholar.org/paper/Excel-SBOL-Converter%3A-Creating-SBOL-from-Excel-and-Mante-Abam/78120c98d455d821d36047635faab2d060e240ee" xr:uid="{41F5DC4C-4FDF-DB4B-9294-0953363241DE}"/>
    <hyperlink ref="A12" r:id="rId7" display="https://www.semanticscholar.org/paper/Engineering-genetic-circuits%3A-advancements-in-tools-Buecherl-Myers/d608bf8ab0d596dc5ea50b4250a83f57a61950d8" xr:uid="{FE88EF78-F043-EB4F-9D56-6515C341FD06}"/>
    <hyperlink ref="A13" r:id="rId8" display="https://www.semanticscholar.org/paper/LOICA%3A-Integrating-Models-with-Data-for-Genetic-Vidal-Vitalis/9604dc65f03e66b2a6fdc7e4b6b3f2b55d67f368" xr:uid="{10197065-3CDA-004F-BFAB-D221B5DFE59A}"/>
    <hyperlink ref="A14" r:id="rId9" display="https://www.semanticscholar.org/paper/Synthetic-Biology-Knowledge-System.-Mante-Hao/dd88c7849525a983cab0239b878fcebbc2d10ef1" xr:uid="{4AEB016A-5394-4D40-8B2F-773DD2E9A69D}"/>
    <hyperlink ref="A15" r:id="rId10" display="https://www.semanticscholar.org/paper/paraSBOLv%3A-a-foundation-for-standard-compliant-Clark-Scott-Brown/71d8f5cdbf50f2f0ef2c9333a4542ddbd45f588a" xr:uid="{7B75489E-EB20-924D-BBD7-421264626078}"/>
    <hyperlink ref="A8" r:id="rId11" display="https://www.semanticscholar.org/paper/Digitalized-design-of-cell-factory-enables-green-of-Meng-Cao/83ba7e6b5a11e8bda41b119c423a0ad1fdd57bcb" xr:uid="{8BCF517D-8331-E643-BB93-31F927EBE896}"/>
  </hyperlinks>
  <pageMargins left="0.7" right="0.7" top="0.75" bottom="0.75" header="0.3" footer="0.3"/>
  <pageSetup orientation="portrait" horizontalDpi="0" verticalDpi="0"/>
  <drawing r:id="rId12"/>
  <tableParts count="2"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Home</vt:lpstr>
      <vt:lpstr>2013</vt:lpstr>
      <vt:lpstr>2015</vt:lpstr>
      <vt:lpstr>2018</vt:lpstr>
      <vt:lpstr>2019</vt:lpstr>
      <vt:lpstr>2020</vt:lpstr>
      <vt:lpstr>2020 Ontology</vt:lpstr>
      <vt:lpstr>2021</vt:lpstr>
      <vt:lpstr>2021 3.0</vt:lpstr>
      <vt:lpstr>2013 Pigeon</vt:lpstr>
      <vt:lpstr>2016 VisBOL</vt:lpstr>
      <vt:lpstr>2017 DNAplotlib</vt:lpstr>
      <vt:lpstr>2017 SBOLDesigner 2</vt:lpstr>
      <vt:lpstr>2021 paraSBOL</vt:lpstr>
      <vt:lpstr>2021 SBOLCanvas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Carolus Vitalis</dc:creator>
  <cp:lastModifiedBy>Carolus Vitalis</cp:lastModifiedBy>
  <cp:lastPrinted>2025-08-01T03:17:59Z</cp:lastPrinted>
  <dcterms:created xsi:type="dcterms:W3CDTF">2025-07-24T21:21:23Z</dcterms:created>
  <dcterms:modified xsi:type="dcterms:W3CDTF">2025-08-05T21:40:20Z</dcterms:modified>
</cp:coreProperties>
</file>