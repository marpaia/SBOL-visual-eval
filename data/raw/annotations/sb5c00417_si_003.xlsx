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34D96ADB-69EC-5848-BD31-37E964A92495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K8" i="13" s="1"/>
  <c r="J8" i="13"/>
  <c r="G9" i="13"/>
  <c r="H9" i="13"/>
  <c r="I9" i="13"/>
  <c r="K9" i="13" s="1"/>
  <c r="J9" i="13"/>
  <c r="G10" i="13"/>
  <c r="H10" i="13"/>
  <c r="I10" i="13"/>
  <c r="J10" i="13"/>
  <c r="K10" i="13"/>
  <c r="G11" i="13"/>
  <c r="H11" i="13"/>
  <c r="I11" i="13"/>
  <c r="J11" i="13"/>
  <c r="K11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K7" i="9" s="1"/>
  <c r="J7" i="9"/>
  <c r="G8" i="9"/>
  <c r="H8" i="9"/>
  <c r="I8" i="9"/>
  <c r="J8" i="9"/>
  <c r="K8" i="9"/>
  <c r="G9" i="9"/>
  <c r="H9" i="9"/>
  <c r="I9" i="9"/>
  <c r="K9" i="9" s="1"/>
  <c r="J9" i="9"/>
  <c r="G10" i="9"/>
  <c r="H10" i="9"/>
  <c r="I10" i="9"/>
  <c r="J10" i="9"/>
  <c r="K10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4" i="6"/>
  <c r="H4" i="6"/>
  <c r="I4" i="6"/>
  <c r="K4" i="6" s="1"/>
  <c r="J4" i="6"/>
  <c r="G5" i="6"/>
  <c r="H5" i="6"/>
  <c r="I5" i="6"/>
  <c r="J5" i="6"/>
  <c r="K5" i="6"/>
  <c r="G6" i="6"/>
  <c r="H6" i="6"/>
  <c r="I6" i="6"/>
  <c r="K6" i="6" s="1"/>
  <c r="J6" i="6"/>
  <c r="G7" i="6"/>
  <c r="H7" i="6"/>
  <c r="I7" i="6"/>
  <c r="J7" i="6"/>
  <c r="K7" i="6"/>
  <c r="G8" i="6"/>
  <c r="H8" i="6"/>
  <c r="I8" i="6"/>
  <c r="K8" i="6" s="1"/>
  <c r="J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4" i="5"/>
  <c r="H4" i="5"/>
  <c r="I4" i="5"/>
  <c r="J4" i="5"/>
  <c r="K4" i="5"/>
  <c r="G5" i="5"/>
  <c r="I5" i="5" s="1"/>
  <c r="K5" i="5" s="1"/>
  <c r="H5" i="5"/>
  <c r="J5" i="5"/>
  <c r="G6" i="5"/>
  <c r="H6" i="5"/>
  <c r="I6" i="5"/>
  <c r="J6" i="5"/>
  <c r="K6" i="5"/>
  <c r="G4" i="4"/>
  <c r="H4" i="4"/>
  <c r="I4" i="4"/>
  <c r="J4" i="4"/>
  <c r="K4" i="4"/>
  <c r="G5" i="4"/>
  <c r="I5" i="4" s="1"/>
  <c r="K5" i="4" s="1"/>
  <c r="H5" i="4"/>
  <c r="J5" i="4"/>
  <c r="G6" i="4"/>
  <c r="H6" i="4"/>
  <c r="I6" i="4"/>
  <c r="J6" i="4"/>
  <c r="K6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K3" i="2"/>
  <c r="J3" i="2"/>
  <c r="I3" i="2"/>
  <c r="H3" i="2"/>
  <c r="G3" i="2"/>
  <c r="L12" i="13"/>
  <c r="F12" i="13"/>
  <c r="E12" i="13"/>
  <c r="D12" i="13"/>
  <c r="C14" i="1" s="1"/>
  <c r="C12" i="13"/>
  <c r="G12" i="12"/>
  <c r="L9" i="12"/>
  <c r="F9" i="12"/>
  <c r="E9" i="12"/>
  <c r="D13" i="1" s="1"/>
  <c r="D9" i="12"/>
  <c r="C13" i="1" s="1"/>
  <c r="C9" i="12"/>
  <c r="L10" i="11"/>
  <c r="F10" i="11"/>
  <c r="E10" i="11"/>
  <c r="D12" i="1" s="1"/>
  <c r="D10" i="11"/>
  <c r="C12" i="1" s="1"/>
  <c r="C10" i="11"/>
  <c r="G13" i="10"/>
  <c r="L10" i="10"/>
  <c r="F10" i="10"/>
  <c r="E10" i="10"/>
  <c r="D11" i="1" s="1"/>
  <c r="D10" i="10"/>
  <c r="C11" i="1" s="1"/>
  <c r="C10" i="10"/>
  <c r="H14" i="9"/>
  <c r="L11" i="9"/>
  <c r="F11" i="9"/>
  <c r="E11" i="9"/>
  <c r="D11" i="9"/>
  <c r="C10" i="1" s="1"/>
  <c r="C11" i="9"/>
  <c r="L8" i="8"/>
  <c r="F8" i="8"/>
  <c r="E8" i="8"/>
  <c r="D8" i="8"/>
  <c r="C9" i="1" s="1"/>
  <c r="C8" i="8"/>
  <c r="H14" i="7"/>
  <c r="L11" i="7"/>
  <c r="F11" i="7"/>
  <c r="E11" i="7"/>
  <c r="D8" i="1" s="1"/>
  <c r="D11" i="7"/>
  <c r="C8" i="1" s="1"/>
  <c r="C11" i="7"/>
  <c r="G14" i="7" s="1"/>
  <c r="L13" i="6"/>
  <c r="F13" i="6"/>
  <c r="E7" i="1" s="1"/>
  <c r="V7" i="1" s="1"/>
  <c r="E13" i="6"/>
  <c r="D7" i="1" s="1"/>
  <c r="D13" i="6"/>
  <c r="C7" i="1" s="1"/>
  <c r="C13" i="6"/>
  <c r="L7" i="5"/>
  <c r="F7" i="5"/>
  <c r="E6" i="1" s="1"/>
  <c r="V6" i="1" s="1"/>
  <c r="E7" i="5"/>
  <c r="D6" i="1" s="1"/>
  <c r="D7" i="5"/>
  <c r="C7" i="5"/>
  <c r="G10" i="5" s="1"/>
  <c r="L7" i="4"/>
  <c r="F7" i="4"/>
  <c r="E7" i="4"/>
  <c r="H10" i="4" s="1"/>
  <c r="D7" i="4"/>
  <c r="C5" i="1" s="1"/>
  <c r="V5" i="1" s="1"/>
  <c r="C7" i="4"/>
  <c r="B5" i="1" s="1"/>
  <c r="L9" i="3"/>
  <c r="F9" i="3"/>
  <c r="E9" i="3"/>
  <c r="D9" i="3"/>
  <c r="C4" i="1" s="1"/>
  <c r="C9" i="3"/>
  <c r="G12" i="2"/>
  <c r="L9" i="2"/>
  <c r="F9" i="2"/>
  <c r="E3" i="1" s="1"/>
  <c r="E9" i="2"/>
  <c r="D9" i="2"/>
  <c r="C9" i="2"/>
  <c r="K14" i="1"/>
  <c r="E14" i="1"/>
  <c r="V14" i="1" s="1"/>
  <c r="B14" i="1"/>
  <c r="U13" i="1"/>
  <c r="T13" i="1"/>
  <c r="K13" i="1"/>
  <c r="E13" i="1"/>
  <c r="V13" i="1" s="1"/>
  <c r="B13" i="1"/>
  <c r="U12" i="1"/>
  <c r="K12" i="1"/>
  <c r="E12" i="1"/>
  <c r="V12" i="1" s="1"/>
  <c r="B12" i="1"/>
  <c r="T12" i="1" s="1"/>
  <c r="V11" i="1"/>
  <c r="U11" i="1"/>
  <c r="T11" i="1"/>
  <c r="K11" i="1"/>
  <c r="E11" i="1"/>
  <c r="B11" i="1"/>
  <c r="K10" i="1"/>
  <c r="E10" i="1"/>
  <c r="V10" i="1" s="1"/>
  <c r="B10" i="1"/>
  <c r="K9" i="1"/>
  <c r="E9" i="1"/>
  <c r="V9" i="1" s="1"/>
  <c r="B9" i="1"/>
  <c r="U8" i="1"/>
  <c r="T8" i="1"/>
  <c r="K8" i="1"/>
  <c r="E8" i="1"/>
  <c r="V8" i="1" s="1"/>
  <c r="B8" i="1"/>
  <c r="U7" i="1"/>
  <c r="K7" i="1"/>
  <c r="B7" i="1"/>
  <c r="T7" i="1" s="1"/>
  <c r="K6" i="1"/>
  <c r="C6" i="1"/>
  <c r="U6" i="1" s="1"/>
  <c r="K5" i="1"/>
  <c r="E5" i="1"/>
  <c r="K4" i="1"/>
  <c r="E4" i="1"/>
  <c r="B4" i="1"/>
  <c r="K3" i="1"/>
  <c r="K15" i="1" s="1"/>
  <c r="C3" i="1"/>
  <c r="B3" i="1"/>
  <c r="G9" i="12" l="1"/>
  <c r="J12" i="13"/>
  <c r="J13" i="13" s="1"/>
  <c r="I9" i="3"/>
  <c r="I10" i="3" s="1"/>
  <c r="J9" i="3"/>
  <c r="I4" i="1" s="1"/>
  <c r="K11" i="9"/>
  <c r="J10" i="1" s="1"/>
  <c r="G10" i="11"/>
  <c r="F12" i="1" s="1"/>
  <c r="I11" i="9"/>
  <c r="I12" i="9" s="1"/>
  <c r="K12" i="13"/>
  <c r="K13" i="13" s="1"/>
  <c r="I10" i="10"/>
  <c r="I11" i="10" s="1"/>
  <c r="G9" i="2"/>
  <c r="G10" i="2" s="1"/>
  <c r="K11" i="7"/>
  <c r="K12" i="7" s="1"/>
  <c r="J8" i="8"/>
  <c r="I9" i="1" s="1"/>
  <c r="G13" i="6"/>
  <c r="F7" i="1" s="1"/>
  <c r="M7" i="1" s="1"/>
  <c r="G11" i="7"/>
  <c r="G12" i="7" s="1"/>
  <c r="H9" i="2"/>
  <c r="H10" i="2" s="1"/>
  <c r="I9" i="2"/>
  <c r="I10" i="2" s="1"/>
  <c r="J13" i="6"/>
  <c r="J14" i="6" s="1"/>
  <c r="G8" i="8"/>
  <c r="G9" i="8" s="1"/>
  <c r="G11" i="9"/>
  <c r="G12" i="9" s="1"/>
  <c r="J9" i="2"/>
  <c r="J10" i="2" s="1"/>
  <c r="I13" i="6"/>
  <c r="I14" i="6" s="1"/>
  <c r="H9" i="12"/>
  <c r="G13" i="1" s="1"/>
  <c r="N13" i="1" s="1"/>
  <c r="G12" i="13"/>
  <c r="J14" i="13" s="1"/>
  <c r="I9" i="12"/>
  <c r="I10" i="12" s="1"/>
  <c r="J10" i="10"/>
  <c r="J11" i="10" s="1"/>
  <c r="K7" i="4"/>
  <c r="K13" i="6"/>
  <c r="J7" i="1" s="1"/>
  <c r="J11" i="7"/>
  <c r="J12" i="7" s="1"/>
  <c r="H11" i="9"/>
  <c r="H12" i="9" s="1"/>
  <c r="K10" i="10"/>
  <c r="K11" i="10" s="1"/>
  <c r="J10" i="11"/>
  <c r="I12" i="1" s="1"/>
  <c r="J9" i="12"/>
  <c r="I13" i="1" s="1"/>
  <c r="I12" i="13"/>
  <c r="H14" i="1" s="1"/>
  <c r="K9" i="2"/>
  <c r="J3" i="1" s="1"/>
  <c r="G7" i="5"/>
  <c r="G8" i="5" s="1"/>
  <c r="K10" i="11"/>
  <c r="J12" i="1" s="1"/>
  <c r="K9" i="12"/>
  <c r="J13" i="1" s="1"/>
  <c r="H9" i="3"/>
  <c r="H10" i="3" s="1"/>
  <c r="H7" i="5"/>
  <c r="G6" i="1" s="1"/>
  <c r="N6" i="1" s="1"/>
  <c r="J11" i="9"/>
  <c r="I10" i="1" s="1"/>
  <c r="K7" i="5"/>
  <c r="H10" i="11"/>
  <c r="G9" i="3"/>
  <c r="G10" i="3" s="1"/>
  <c r="K8" i="8"/>
  <c r="K9" i="3"/>
  <c r="K10" i="3" s="1"/>
  <c r="G7" i="4"/>
  <c r="G8" i="4" s="1"/>
  <c r="H7" i="4"/>
  <c r="I7" i="5"/>
  <c r="I8" i="5" s="1"/>
  <c r="J7" i="5"/>
  <c r="H11" i="7"/>
  <c r="H8" i="8"/>
  <c r="H9" i="8" s="1"/>
  <c r="G10" i="10"/>
  <c r="G11" i="10" s="1"/>
  <c r="I10" i="11"/>
  <c r="I7" i="4"/>
  <c r="I8" i="4" s="1"/>
  <c r="I8" i="8"/>
  <c r="I9" i="8" s="1"/>
  <c r="H10" i="10"/>
  <c r="H11" i="10" s="1"/>
  <c r="H12" i="13"/>
  <c r="H13" i="13" s="1"/>
  <c r="J7" i="4"/>
  <c r="J8" i="4" s="1"/>
  <c r="H13" i="6"/>
  <c r="G7" i="1" s="1"/>
  <c r="G10" i="12"/>
  <c r="F13" i="1"/>
  <c r="I14" i="1"/>
  <c r="V3" i="1"/>
  <c r="E15" i="1"/>
  <c r="V4" i="1"/>
  <c r="D3" i="1"/>
  <c r="H12" i="2"/>
  <c r="H11" i="8"/>
  <c r="D9" i="1"/>
  <c r="G11" i="8"/>
  <c r="C15" i="1"/>
  <c r="G16" i="6"/>
  <c r="H15" i="13"/>
  <c r="D14" i="1"/>
  <c r="G15" i="13"/>
  <c r="H16" i="6"/>
  <c r="B6" i="1"/>
  <c r="T6" i="1" s="1"/>
  <c r="G10" i="4"/>
  <c r="D5" i="1"/>
  <c r="H12" i="12"/>
  <c r="H13" i="10"/>
  <c r="H12" i="3"/>
  <c r="D4" i="1"/>
  <c r="G12" i="3"/>
  <c r="H10" i="5"/>
  <c r="I11" i="7"/>
  <c r="G14" i="9"/>
  <c r="D10" i="1"/>
  <c r="G13" i="11"/>
  <c r="H13" i="11"/>
  <c r="I3" i="1" l="1"/>
  <c r="K12" i="9"/>
  <c r="H10" i="1"/>
  <c r="O10" i="1" s="1"/>
  <c r="I12" i="11"/>
  <c r="G11" i="11"/>
  <c r="H12" i="11"/>
  <c r="J10" i="3"/>
  <c r="H4" i="1"/>
  <c r="O4" i="1" s="1"/>
  <c r="K13" i="9"/>
  <c r="F9" i="1"/>
  <c r="M9" i="1" s="1"/>
  <c r="K10" i="8"/>
  <c r="I8" i="1"/>
  <c r="J11" i="2"/>
  <c r="F10" i="1"/>
  <c r="S10" i="1" s="1"/>
  <c r="G10" i="1"/>
  <c r="N10" i="1" s="1"/>
  <c r="I13" i="9"/>
  <c r="J14" i="1"/>
  <c r="H11" i="2"/>
  <c r="G4" i="1"/>
  <c r="N4" i="1" s="1"/>
  <c r="H11" i="1"/>
  <c r="O11" i="1" s="1"/>
  <c r="H13" i="9"/>
  <c r="J9" i="8"/>
  <c r="H11" i="12"/>
  <c r="J8" i="1"/>
  <c r="H10" i="12"/>
  <c r="I14" i="13"/>
  <c r="S7" i="1"/>
  <c r="J13" i="9"/>
  <c r="I7" i="1"/>
  <c r="R7" i="1" s="1"/>
  <c r="H13" i="7"/>
  <c r="K13" i="7"/>
  <c r="K11" i="12"/>
  <c r="G14" i="6"/>
  <c r="J10" i="12"/>
  <c r="F3" i="1"/>
  <c r="K14" i="6"/>
  <c r="I13" i="13"/>
  <c r="J12" i="11"/>
  <c r="I11" i="3"/>
  <c r="H9" i="5"/>
  <c r="J9" i="1"/>
  <c r="I11" i="1"/>
  <c r="J15" i="6"/>
  <c r="G3" i="1"/>
  <c r="N3" i="1" s="1"/>
  <c r="I12" i="10"/>
  <c r="F8" i="1"/>
  <c r="M8" i="1" s="1"/>
  <c r="I15" i="6"/>
  <c r="H14" i="13"/>
  <c r="J12" i="9"/>
  <c r="J11" i="12"/>
  <c r="J11" i="1"/>
  <c r="F6" i="1"/>
  <c r="M6" i="1" s="1"/>
  <c r="H8" i="5"/>
  <c r="K10" i="12"/>
  <c r="F14" i="1"/>
  <c r="R14" i="1" s="1"/>
  <c r="K11" i="3"/>
  <c r="K11" i="11"/>
  <c r="I11" i="12"/>
  <c r="K9" i="5"/>
  <c r="J13" i="7"/>
  <c r="K9" i="4"/>
  <c r="G11" i="1"/>
  <c r="N11" i="1" s="1"/>
  <c r="H3" i="1"/>
  <c r="G13" i="13"/>
  <c r="K14" i="13"/>
  <c r="J12" i="10"/>
  <c r="F11" i="1"/>
  <c r="K15" i="6"/>
  <c r="G9" i="1"/>
  <c r="J11" i="3"/>
  <c r="J10" i="8"/>
  <c r="K10" i="2"/>
  <c r="H14" i="6"/>
  <c r="K11" i="2"/>
  <c r="H12" i="10"/>
  <c r="K9" i="8"/>
  <c r="K12" i="11"/>
  <c r="J9" i="5"/>
  <c r="H9" i="1"/>
  <c r="J11" i="11"/>
  <c r="H11" i="3"/>
  <c r="H11" i="11"/>
  <c r="I11" i="2"/>
  <c r="P13" i="1"/>
  <c r="H7" i="1"/>
  <c r="I5" i="1"/>
  <c r="G12" i="1"/>
  <c r="N12" i="1" s="1"/>
  <c r="G14" i="1"/>
  <c r="N14" i="1" s="1"/>
  <c r="K8" i="4"/>
  <c r="J5" i="1"/>
  <c r="I10" i="8"/>
  <c r="H9" i="4"/>
  <c r="I9" i="4"/>
  <c r="H6" i="1"/>
  <c r="H5" i="1"/>
  <c r="O5" i="1" s="1"/>
  <c r="I9" i="5"/>
  <c r="H13" i="1"/>
  <c r="K12" i="10"/>
  <c r="I11" i="11"/>
  <c r="H12" i="1"/>
  <c r="O12" i="1" s="1"/>
  <c r="H15" i="6"/>
  <c r="H10" i="8"/>
  <c r="F5" i="1"/>
  <c r="J9" i="4"/>
  <c r="J4" i="1"/>
  <c r="H12" i="7"/>
  <c r="G8" i="1"/>
  <c r="G5" i="1"/>
  <c r="N5" i="1" s="1"/>
  <c r="J8" i="5"/>
  <c r="I6" i="1"/>
  <c r="K8" i="5"/>
  <c r="J6" i="1"/>
  <c r="H8" i="4"/>
  <c r="S13" i="1"/>
  <c r="F4" i="1"/>
  <c r="M13" i="1"/>
  <c r="R13" i="1"/>
  <c r="U4" i="1"/>
  <c r="T4" i="1"/>
  <c r="N7" i="1"/>
  <c r="P7" i="1"/>
  <c r="O14" i="1"/>
  <c r="U5" i="1"/>
  <c r="T5" i="1"/>
  <c r="U14" i="1"/>
  <c r="T14" i="1"/>
  <c r="U9" i="1"/>
  <c r="T9" i="1"/>
  <c r="V15" i="1"/>
  <c r="R12" i="1"/>
  <c r="M12" i="1"/>
  <c r="U10" i="1"/>
  <c r="T10" i="1"/>
  <c r="S12" i="1"/>
  <c r="I13" i="7"/>
  <c r="I12" i="7"/>
  <c r="H8" i="1"/>
  <c r="D15" i="1"/>
  <c r="U3" i="1"/>
  <c r="T3" i="1"/>
  <c r="B15" i="1"/>
  <c r="R3" i="1" l="1"/>
  <c r="R9" i="1"/>
  <c r="M10" i="1"/>
  <c r="Q10" i="1"/>
  <c r="P10" i="1"/>
  <c r="Q9" i="1"/>
  <c r="P9" i="1"/>
  <c r="R10" i="1"/>
  <c r="R6" i="1"/>
  <c r="M3" i="1"/>
  <c r="S9" i="1"/>
  <c r="P3" i="1"/>
  <c r="Q11" i="1"/>
  <c r="Q6" i="1"/>
  <c r="S3" i="1"/>
  <c r="S11" i="1"/>
  <c r="Q14" i="1"/>
  <c r="Q3" i="1"/>
  <c r="P6" i="1"/>
  <c r="Q5" i="1"/>
  <c r="S14" i="1"/>
  <c r="O3" i="1"/>
  <c r="M14" i="1"/>
  <c r="R8" i="1"/>
  <c r="S8" i="1"/>
  <c r="N9" i="1"/>
  <c r="S6" i="1"/>
  <c r="O9" i="1"/>
  <c r="P14" i="1"/>
  <c r="P12" i="1"/>
  <c r="G15" i="1"/>
  <c r="N15" i="1" s="1"/>
  <c r="S5" i="1"/>
  <c r="I15" i="1"/>
  <c r="R11" i="1"/>
  <c r="P5" i="1"/>
  <c r="M11" i="1"/>
  <c r="P11" i="1"/>
  <c r="F15" i="1"/>
  <c r="M15" i="1" s="1"/>
  <c r="Q12" i="1"/>
  <c r="J15" i="1"/>
  <c r="R5" i="1"/>
  <c r="M5" i="1"/>
  <c r="O6" i="1"/>
  <c r="O7" i="1"/>
  <c r="Q7" i="1"/>
  <c r="O13" i="1"/>
  <c r="Q13" i="1"/>
  <c r="P4" i="1"/>
  <c r="Q4" i="1"/>
  <c r="R4" i="1"/>
  <c r="M4" i="1"/>
  <c r="S4" i="1"/>
  <c r="N8" i="1"/>
  <c r="P8" i="1"/>
  <c r="O8" i="1"/>
  <c r="Q8" i="1"/>
  <c r="U15" i="1"/>
  <c r="T15" i="1"/>
  <c r="H15" i="1"/>
  <c r="S15" i="1" l="1"/>
  <c r="R15" i="1"/>
  <c r="P15" i="1"/>
  <c r="O15" i="1"/>
  <c r="Q15" i="1"/>
</calcChain>
</file>

<file path=xl/sharedStrings.xml><?xml version="1.0" encoding="utf-8"?>
<sst xmlns="http://schemas.openxmlformats.org/spreadsheetml/2006/main" count="311" uniqueCount="126">
  <si>
    <t>Year: 2013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</si>
  <si>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</si>
  <si>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</si>
  <si>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</si>
  <si>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</si>
  <si>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</si>
  <si>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</si>
  <si>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</si>
  <si>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</si>
  <si>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</si>
  <si>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</si>
  <si>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</si>
  <si>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</si>
  <si>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</si>
  <si>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</si>
  <si>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</si>
  <si>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</si>
  <si>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</si>
  <si>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</si>
  <si>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</si>
  <si>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</si>
  <si>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</si>
  <si>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</si>
  <si>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</si>
  <si>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</si>
  <si>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</si>
  <si>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</si>
  <si>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</si>
  <si>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</si>
  <si>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</si>
  <si>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</si>
  <si>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</si>
  <si>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</si>
  <si>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</si>
  <si>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</si>
  <si>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</si>
  <si>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</si>
  <si>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</si>
  <si>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</si>
  <si>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</si>
  <si>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</si>
  <si>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</si>
  <si>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</si>
  <si>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Scaffold Diversification Enhances Effectiveness of a Superlibrary of Hyperthermophilic Proteins</t>
  </si>
  <si>
    <t>Functional Display of Complex Cellulosomes on the Yeast Surface via Adaptive Assembly</t>
  </si>
  <si>
    <t>TREX: A Universal Tool for the Transfer and Expression of Biosynthetic Pathways in Bacteria</t>
  </si>
  <si>
    <t>Synthetic Oligonucleotide Libraries Reveal Novel Regulatory Elements in Chlamydomonas Chloroplast mRNAs</t>
  </si>
  <si>
    <t>Transcription Factor-Based Screens and Synthetic Selections for Microbial Small-Molecule Biosynthesis</t>
  </si>
  <si>
    <t>Expanding the Product Profile of a Microbial Alkane Biosynthetic Pathway</t>
  </si>
  <si>
    <t>Totals:</t>
  </si>
  <si>
    <t>% of SBOL-possible papers</t>
  </si>
  <si>
    <t>% of all / possible figures</t>
  </si>
  <si>
    <t>4th International Conference on Biomolecular Engineering Tackles New Challenges with Synthetic Biology</t>
  </si>
  <si>
    <t>Synthesizing Biomolecule-Based Boolean Logic Gates</t>
  </si>
  <si>
    <t>Reducing Codon Redundancy and Screening Effort of Combinatorial Protein Libraries Created by Saturation Mutagenesis</t>
  </si>
  <si>
    <t>Electrochemical Analysis of Shewanella oneidensis Engineered To Bind Gold Electrodes</t>
  </si>
  <si>
    <t>Self-Assembly of Synthetic Metabolons through Synthetic Protein Scaffolds: One-Step Purification, Co-immobilization, and Substrate Channeling</t>
  </si>
  <si>
    <t>Promoter Element Arising from the Fusion of Standard BioBrick Parts</t>
  </si>
  <si>
    <t>Tuning Primary Metabolism for Heterologous Pathway Productivity</t>
  </si>
  <si>
    <t>Engineered Quorum Sensing Using Pheromone-Mediated Cell-to-Cell Communication in Saccharomyces cerevisiae</t>
  </si>
  <si>
    <t>Tuning Promoter Strengths for Improved Synthesis and Function of Electron Conduits in Escherichia coli</t>
  </si>
  <si>
    <t>Engineered Female-Specific Lethality for Control of Pest Lepidoptera</t>
  </si>
  <si>
    <t>Programming Membrane Fusion and Subsequent Apoptosis into Mammalian Cells</t>
  </si>
  <si>
    <t>Complex DNA Nanostructures from Oligonucleotide Ensembles</t>
  </si>
  <si>
    <t>Linking Genotype and Phenotype in Protein Synthesizing Liposomes with External Supply of Resources</t>
  </si>
  <si>
    <t>Photoswitch Nucleic Acid Catalytic Activity by Regulating Topological Structure with a Universal Supraphotoswitch</t>
  </si>
  <si>
    <t>The Impact of Synthetic Biology</t>
  </si>
  <si>
    <t>Engineering for the 21st Century: Synthetic Biology</t>
  </si>
  <si>
    <t>PaR-PaR Laboratory Automation Platform</t>
  </si>
  <si>
    <t>Dynamic Modeling of Cellular Populations within iBioSim</t>
  </si>
  <si>
    <t>AutoBioCAD: Full Biodesign Automation of Genetic Circuits</t>
  </si>
  <si>
    <t>Rational Design of Orthogonal Libraries of Protein Coding Genes</t>
  </si>
  <si>
    <t>Discrete-Time Signal Processing with DNA</t>
  </si>
  <si>
    <t>Reverse Engineering Validation using a Benchmark Synthetic Gene Circuit in Human Cells</t>
  </si>
  <si>
    <t>SBROME: A Scalable Optimization and Module Matching Framework for Automated Biosystems Design</t>
  </si>
  <si>
    <t>Efficient Behavior of Photosynthetic Organelles via Pareto Optimality, Identifiability, and Sensitivity Analysis</t>
  </si>
  <si>
    <t>Synthetic Biologists Spring into Action at the 245th American Chemical Society National Meeting</t>
  </si>
  <si>
    <t>Keystone Symposia Conference on Precision Genome Engineering and Synthetic Biology Brings Together Players from Both Disciplines</t>
  </si>
  <si>
    <t>Decaffeination and Measurement of Caffeine Content by Addicted Escherichia coli with a Refactored N-Demethylation Operon from Pseudomonas putida CBB5</t>
  </si>
  <si>
    <t>Redirecting Photosynthetic Reducing Power toward Bioactive Natural Product Synthesis</t>
  </si>
  <si>
    <t>A Solid-Phase Platform for Combinatorial and Scarless Multipart Gene Assembly</t>
  </si>
  <si>
    <t>Quantifying Translational Coupling in E. coli Synthetic Operons Using RBS Modulation and Fluorescent Reporters</t>
  </si>
  <si>
    <t>A Genome-Wide Activity Assessment of Terminator Regions in Saccharomyces cerevisiae Provides a ″Terminatome″ Toolbox</t>
  </si>
  <si>
    <t>Pigeon: A Design Visualizer for Synthetic Biology</t>
  </si>
  <si>
    <t>Synthetic Biology of Antimicrobial Discovery</t>
  </si>
  <si>
    <t>Modeling Challenges in the Synthetic Biology of Secondary Metabolism</t>
  </si>
  <si>
    <t>Designed Biosynthesis of 36-Methyl-FK506 by Polyketide Precursor Pathway Engineering</t>
  </si>
  <si>
    <t>Engineered Streptomyces avermitilis Host for Heterologous Expression of Biosynthetic Gene Cluster for Secondary Metabolites</t>
  </si>
  <si>
    <t>Designing and Producing Modified, New-to-Nature Peptides with Antimicrobial Activity by Use of a Combination of Various Lantibiotic Modification Enzymes</t>
  </si>
  <si>
    <t>Real-Time mRNA Measurement during an in Vitro Transcription and Translation Reaction Using Binary Probes</t>
  </si>
  <si>
    <t>Modular Design of a Synthetic Payload Delivery Device</t>
  </si>
  <si>
    <t>Synthetic Gene Circuit-Mediated Monitoring of Endogenous Metabolites: Identification of GAL11 as a Novel Multicopy Enhancer of S-Adenosylmethionine Level in Yeast</t>
  </si>
  <si>
    <t>Retroactivity Controls the Temporal Dynamics of Gene Transcription</t>
  </si>
  <si>
    <t>Analysis and Design of a Genetic Circuit for Dynamic Metabolic Engineering</t>
  </si>
  <si>
    <t>Elimination of Redundant and Stop Codons during the Chemical Synthesis of Degenerate Oligonucleotides. Combinatorial Testing on the Chromophore Region of the Red Fluorescent Protein mKate</t>
  </si>
  <si>
    <t>Modularity of Select Riboswitch Expression Platforms Enables Facile Engineering of Novel Genetic Regulatory Devices</t>
  </si>
  <si>
    <t>Multichange Isothermal Mutagenesis: A New Strategy for Multiple Site-Directed Mutations in Plasmid DNA</t>
  </si>
  <si>
    <t>Fluorescent Proteins and in Vitro Genetic Organization for Cell-Free Synthetic Biology</t>
  </si>
  <si>
    <t>Orthogonal Labeling of M13 Minor Capsid Proteins with DNA to Self-Assemble End-to-End Multiphage Structures</t>
  </si>
  <si>
    <t>Probing Cell-Free Gene Expression Noise in Femtoliter Volumes</t>
  </si>
  <si>
    <t>Randomized BioBrick Assembly: A Novel DNA Assembly Method for Randomizing and Optimizing Genetic Circuits and Metabolic Pathways</t>
  </si>
  <si>
    <t>Visualization of Evolutionary Stability Dynamics and Competitive Fitness of Escherichia coli Engineered with Randomized Multigene Circuits</t>
  </si>
  <si>
    <t>PCR Amplification of 4′-ThioDNA Using 2′-Deoxy-4′-thionucleoside 5′-Triphosphates</t>
  </si>
  <si>
    <t>One-Step Cloning and Chromosomal Integration of DNA</t>
  </si>
  <si>
    <t>Tuning Response Curves for Synthetic Biology</t>
  </si>
  <si>
    <t>Engineering the esaR Promoter for Tunable Quorum Sensing-Dependent Gene Expression</t>
  </si>
  <si>
    <t>Reliable Prediction of Complex Phenotypes from a Modular Design in Free Energy Space: An Extensive Exploration of the lac Operon</t>
  </si>
  <si>
    <t>Noise Attenuation in the ON and OFF States of Biological Switches</t>
  </si>
  <si>
    <t>Expanding the Boolean Logic of the Prokaryotic Transcription Factor XylR by Functionalization of Permissive Sites with a Protease-Target Sequence</t>
  </si>
  <si>
    <t>Tunable and Multifunctional Eukaryotic Transcription Factors Based on CRISPR/Cas</t>
  </si>
  <si>
    <t>Genetic Sensor for Strong Methylating Compounds</t>
  </si>
  <si>
    <t>Discovery of Cryptic Polyketide Metabolites from Dermatophytes Using Heterologous Expression in Aspergillus nidulans</t>
  </si>
  <si>
    <t>Sequence, Cloning, and Analysis of the Fluvirucin B1 Polyketide Synthase from Actinomadura vulgaris</t>
  </si>
  <si>
    <t>Antimicrobial Peptides Targeting Gram-negative Pathogens, Produced and Delivered by Lactic Acid Bacteria</t>
  </si>
  <si>
    <t>Multiplex Iterative Plasmid Engineering for Combinatorial Optimization of Metabolic Pathways and Diversification of Protein Coding Sequences</t>
  </si>
  <si>
    <t>Refactoring the Silent Spectinabilin Gene Cluster Using a Plug-and-Play Scaffold</t>
  </si>
  <si>
    <t>Facile Method for Site-specific Gene Integration in Lysobacter enzymogenes for Yield Improvement of the Anti-MRSA Antibiotics WAP-8294A and the Antifungal Antibiotic HSAF</t>
  </si>
  <si>
    <t>Controlling Mammalian Gene Expression by Allosteric Hepatitis Delta Virus Ribozymes</t>
  </si>
  <si>
    <t>Hypocrea jecorina Cellobiohydrolase I Stabilizing Mutations Identified Using Noncontiguous Recombination</t>
  </si>
  <si>
    <t>Artificial Conversion of the Mating-Type of Saccharomyces cerevisiae without Autopolyploidization</t>
  </si>
  <si>
    <t>Cell Polarity-Driven Instability Generates Self-Organized, Fractal Patterning of Cell Layers</t>
  </si>
  <si>
    <t>Genetically Programmable Pathogen Sense and Destroy</t>
  </si>
  <si>
    <t>SCHEMA Computational Design of Virus Capsid Chimeras: Calibrating How Genome Packaging, Protection, and Transduction Correlate with Calculated Structural Disruption</t>
  </si>
  <si>
    <t>Escherichia coli with Two Linear Chromosomes</t>
  </si>
  <si>
    <t>Yeast Oligo-Mediated Genome Engineering (YOGE)</t>
  </si>
  <si>
    <t>In Situ Overlap and Sequence Synthesis During DNA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</si>
</sst>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8" t="s">
        <v>1</v>
      </c>
      <c r="C1" s="9"/>
      <c r="D1" s="9"/>
      <c r="E1" s="9"/>
      <c r="F1" s="8" t="s">
        <v>2</v>
      </c>
      <c r="G1" s="9"/>
      <c r="H1" s="9"/>
      <c r="I1" s="9"/>
      <c r="J1" s="9"/>
      <c r="K1" s="9"/>
      <c r="M1" s="8" t="s">
        <v>3</v>
      </c>
      <c r="N1" s="9"/>
      <c r="O1" s="9"/>
      <c r="P1" s="8" t="s">
        <v>4</v>
      </c>
      <c r="Q1" s="9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January!C9</f>
        <v>30</v>
      </c>
      <c r="C3" s="1">
        <f>January!D9</f>
        <v>6</v>
      </c>
      <c r="D3" s="1">
        <f>January!E9</f>
        <v>1</v>
      </c>
      <c r="E3" s="1">
        <f>January!F9</f>
        <v>1</v>
      </c>
      <c r="F3" s="1">
        <f>January!G9</f>
        <v>3</v>
      </c>
      <c r="G3" s="1">
        <f>January!H9</f>
        <v>1</v>
      </c>
      <c r="H3" s="1">
        <f>January!I9</f>
        <v>0</v>
      </c>
      <c r="I3" s="1">
        <f>January!J9</f>
        <v>1</v>
      </c>
      <c r="J3" s="1">
        <f>January!K9</f>
        <v>0</v>
      </c>
      <c r="K3" s="1">
        <f>January!L9</f>
        <v>6</v>
      </c>
      <c r="M3" s="2">
        <f t="shared" ref="M3:O3" si="0">F3/$K3</f>
        <v>0.5</v>
      </c>
      <c r="N3" s="2">
        <f t="shared" si="0"/>
        <v>0.16666666666666666</v>
      </c>
      <c r="O3" s="2">
        <f t="shared" si="0"/>
        <v>0</v>
      </c>
      <c r="P3" s="2">
        <f t="shared" ref="P3:Q3" si="1">G3/$F3</f>
        <v>0.33333333333333331</v>
      </c>
      <c r="Q3" s="2">
        <f t="shared" si="1"/>
        <v>0</v>
      </c>
      <c r="R3" s="2">
        <f t="shared" ref="R3:R15" si="2">I3/F3</f>
        <v>0.33333333333333331</v>
      </c>
      <c r="S3" s="2">
        <f t="shared" ref="S3:S15" si="3">J3/F3</f>
        <v>0</v>
      </c>
      <c r="T3" s="3">
        <f t="shared" ref="T3:T15" si="4">D3/$B3</f>
        <v>3.3333333333333333E-2</v>
      </c>
      <c r="U3" s="3">
        <f t="shared" ref="U3:U15" si="5">D3/C3</f>
        <v>0.16666666666666666</v>
      </c>
      <c r="V3" s="2">
        <f t="shared" ref="V3:V15" si="6">E3/C3</f>
        <v>0.16666666666666666</v>
      </c>
    </row>
    <row r="4" spans="1:22" ht="15.75" customHeight="1">
      <c r="A4" s="1" t="s">
        <v>20</v>
      </c>
      <c r="B4" s="1">
        <f>February!C9</f>
        <v>32</v>
      </c>
      <c r="C4" s="1">
        <f>February!D9</f>
        <v>7</v>
      </c>
      <c r="D4" s="1">
        <f>February!E9</f>
        <v>6</v>
      </c>
      <c r="E4" s="1">
        <f>February!F9</f>
        <v>5</v>
      </c>
      <c r="F4" s="1">
        <f>February!G9</f>
        <v>3</v>
      </c>
      <c r="G4" s="1">
        <f>February!H9</f>
        <v>3</v>
      </c>
      <c r="H4" s="1">
        <f>February!I9</f>
        <v>2</v>
      </c>
      <c r="I4" s="1">
        <f>February!J9</f>
        <v>2</v>
      </c>
      <c r="J4" s="1">
        <f>February!K9</f>
        <v>2</v>
      </c>
      <c r="K4" s="1">
        <f>February!L9</f>
        <v>6</v>
      </c>
      <c r="M4" s="2">
        <f t="shared" ref="M4:O4" si="7">F4/$K4</f>
        <v>0.5</v>
      </c>
      <c r="N4" s="2">
        <f t="shared" si="7"/>
        <v>0.5</v>
      </c>
      <c r="O4" s="2">
        <f t="shared" si="7"/>
        <v>0.33333333333333331</v>
      </c>
      <c r="P4" s="2">
        <f t="shared" ref="P4:Q4" si="8">G4/$F4</f>
        <v>1</v>
      </c>
      <c r="Q4" s="2">
        <f t="shared" si="8"/>
        <v>0.66666666666666663</v>
      </c>
      <c r="R4" s="2">
        <f t="shared" si="2"/>
        <v>0.66666666666666663</v>
      </c>
      <c r="S4" s="2">
        <f t="shared" si="3"/>
        <v>0.66666666666666663</v>
      </c>
      <c r="T4" s="3">
        <f t="shared" si="4"/>
        <v>0.1875</v>
      </c>
      <c r="U4" s="3">
        <f t="shared" si="5"/>
        <v>0.8571428571428571</v>
      </c>
      <c r="V4" s="2">
        <f t="shared" si="6"/>
        <v>0.7142857142857143</v>
      </c>
    </row>
    <row r="5" spans="1:22" ht="15.75" customHeight="1">
      <c r="A5" s="1" t="s">
        <v>21</v>
      </c>
      <c r="B5" s="1">
        <f>March!C7</f>
        <v>23</v>
      </c>
      <c r="C5" s="1">
        <f>March!D7</f>
        <v>3</v>
      </c>
      <c r="D5" s="1">
        <f>March!E7</f>
        <v>1</v>
      </c>
      <c r="E5" s="1">
        <f>March!F7</f>
        <v>0</v>
      </c>
      <c r="F5" s="1">
        <f>March!G7</f>
        <v>3</v>
      </c>
      <c r="G5" s="1">
        <f>March!H7</f>
        <v>1</v>
      </c>
      <c r="H5" s="1">
        <f>March!I7</f>
        <v>1</v>
      </c>
      <c r="I5" s="1">
        <f>March!J7</f>
        <v>0</v>
      </c>
      <c r="J5" s="1">
        <f>March!K7</f>
        <v>0</v>
      </c>
      <c r="K5" s="1">
        <f>March!L7</f>
        <v>4</v>
      </c>
      <c r="M5" s="2">
        <f t="shared" ref="M5:O5" si="9">F5/$K5</f>
        <v>0.75</v>
      </c>
      <c r="N5" s="2">
        <f t="shared" si="9"/>
        <v>0.25</v>
      </c>
      <c r="O5" s="2">
        <f t="shared" si="9"/>
        <v>0.25</v>
      </c>
      <c r="P5" s="2">
        <f t="shared" ref="P5:Q5" si="10">G5/$F5</f>
        <v>0.33333333333333331</v>
      </c>
      <c r="Q5" s="2">
        <f t="shared" si="10"/>
        <v>0.33333333333333331</v>
      </c>
      <c r="R5" s="2">
        <f t="shared" si="2"/>
        <v>0</v>
      </c>
      <c r="S5" s="2">
        <f t="shared" si="3"/>
        <v>0</v>
      </c>
      <c r="T5" s="3">
        <f t="shared" si="4"/>
        <v>4.3478260869565216E-2</v>
      </c>
      <c r="U5" s="3">
        <f t="shared" si="5"/>
        <v>0.33333333333333331</v>
      </c>
      <c r="V5" s="2">
        <f t="shared" si="6"/>
        <v>0</v>
      </c>
    </row>
    <row r="6" spans="1:22" ht="15.75" customHeight="1">
      <c r="A6" s="1" t="s">
        <v>22</v>
      </c>
      <c r="B6" s="1">
        <f>April!C7</f>
        <v>21</v>
      </c>
      <c r="C6" s="1">
        <f>April!D7</f>
        <v>1</v>
      </c>
      <c r="D6" s="1">
        <f>April!E7</f>
        <v>0</v>
      </c>
      <c r="E6" s="1">
        <f>April!F7</f>
        <v>0</v>
      </c>
      <c r="F6" s="1">
        <f>April!G7</f>
        <v>1</v>
      </c>
      <c r="G6" s="1">
        <f>April!H7</f>
        <v>0</v>
      </c>
      <c r="H6" s="1">
        <f>April!I7</f>
        <v>0</v>
      </c>
      <c r="I6" s="1">
        <f>April!J7</f>
        <v>0</v>
      </c>
      <c r="J6" s="1">
        <f>April!K7</f>
        <v>0</v>
      </c>
      <c r="K6" s="1">
        <f>April!L7</f>
        <v>4</v>
      </c>
      <c r="M6" s="2">
        <f t="shared" ref="M6:O6" si="11">F6/$K6</f>
        <v>0.25</v>
      </c>
      <c r="N6" s="2">
        <f t="shared" si="11"/>
        <v>0</v>
      </c>
      <c r="O6" s="2">
        <f t="shared" si="11"/>
        <v>0</v>
      </c>
      <c r="P6" s="2">
        <f t="shared" ref="P6:Q6" si="12">G6/$F6</f>
        <v>0</v>
      </c>
      <c r="Q6" s="2">
        <f t="shared" si="12"/>
        <v>0</v>
      </c>
      <c r="R6" s="2">
        <f t="shared" si="2"/>
        <v>0</v>
      </c>
      <c r="S6" s="2">
        <f t="shared" si="3"/>
        <v>0</v>
      </c>
      <c r="T6" s="3">
        <f t="shared" si="4"/>
        <v>0</v>
      </c>
      <c r="U6" s="3">
        <f t="shared" si="5"/>
        <v>0</v>
      </c>
      <c r="V6" s="2">
        <f t="shared" si="6"/>
        <v>0</v>
      </c>
    </row>
    <row r="7" spans="1:22" ht="15.75" customHeight="1">
      <c r="A7" s="1" t="s">
        <v>23</v>
      </c>
      <c r="B7" s="1">
        <f>May!C13</f>
        <v>60</v>
      </c>
      <c r="C7" s="1">
        <f>May!D13</f>
        <v>6</v>
      </c>
      <c r="D7" s="1">
        <f>May!E13</f>
        <v>6</v>
      </c>
      <c r="E7" s="1">
        <f>May!F13</f>
        <v>5</v>
      </c>
      <c r="F7" s="1">
        <f>May!G13</f>
        <v>4</v>
      </c>
      <c r="G7" s="1">
        <f>May!H13</f>
        <v>4</v>
      </c>
      <c r="H7" s="1">
        <f>May!I13</f>
        <v>4</v>
      </c>
      <c r="I7" s="1">
        <f>May!J13</f>
        <v>3</v>
      </c>
      <c r="J7" s="1">
        <f>May!K13</f>
        <v>3</v>
      </c>
      <c r="K7" s="1">
        <f>May!L13</f>
        <v>10</v>
      </c>
      <c r="M7" s="2">
        <f t="shared" ref="M7:O7" si="13">F7/$K7</f>
        <v>0.4</v>
      </c>
      <c r="N7" s="2">
        <f t="shared" si="13"/>
        <v>0.4</v>
      </c>
      <c r="O7" s="2">
        <f t="shared" si="13"/>
        <v>0.4</v>
      </c>
      <c r="P7" s="2">
        <f t="shared" ref="P7:Q7" si="14">G7/$F7</f>
        <v>1</v>
      </c>
      <c r="Q7" s="2">
        <f t="shared" si="14"/>
        <v>1</v>
      </c>
      <c r="R7" s="2">
        <f t="shared" si="2"/>
        <v>0.75</v>
      </c>
      <c r="S7" s="2">
        <f t="shared" si="3"/>
        <v>0.75</v>
      </c>
      <c r="T7" s="3">
        <f t="shared" si="4"/>
        <v>0.1</v>
      </c>
      <c r="U7" s="3">
        <f t="shared" si="5"/>
        <v>1</v>
      </c>
      <c r="V7" s="2">
        <f t="shared" si="6"/>
        <v>0.83333333333333337</v>
      </c>
    </row>
    <row r="8" spans="1:22" ht="15.75" customHeight="1">
      <c r="A8" s="1" t="s">
        <v>24</v>
      </c>
      <c r="B8" s="1">
        <f>June!C11</f>
        <v>32</v>
      </c>
      <c r="C8" s="1">
        <f>June!D11</f>
        <v>3</v>
      </c>
      <c r="D8" s="1">
        <f>June!E11</f>
        <v>1</v>
      </c>
      <c r="E8" s="1">
        <f>June!F11</f>
        <v>1</v>
      </c>
      <c r="F8" s="1">
        <f>June!G11</f>
        <v>3</v>
      </c>
      <c r="G8" s="1">
        <f>June!H11</f>
        <v>1</v>
      </c>
      <c r="H8" s="1">
        <f>June!I11</f>
        <v>1</v>
      </c>
      <c r="I8" s="1">
        <f>June!J11</f>
        <v>1</v>
      </c>
      <c r="J8" s="1">
        <f>June!K11</f>
        <v>1</v>
      </c>
      <c r="K8" s="1">
        <f>June!L11</f>
        <v>8</v>
      </c>
      <c r="M8" s="2">
        <f t="shared" ref="M8:O8" si="15">F8/$K8</f>
        <v>0.375</v>
      </c>
      <c r="N8" s="2">
        <f t="shared" si="15"/>
        <v>0.125</v>
      </c>
      <c r="O8" s="2">
        <f t="shared" si="15"/>
        <v>0.125</v>
      </c>
      <c r="P8" s="2">
        <f t="shared" ref="P8:Q8" si="16">G8/$F8</f>
        <v>0.33333333333333331</v>
      </c>
      <c r="Q8" s="2">
        <f t="shared" si="16"/>
        <v>0.33333333333333331</v>
      </c>
      <c r="R8" s="2">
        <f t="shared" si="2"/>
        <v>0.33333333333333331</v>
      </c>
      <c r="S8" s="2">
        <f t="shared" si="3"/>
        <v>0.33333333333333331</v>
      </c>
      <c r="T8" s="3">
        <f t="shared" si="4"/>
        <v>3.125E-2</v>
      </c>
      <c r="U8" s="3">
        <f t="shared" si="5"/>
        <v>0.33333333333333331</v>
      </c>
      <c r="V8" s="2">
        <f t="shared" si="6"/>
        <v>0.33333333333333331</v>
      </c>
    </row>
    <row r="9" spans="1:22" ht="15.75" customHeight="1">
      <c r="A9" s="1" t="s">
        <v>25</v>
      </c>
      <c r="B9" s="1">
        <f>July!C8</f>
        <v>21</v>
      </c>
      <c r="C9" s="1">
        <f>July!D8</f>
        <v>4</v>
      </c>
      <c r="D9" s="1">
        <f>July!E8</f>
        <v>2</v>
      </c>
      <c r="E9" s="1">
        <f>July!F8</f>
        <v>1</v>
      </c>
      <c r="F9" s="1">
        <f>July!G8</f>
        <v>3</v>
      </c>
      <c r="G9" s="1">
        <f>July!H8</f>
        <v>2</v>
      </c>
      <c r="H9" s="1">
        <f>July!I8</f>
        <v>1</v>
      </c>
      <c r="I9" s="1">
        <f>July!J8</f>
        <v>1</v>
      </c>
      <c r="J9" s="1">
        <f>July!K8</f>
        <v>1</v>
      </c>
      <c r="K9" s="1">
        <f>July!L8</f>
        <v>5</v>
      </c>
      <c r="M9" s="2">
        <f t="shared" ref="M9:O9" si="17">F9/$K9</f>
        <v>0.6</v>
      </c>
      <c r="N9" s="2">
        <f t="shared" si="17"/>
        <v>0.4</v>
      </c>
      <c r="O9" s="2">
        <f t="shared" si="17"/>
        <v>0.2</v>
      </c>
      <c r="P9" s="2">
        <f t="shared" ref="P9:Q9" si="18">G9/$F9</f>
        <v>0.66666666666666663</v>
      </c>
      <c r="Q9" s="2">
        <f t="shared" si="18"/>
        <v>0.33333333333333331</v>
      </c>
      <c r="R9" s="2">
        <f t="shared" si="2"/>
        <v>0.33333333333333331</v>
      </c>
      <c r="S9" s="2">
        <f t="shared" si="3"/>
        <v>0.33333333333333331</v>
      </c>
      <c r="T9" s="3">
        <f t="shared" si="4"/>
        <v>9.5238095238095233E-2</v>
      </c>
      <c r="U9" s="3">
        <f t="shared" si="5"/>
        <v>0.5</v>
      </c>
      <c r="V9" s="2">
        <f t="shared" si="6"/>
        <v>0.25</v>
      </c>
    </row>
    <row r="10" spans="1:22" ht="15.75" customHeight="1">
      <c r="A10" s="1" t="s">
        <v>26</v>
      </c>
      <c r="B10" s="1">
        <f>August!C11</f>
        <v>43</v>
      </c>
      <c r="C10" s="1">
        <f>August!D11</f>
        <v>9</v>
      </c>
      <c r="D10" s="1">
        <f>August!E11</f>
        <v>5</v>
      </c>
      <c r="E10" s="1">
        <f>August!F11</f>
        <v>3</v>
      </c>
      <c r="F10" s="1">
        <f>August!G11</f>
        <v>6</v>
      </c>
      <c r="G10" s="1">
        <f>August!H11</f>
        <v>3</v>
      </c>
      <c r="H10" s="1">
        <f>August!I11</f>
        <v>3</v>
      </c>
      <c r="I10" s="1">
        <f>August!J11</f>
        <v>1</v>
      </c>
      <c r="J10" s="1">
        <f>August!K11</f>
        <v>1</v>
      </c>
      <c r="K10" s="1">
        <f>August!L11</f>
        <v>8</v>
      </c>
      <c r="M10" s="2">
        <f t="shared" ref="M10:O10" si="19">F10/$K10</f>
        <v>0.75</v>
      </c>
      <c r="N10" s="2">
        <f t="shared" si="19"/>
        <v>0.375</v>
      </c>
      <c r="O10" s="2">
        <f t="shared" si="19"/>
        <v>0.375</v>
      </c>
      <c r="P10" s="2">
        <f t="shared" ref="P10:Q10" si="20">G10/$F10</f>
        <v>0.5</v>
      </c>
      <c r="Q10" s="2">
        <f t="shared" si="20"/>
        <v>0.5</v>
      </c>
      <c r="R10" s="2">
        <f t="shared" si="2"/>
        <v>0.16666666666666666</v>
      </c>
      <c r="S10" s="2">
        <f t="shared" si="3"/>
        <v>0.16666666666666666</v>
      </c>
      <c r="T10" s="3">
        <f t="shared" si="4"/>
        <v>0.11627906976744186</v>
      </c>
      <c r="U10" s="3">
        <f t="shared" si="5"/>
        <v>0.55555555555555558</v>
      </c>
      <c r="V10" s="2">
        <f t="shared" si="6"/>
        <v>0.33333333333333331</v>
      </c>
    </row>
    <row r="11" spans="1:22" ht="15.75" customHeight="1">
      <c r="A11" s="1" t="s">
        <v>27</v>
      </c>
      <c r="B11" s="1">
        <f>September!C10</f>
        <v>28</v>
      </c>
      <c r="C11" s="1">
        <f>September!D10</f>
        <v>19</v>
      </c>
      <c r="D11" s="1">
        <f>September!E10</f>
        <v>8</v>
      </c>
      <c r="E11" s="1">
        <f>September!F10</f>
        <v>8</v>
      </c>
      <c r="F11" s="1">
        <f>September!G10</f>
        <v>6</v>
      </c>
      <c r="G11" s="1">
        <f>September!H10</f>
        <v>3</v>
      </c>
      <c r="H11" s="1">
        <f>September!I10</f>
        <v>2</v>
      </c>
      <c r="I11" s="1">
        <f>September!J10</f>
        <v>3</v>
      </c>
      <c r="J11" s="1">
        <f>September!K10</f>
        <v>2</v>
      </c>
      <c r="K11" s="1">
        <f>September!L10</f>
        <v>7</v>
      </c>
      <c r="M11" s="2">
        <f t="shared" ref="M11:O11" si="21">F11/$K11</f>
        <v>0.8571428571428571</v>
      </c>
      <c r="N11" s="2">
        <f t="shared" si="21"/>
        <v>0.42857142857142855</v>
      </c>
      <c r="O11" s="2">
        <f t="shared" si="21"/>
        <v>0.2857142857142857</v>
      </c>
      <c r="P11" s="2">
        <f t="shared" ref="P11:Q11" si="22">G11/$F11</f>
        <v>0.5</v>
      </c>
      <c r="Q11" s="2">
        <f t="shared" si="22"/>
        <v>0.33333333333333331</v>
      </c>
      <c r="R11" s="2">
        <f t="shared" si="2"/>
        <v>0.5</v>
      </c>
      <c r="S11" s="2">
        <f t="shared" si="3"/>
        <v>0.33333333333333331</v>
      </c>
      <c r="T11" s="3">
        <f t="shared" si="4"/>
        <v>0.2857142857142857</v>
      </c>
      <c r="U11" s="3">
        <f t="shared" si="5"/>
        <v>0.42105263157894735</v>
      </c>
      <c r="V11" s="2">
        <f t="shared" si="6"/>
        <v>0.42105263157894735</v>
      </c>
    </row>
    <row r="12" spans="1:22" ht="15.75" customHeight="1">
      <c r="A12" s="1" t="s">
        <v>28</v>
      </c>
      <c r="B12" s="1">
        <f>October!C10</f>
        <v>44</v>
      </c>
      <c r="C12" s="1">
        <f>October!D10</f>
        <v>18</v>
      </c>
      <c r="D12" s="1">
        <f>October!E10</f>
        <v>13</v>
      </c>
      <c r="E12" s="1">
        <f>October!F10</f>
        <v>2</v>
      </c>
      <c r="F12" s="1">
        <f>October!G10</f>
        <v>6</v>
      </c>
      <c r="G12" s="1">
        <f>October!H10</f>
        <v>5</v>
      </c>
      <c r="H12" s="1">
        <f>October!I10</f>
        <v>5</v>
      </c>
      <c r="I12" s="1">
        <f>October!J10</f>
        <v>1</v>
      </c>
      <c r="J12" s="1">
        <f>October!K10</f>
        <v>1</v>
      </c>
      <c r="K12" s="1">
        <f>October!L10</f>
        <v>7</v>
      </c>
      <c r="M12" s="2">
        <f t="shared" ref="M12:O12" si="23">F12/$K12</f>
        <v>0.8571428571428571</v>
      </c>
      <c r="N12" s="2">
        <f t="shared" si="23"/>
        <v>0.7142857142857143</v>
      </c>
      <c r="O12" s="2">
        <f t="shared" si="23"/>
        <v>0.7142857142857143</v>
      </c>
      <c r="P12" s="2">
        <f t="shared" ref="P12:Q12" si="24">G12/$F12</f>
        <v>0.83333333333333337</v>
      </c>
      <c r="Q12" s="2">
        <f t="shared" si="24"/>
        <v>0.83333333333333337</v>
      </c>
      <c r="R12" s="2">
        <f t="shared" si="2"/>
        <v>0.16666666666666666</v>
      </c>
      <c r="S12" s="2">
        <f t="shared" si="3"/>
        <v>0.16666666666666666</v>
      </c>
      <c r="T12" s="3">
        <f t="shared" si="4"/>
        <v>0.29545454545454547</v>
      </c>
      <c r="U12" s="3">
        <f t="shared" si="5"/>
        <v>0.72222222222222221</v>
      </c>
      <c r="V12" s="2">
        <f t="shared" si="6"/>
        <v>0.1111111111111111</v>
      </c>
    </row>
    <row r="13" spans="1:22" ht="15.75" customHeight="1">
      <c r="A13" s="1" t="s">
        <v>29</v>
      </c>
      <c r="B13" s="1">
        <f>November!C9</f>
        <v>29</v>
      </c>
      <c r="C13" s="1">
        <f>November!D9</f>
        <v>11</v>
      </c>
      <c r="D13" s="1">
        <f>November!E9</f>
        <v>11</v>
      </c>
      <c r="E13" s="1">
        <f>November!F9</f>
        <v>10</v>
      </c>
      <c r="F13" s="1">
        <f>November!G9</f>
        <v>5</v>
      </c>
      <c r="G13" s="1">
        <f>November!H9</f>
        <v>5</v>
      </c>
      <c r="H13" s="1">
        <f>November!I9</f>
        <v>5</v>
      </c>
      <c r="I13" s="1">
        <f>November!J9</f>
        <v>5</v>
      </c>
      <c r="J13" s="1">
        <f>November!K9</f>
        <v>4</v>
      </c>
      <c r="K13" s="1">
        <f>November!L9</f>
        <v>6</v>
      </c>
      <c r="M13" s="2">
        <f t="shared" ref="M13:O13" si="25">F13/$K13</f>
        <v>0.83333333333333337</v>
      </c>
      <c r="N13" s="2">
        <f t="shared" si="25"/>
        <v>0.83333333333333337</v>
      </c>
      <c r="O13" s="2">
        <f t="shared" si="25"/>
        <v>0.83333333333333337</v>
      </c>
      <c r="P13" s="2">
        <f t="shared" ref="P13:Q13" si="26">G13/$F13</f>
        <v>1</v>
      </c>
      <c r="Q13" s="2">
        <f t="shared" si="26"/>
        <v>1</v>
      </c>
      <c r="R13" s="2">
        <f t="shared" si="2"/>
        <v>1</v>
      </c>
      <c r="S13" s="2">
        <f t="shared" si="3"/>
        <v>0.8</v>
      </c>
      <c r="T13" s="3">
        <f t="shared" si="4"/>
        <v>0.37931034482758619</v>
      </c>
      <c r="U13" s="3">
        <f t="shared" si="5"/>
        <v>1</v>
      </c>
      <c r="V13" s="2">
        <f t="shared" si="6"/>
        <v>0.90909090909090906</v>
      </c>
    </row>
    <row r="14" spans="1:22" ht="15.75" customHeight="1">
      <c r="A14" s="1" t="s">
        <v>30</v>
      </c>
      <c r="B14" s="1">
        <f>December!C12</f>
        <v>45</v>
      </c>
      <c r="C14" s="1">
        <f>December!D12</f>
        <v>12</v>
      </c>
      <c r="D14" s="1">
        <f>December!E12</f>
        <v>7</v>
      </c>
      <c r="E14" s="1">
        <f>December!F12</f>
        <v>0</v>
      </c>
      <c r="F14" s="1">
        <f>December!G12</f>
        <v>8</v>
      </c>
      <c r="G14" s="1">
        <f>December!H12</f>
        <v>4</v>
      </c>
      <c r="H14" s="1">
        <f>December!I12</f>
        <v>3</v>
      </c>
      <c r="I14" s="1">
        <f>December!J12</f>
        <v>0</v>
      </c>
      <c r="J14" s="1">
        <f>December!K12</f>
        <v>0</v>
      </c>
      <c r="K14" s="1">
        <f>December!L12</f>
        <v>9</v>
      </c>
      <c r="M14" s="2">
        <f t="shared" ref="M14:O14" si="27">F14/$K14</f>
        <v>0.88888888888888884</v>
      </c>
      <c r="N14" s="2">
        <f t="shared" si="27"/>
        <v>0.44444444444444442</v>
      </c>
      <c r="O14" s="2">
        <f t="shared" si="27"/>
        <v>0.33333333333333331</v>
      </c>
      <c r="P14" s="2">
        <f t="shared" ref="P14:Q14" si="28">G14/$F14</f>
        <v>0.5</v>
      </c>
      <c r="Q14" s="2">
        <f t="shared" si="28"/>
        <v>0.375</v>
      </c>
      <c r="R14" s="2">
        <f t="shared" si="2"/>
        <v>0</v>
      </c>
      <c r="S14" s="2">
        <f t="shared" si="3"/>
        <v>0</v>
      </c>
      <c r="T14" s="3">
        <f t="shared" si="4"/>
        <v>0.15555555555555556</v>
      </c>
      <c r="U14" s="3">
        <f t="shared" si="5"/>
        <v>0.58333333333333337</v>
      </c>
      <c r="V14" s="2">
        <f t="shared" si="6"/>
        <v>0</v>
      </c>
    </row>
    <row r="15" spans="1:22" ht="15.75" customHeight="1">
      <c r="A15" s="1" t="s">
        <v>31</v>
      </c>
      <c r="B15" s="1">
        <f t="shared" ref="B15:K15" si="29">SUM(B3:B14)</f>
        <v>408</v>
      </c>
      <c r="C15" s="1">
        <f t="shared" si="29"/>
        <v>99</v>
      </c>
      <c r="D15" s="1">
        <f t="shared" si="29"/>
        <v>61</v>
      </c>
      <c r="E15" s="1">
        <f t="shared" si="29"/>
        <v>36</v>
      </c>
      <c r="F15" s="1">
        <f t="shared" si="29"/>
        <v>51</v>
      </c>
      <c r="G15" s="1">
        <f t="shared" si="29"/>
        <v>32</v>
      </c>
      <c r="H15" s="1">
        <f t="shared" si="29"/>
        <v>27</v>
      </c>
      <c r="I15" s="1">
        <f t="shared" si="29"/>
        <v>18</v>
      </c>
      <c r="J15" s="1">
        <f t="shared" si="29"/>
        <v>15</v>
      </c>
      <c r="K15" s="1">
        <f t="shared" si="29"/>
        <v>80</v>
      </c>
      <c r="M15" s="2">
        <f t="shared" ref="M15:O15" si="30">F15/$K15</f>
        <v>0.63749999999999996</v>
      </c>
      <c r="N15" s="2">
        <f t="shared" si="30"/>
        <v>0.4</v>
      </c>
      <c r="O15" s="2">
        <f t="shared" si="30"/>
        <v>0.33750000000000002</v>
      </c>
      <c r="P15" s="2">
        <f t="shared" ref="P15:Q15" si="31">G15/$F15</f>
        <v>0.62745098039215685</v>
      </c>
      <c r="Q15" s="2">
        <f t="shared" si="31"/>
        <v>0.52941176470588236</v>
      </c>
      <c r="R15" s="2">
        <f t="shared" si="2"/>
        <v>0.35294117647058826</v>
      </c>
      <c r="S15" s="2">
        <f t="shared" si="3"/>
        <v>0.29411764705882354</v>
      </c>
      <c r="T15" s="3">
        <f t="shared" si="4"/>
        <v>0.14950980392156862</v>
      </c>
      <c r="U15" s="3">
        <f t="shared" si="5"/>
        <v>0.61616161616161613</v>
      </c>
      <c r="V15" s="2">
        <f t="shared" si="6"/>
        <v>0.36363636363636365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2"/>
  <sheetViews>
    <sheetView workbookViewId="0">
      <selection activeCell="G3" sqref="G3:K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43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44</v>
      </c>
      <c r="B4" s="1"/>
      <c r="C4" s="1">
        <v>6</v>
      </c>
      <c r="D4" s="1">
        <v>2</v>
      </c>
      <c r="E4" s="1">
        <v>0</v>
      </c>
      <c r="F4" s="1">
        <v>0</v>
      </c>
      <c r="G4" s="1" t="b">
        <f t="shared" ref="G4:G8" si="0">(D4&gt;0)</f>
        <v>1</v>
      </c>
      <c r="H4" s="1" t="b">
        <f t="shared" ref="H4:H8" si="1">(E4&gt;0)</f>
        <v>0</v>
      </c>
      <c r="I4" s="1" t="b">
        <f t="shared" ref="I4:I8" si="2">AND(G4,(D4=E4))</f>
        <v>0</v>
      </c>
      <c r="J4" s="1" t="b">
        <f t="shared" ref="J4:J8" si="3">(F4&gt;0)</f>
        <v>0</v>
      </c>
      <c r="K4" s="1" t="b">
        <f t="shared" ref="K4:K8" si="4">AND(I4,(E4=F4))</f>
        <v>0</v>
      </c>
    </row>
    <row r="5" spans="1:12" ht="15.75" customHeight="1">
      <c r="A5" s="1" t="s">
        <v>45</v>
      </c>
      <c r="B5" s="1"/>
      <c r="C5" s="1">
        <v>5</v>
      </c>
      <c r="D5" s="1">
        <v>3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1</v>
      </c>
      <c r="K5" s="1" t="b">
        <f t="shared" si="4"/>
        <v>0</v>
      </c>
    </row>
    <row r="6" spans="1:12" ht="15.75" customHeight="1">
      <c r="A6" s="1" t="s">
        <v>46</v>
      </c>
      <c r="B6" s="1"/>
      <c r="C6" s="1">
        <v>9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47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48</v>
      </c>
      <c r="B8" s="1"/>
      <c r="C8" s="1">
        <v>1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49</v>
      </c>
      <c r="C9" s="1">
        <f t="shared" ref="C9:F9" si="5">SUM(C2:C8)</f>
        <v>30</v>
      </c>
      <c r="D9" s="1">
        <f t="shared" si="5"/>
        <v>6</v>
      </c>
      <c r="E9" s="1">
        <f t="shared" si="5"/>
        <v>1</v>
      </c>
      <c r="F9" s="1">
        <f t="shared" si="5"/>
        <v>1</v>
      </c>
      <c r="G9" s="1">
        <f t="shared" ref="G9:K9" si="6">COUNTIF(G3:G8,"TRUE")</f>
        <v>3</v>
      </c>
      <c r="H9" s="1">
        <f t="shared" si="6"/>
        <v>1</v>
      </c>
      <c r="I9" s="1">
        <f t="shared" si="6"/>
        <v>0</v>
      </c>
      <c r="J9" s="1">
        <f t="shared" si="6"/>
        <v>1</v>
      </c>
      <c r="K9" s="1">
        <f t="shared" si="6"/>
        <v>0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0.5</v>
      </c>
      <c r="H10" s="2">
        <f>H9/L9</f>
        <v>0.16666666666666666</v>
      </c>
      <c r="I10" s="2">
        <f>I9/L9</f>
        <v>0</v>
      </c>
      <c r="J10" s="2">
        <f>J9/L9</f>
        <v>0.16666666666666666</v>
      </c>
      <c r="K10" s="2">
        <f>K9/L9</f>
        <v>0</v>
      </c>
    </row>
    <row r="11" spans="1:12" ht="15.75" customHeight="1">
      <c r="E11" s="1" t="s">
        <v>50</v>
      </c>
      <c r="F11" s="2"/>
      <c r="G11" s="2"/>
      <c r="H11" s="2">
        <f>H9/G9</f>
        <v>0.33333333333333331</v>
      </c>
      <c r="I11" s="2">
        <f>I9/G9</f>
        <v>0</v>
      </c>
      <c r="J11" s="2">
        <f>J9/G9</f>
        <v>0.33333333333333331</v>
      </c>
      <c r="K11" s="2">
        <f>K9/G9</f>
        <v>0</v>
      </c>
    </row>
    <row r="12" spans="1:12" ht="15.75" customHeight="1">
      <c r="E12" s="1" t="s">
        <v>51</v>
      </c>
      <c r="F12" s="2"/>
      <c r="G12" s="2">
        <f>E9/C9</f>
        <v>3.3333333333333333E-2</v>
      </c>
      <c r="H12" s="2">
        <f>E9/D9</f>
        <v>0.16666666666666666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2"/>
  <sheetViews>
    <sheetView workbookViewId="0">
      <selection activeCell="G3" sqref="G3:K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52</v>
      </c>
      <c r="B3" s="1"/>
      <c r="C3" s="1">
        <v>0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53</v>
      </c>
      <c r="B4" s="1"/>
      <c r="C4" s="1">
        <v>6</v>
      </c>
      <c r="D4" s="1">
        <v>3</v>
      </c>
      <c r="E4" s="1">
        <v>3</v>
      </c>
      <c r="F4" s="1">
        <v>3</v>
      </c>
      <c r="G4" s="1" t="b">
        <f t="shared" ref="G4:G8" si="0">(D4&gt;0)</f>
        <v>1</v>
      </c>
      <c r="H4" s="1" t="b">
        <f t="shared" ref="H4:H8" si="1">(E4&gt;0)</f>
        <v>1</v>
      </c>
      <c r="I4" s="1" t="b">
        <f t="shared" ref="I4:I8" si="2">AND(G4,(D4=E4))</f>
        <v>1</v>
      </c>
      <c r="J4" s="1" t="b">
        <f t="shared" ref="J4:J8" si="3">(F4&gt;0)</f>
        <v>1</v>
      </c>
      <c r="K4" s="1" t="b">
        <f t="shared" ref="K4:K8" si="4">AND(I4,(E4=F4))</f>
        <v>1</v>
      </c>
    </row>
    <row r="5" spans="1:12" ht="15.75" customHeight="1">
      <c r="A5" s="1" t="s">
        <v>54</v>
      </c>
      <c r="B5" s="1"/>
      <c r="C5" s="1">
        <v>6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55</v>
      </c>
      <c r="B6" s="1"/>
      <c r="C6" s="1">
        <v>8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56</v>
      </c>
      <c r="B7" s="1"/>
      <c r="C7" s="1">
        <v>6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57</v>
      </c>
      <c r="B8" s="1"/>
      <c r="C8" s="1">
        <v>6</v>
      </c>
      <c r="D8" s="1">
        <v>2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49</v>
      </c>
      <c r="C9" s="1">
        <f t="shared" ref="C9:F9" si="5">SUM(C2:C8)</f>
        <v>32</v>
      </c>
      <c r="D9" s="1">
        <f t="shared" si="5"/>
        <v>7</v>
      </c>
      <c r="E9" s="1">
        <f t="shared" si="5"/>
        <v>6</v>
      </c>
      <c r="F9" s="1">
        <f t="shared" si="5"/>
        <v>5</v>
      </c>
      <c r="G9" s="1">
        <f t="shared" ref="G9:K9" si="6">COUNTIF(G3:G8,"TRUE")</f>
        <v>3</v>
      </c>
      <c r="H9" s="1">
        <f t="shared" si="6"/>
        <v>3</v>
      </c>
      <c r="I9" s="1">
        <f t="shared" si="6"/>
        <v>2</v>
      </c>
      <c r="J9" s="1">
        <f t="shared" si="6"/>
        <v>2</v>
      </c>
      <c r="K9" s="1">
        <f t="shared" si="6"/>
        <v>2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0.5</v>
      </c>
      <c r="H10" s="2">
        <f>H9/L9</f>
        <v>0.5</v>
      </c>
      <c r="I10" s="2">
        <f>I9/L9</f>
        <v>0.33333333333333331</v>
      </c>
      <c r="J10" s="2">
        <f>J9/L9</f>
        <v>0.33333333333333331</v>
      </c>
      <c r="K10" s="2">
        <f>K9/L9</f>
        <v>0.33333333333333331</v>
      </c>
    </row>
    <row r="11" spans="1:12" ht="15.75" customHeight="1">
      <c r="E11" s="1" t="s">
        <v>50</v>
      </c>
      <c r="F11" s="2"/>
      <c r="G11" s="2"/>
      <c r="H11" s="2">
        <f>H9/G9</f>
        <v>1</v>
      </c>
      <c r="I11" s="2">
        <f>I9/G9</f>
        <v>0.66666666666666663</v>
      </c>
      <c r="J11" s="2">
        <f>J9/G9</f>
        <v>0.66666666666666663</v>
      </c>
      <c r="K11" s="2">
        <f>K9/G9</f>
        <v>0.66666666666666663</v>
      </c>
    </row>
    <row r="12" spans="1:12" ht="15.75" customHeight="1">
      <c r="E12" s="1" t="s">
        <v>51</v>
      </c>
      <c r="F12" s="2"/>
      <c r="G12" s="2">
        <f>E9/C9</f>
        <v>0.1875</v>
      </c>
      <c r="H12" s="2">
        <f>E9/D9</f>
        <v>0.8571428571428571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"/>
  <sheetViews>
    <sheetView workbookViewId="0">
      <selection activeCell="G3" sqref="G3:K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58</v>
      </c>
      <c r="B3" s="1"/>
      <c r="C3" s="1">
        <v>5</v>
      </c>
      <c r="D3" s="1">
        <v>1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59</v>
      </c>
      <c r="B4" s="1"/>
      <c r="C4" s="1">
        <v>6</v>
      </c>
      <c r="D4" s="1">
        <v>1</v>
      </c>
      <c r="E4" s="1">
        <v>0</v>
      </c>
      <c r="F4" s="1">
        <v>0</v>
      </c>
      <c r="G4" s="1" t="b">
        <f t="shared" ref="G4:G6" si="0">(D4&gt;0)</f>
        <v>1</v>
      </c>
      <c r="H4" s="1" t="b">
        <f t="shared" ref="H4:H6" si="1">(E4&gt;0)</f>
        <v>0</v>
      </c>
      <c r="I4" s="1" t="b">
        <f t="shared" ref="I4:I6" si="2">AND(G4,(D4=E4))</f>
        <v>0</v>
      </c>
      <c r="J4" s="1" t="b">
        <f t="shared" ref="J4:J6" si="3">(F4&gt;0)</f>
        <v>0</v>
      </c>
      <c r="K4" s="1" t="b">
        <f t="shared" ref="K4:K6" si="4">AND(I4,(E4=F4))</f>
        <v>0</v>
      </c>
    </row>
    <row r="5" spans="1:12" ht="15.75" customHeight="1">
      <c r="A5" s="1" t="s">
        <v>60</v>
      </c>
      <c r="B5" s="1"/>
      <c r="C5" s="1">
        <v>6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61</v>
      </c>
      <c r="B6" s="1"/>
      <c r="C6" s="1">
        <v>6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B7" s="1" t="s">
        <v>49</v>
      </c>
      <c r="C7" s="1">
        <f t="shared" ref="C7:F7" si="5">SUM(C2:C6)</f>
        <v>23</v>
      </c>
      <c r="D7" s="1">
        <f t="shared" si="5"/>
        <v>3</v>
      </c>
      <c r="E7" s="1">
        <f t="shared" si="5"/>
        <v>1</v>
      </c>
      <c r="F7" s="1">
        <f t="shared" si="5"/>
        <v>0</v>
      </c>
      <c r="G7" s="1">
        <f t="shared" ref="G7:K7" si="6">COUNTIF(G3:G6,"TRUE")</f>
        <v>3</v>
      </c>
      <c r="H7" s="1">
        <f t="shared" si="6"/>
        <v>1</v>
      </c>
      <c r="I7" s="1">
        <f t="shared" si="6"/>
        <v>1</v>
      </c>
      <c r="J7" s="1">
        <f t="shared" si="6"/>
        <v>0</v>
      </c>
      <c r="K7" s="1">
        <f t="shared" si="6"/>
        <v>0</v>
      </c>
      <c r="L7" s="5">
        <f>COUNTA(E3:E6)</f>
        <v>4</v>
      </c>
    </row>
    <row r="8" spans="1:12" ht="15.75" customHeight="1">
      <c r="E8" s="1" t="s">
        <v>3</v>
      </c>
      <c r="F8" s="2"/>
      <c r="G8" s="2">
        <f>G7/L7</f>
        <v>0.75</v>
      </c>
      <c r="H8" s="2">
        <f>H7/L7</f>
        <v>0.25</v>
      </c>
      <c r="I8" s="2">
        <f>I7/L7</f>
        <v>0.25</v>
      </c>
      <c r="J8" s="2">
        <f>J7/L7</f>
        <v>0</v>
      </c>
      <c r="K8" s="2">
        <f>K7/L7</f>
        <v>0</v>
      </c>
    </row>
    <row r="9" spans="1:12" ht="15.75" customHeight="1">
      <c r="E9" s="1" t="s">
        <v>50</v>
      </c>
      <c r="F9" s="2"/>
      <c r="G9" s="2"/>
      <c r="H9" s="2">
        <f>H7/G7</f>
        <v>0.33333333333333331</v>
      </c>
      <c r="I9" s="2">
        <f>I7/G7</f>
        <v>0.33333333333333331</v>
      </c>
      <c r="J9" s="2">
        <f>J7/G7</f>
        <v>0</v>
      </c>
      <c r="K9" s="2">
        <f>K7/G7</f>
        <v>0</v>
      </c>
    </row>
    <row r="10" spans="1:12" ht="15.75" customHeight="1">
      <c r="E10" s="1" t="s">
        <v>51</v>
      </c>
      <c r="F10" s="2"/>
      <c r="G10" s="2">
        <f>E7/C7</f>
        <v>4.3478260869565216E-2</v>
      </c>
      <c r="H10" s="2">
        <f>E7/D7</f>
        <v>0.33333333333333331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"/>
  <sheetViews>
    <sheetView workbookViewId="0">
      <selection activeCell="G3" sqref="G3:K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62</v>
      </c>
      <c r="B3" s="1"/>
      <c r="C3" s="1">
        <v>5</v>
      </c>
      <c r="D3" s="1">
        <v>1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63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6" si="0">(D4&gt;0)</f>
        <v>0</v>
      </c>
      <c r="H4" s="1" t="b">
        <f t="shared" ref="H4:H6" si="1">(E4&gt;0)</f>
        <v>0</v>
      </c>
      <c r="I4" s="1" t="b">
        <f t="shared" ref="I4:I6" si="2">AND(G4,(D4=E4))</f>
        <v>0</v>
      </c>
      <c r="J4" s="1" t="b">
        <f t="shared" ref="J4:J6" si="3">(F4&gt;0)</f>
        <v>0</v>
      </c>
      <c r="K4" s="1" t="b">
        <f t="shared" ref="K4:K6" si="4">AND(I4,(E4=F4))</f>
        <v>0</v>
      </c>
    </row>
    <row r="5" spans="1:12" ht="15.75" customHeight="1">
      <c r="A5" s="1" t="s">
        <v>64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65</v>
      </c>
      <c r="B6" s="1"/>
      <c r="C6" s="1">
        <v>7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B7" s="1" t="s">
        <v>49</v>
      </c>
      <c r="C7" s="1">
        <f t="shared" ref="C7:F7" si="5">SUM(C2:C6)</f>
        <v>21</v>
      </c>
      <c r="D7" s="1">
        <f t="shared" si="5"/>
        <v>1</v>
      </c>
      <c r="E7" s="1">
        <f t="shared" si="5"/>
        <v>0</v>
      </c>
      <c r="F7" s="1">
        <f t="shared" si="5"/>
        <v>0</v>
      </c>
      <c r="G7" s="1">
        <f t="shared" ref="G7:K7" si="6">COUNTIF(G3:G6,"TRUE")</f>
        <v>1</v>
      </c>
      <c r="H7" s="1">
        <f t="shared" si="6"/>
        <v>0</v>
      </c>
      <c r="I7" s="1">
        <f t="shared" si="6"/>
        <v>0</v>
      </c>
      <c r="J7" s="1">
        <f t="shared" si="6"/>
        <v>0</v>
      </c>
      <c r="K7" s="1">
        <f t="shared" si="6"/>
        <v>0</v>
      </c>
      <c r="L7" s="5">
        <f>COUNTA(E3:E6)</f>
        <v>4</v>
      </c>
    </row>
    <row r="8" spans="1:12" ht="15.75" customHeight="1">
      <c r="E8" s="1" t="s">
        <v>3</v>
      </c>
      <c r="F8" s="2"/>
      <c r="G8" s="2">
        <f>G7/L7</f>
        <v>0.25</v>
      </c>
      <c r="H8" s="2">
        <f>H7/L7</f>
        <v>0</v>
      </c>
      <c r="I8" s="2">
        <f>I7/L7</f>
        <v>0</v>
      </c>
      <c r="J8" s="2">
        <f>J7/L7</f>
        <v>0</v>
      </c>
      <c r="K8" s="2">
        <f>K7/L7</f>
        <v>0</v>
      </c>
    </row>
    <row r="9" spans="1:12" ht="15.75" customHeight="1">
      <c r="E9" s="1" t="s">
        <v>50</v>
      </c>
      <c r="F9" s="2"/>
      <c r="G9" s="2"/>
      <c r="H9" s="2">
        <f>H7/G7</f>
        <v>0</v>
      </c>
      <c r="I9" s="2">
        <f>I7/G7</f>
        <v>0</v>
      </c>
      <c r="J9" s="2">
        <f>J7/G7</f>
        <v>0</v>
      </c>
      <c r="K9" s="2">
        <f>K7/G7</f>
        <v>0</v>
      </c>
    </row>
    <row r="10" spans="1:12" ht="15.75" customHeight="1">
      <c r="E10" s="1" t="s">
        <v>51</v>
      </c>
      <c r="F10" s="2"/>
      <c r="G10" s="2">
        <f>E7/C7</f>
        <v>0</v>
      </c>
      <c r="H10" s="2">
        <f>E7/D7</f>
        <v>0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6"/>
  <sheetViews>
    <sheetView workbookViewId="0">
      <selection activeCell="G3" sqref="G3:K1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66</v>
      </c>
      <c r="B3" s="1"/>
      <c r="C3" s="1">
        <v>1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67</v>
      </c>
      <c r="B4" s="1"/>
      <c r="C4" s="1">
        <v>0</v>
      </c>
      <c r="D4" s="1">
        <v>0</v>
      </c>
      <c r="E4" s="1">
        <v>0</v>
      </c>
      <c r="F4" s="1">
        <v>0</v>
      </c>
      <c r="G4" s="1" t="b">
        <f t="shared" ref="G4:G12" si="0">(D4&gt;0)</f>
        <v>0</v>
      </c>
      <c r="H4" s="1" t="b">
        <f t="shared" ref="H4:H12" si="1">(E4&gt;0)</f>
        <v>0</v>
      </c>
      <c r="I4" s="1" t="b">
        <f t="shared" ref="I4:I12" si="2">AND(G4,(D4=E4))</f>
        <v>0</v>
      </c>
      <c r="J4" s="1" t="b">
        <f t="shared" ref="J4:J12" si="3">(F4&gt;0)</f>
        <v>0</v>
      </c>
      <c r="K4" s="1" t="b">
        <f t="shared" ref="K4:K12" si="4">AND(I4,(E4=F4))</f>
        <v>0</v>
      </c>
    </row>
    <row r="5" spans="1:12" ht="15.75" customHeight="1">
      <c r="A5" s="1" t="s">
        <v>68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69</v>
      </c>
      <c r="B6" s="1"/>
      <c r="C6" s="1">
        <v>6</v>
      </c>
      <c r="D6" s="1">
        <v>1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70</v>
      </c>
      <c r="B7" s="1"/>
      <c r="C7" s="1">
        <v>5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71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72</v>
      </c>
      <c r="B9" s="1"/>
      <c r="C9" s="1">
        <v>20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73</v>
      </c>
      <c r="B10" s="1"/>
      <c r="C10" s="1">
        <v>4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2" ht="15.75" customHeight="1">
      <c r="A11" s="1" t="s">
        <v>74</v>
      </c>
      <c r="B11" s="1"/>
      <c r="C11" s="1">
        <v>7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2" ht="15.75" customHeight="1">
      <c r="A12" s="1" t="s">
        <v>75</v>
      </c>
      <c r="B12" s="1"/>
      <c r="C12" s="1">
        <v>8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B13" s="1" t="s">
        <v>49</v>
      </c>
      <c r="C13" s="1">
        <f t="shared" ref="C13:F13" si="5">SUM(C2:C12)</f>
        <v>60</v>
      </c>
      <c r="D13" s="1">
        <f t="shared" si="5"/>
        <v>6</v>
      </c>
      <c r="E13" s="1">
        <f t="shared" si="5"/>
        <v>6</v>
      </c>
      <c r="F13" s="1">
        <f t="shared" si="5"/>
        <v>5</v>
      </c>
      <c r="G13" s="1">
        <f t="shared" ref="G13:K13" si="6">COUNTIF(G3:G12,"TRUE")</f>
        <v>4</v>
      </c>
      <c r="H13" s="1">
        <f t="shared" si="6"/>
        <v>4</v>
      </c>
      <c r="I13" s="1">
        <f t="shared" si="6"/>
        <v>4</v>
      </c>
      <c r="J13" s="1">
        <f t="shared" si="6"/>
        <v>3</v>
      </c>
      <c r="K13" s="1">
        <f t="shared" si="6"/>
        <v>3</v>
      </c>
      <c r="L13" s="5">
        <f>COUNTA(E3:E12)</f>
        <v>10</v>
      </c>
    </row>
    <row r="14" spans="1:12" ht="15.75" customHeight="1">
      <c r="E14" s="1" t="s">
        <v>3</v>
      </c>
      <c r="F14" s="2"/>
      <c r="G14" s="2">
        <f>G13/L13</f>
        <v>0.4</v>
      </c>
      <c r="H14" s="2">
        <f>H13/L13</f>
        <v>0.4</v>
      </c>
      <c r="I14" s="2">
        <f>I13/L13</f>
        <v>0.4</v>
      </c>
      <c r="J14" s="2">
        <f>J13/L13</f>
        <v>0.3</v>
      </c>
      <c r="K14" s="2">
        <f>K13/L13</f>
        <v>0.3</v>
      </c>
    </row>
    <row r="15" spans="1:12" ht="15.75" customHeight="1">
      <c r="E15" s="1" t="s">
        <v>50</v>
      </c>
      <c r="F15" s="2"/>
      <c r="G15" s="2"/>
      <c r="H15" s="2">
        <f>H13/G13</f>
        <v>1</v>
      </c>
      <c r="I15" s="2">
        <f>I13/G13</f>
        <v>1</v>
      </c>
      <c r="J15" s="2">
        <f>J13/G13</f>
        <v>0.75</v>
      </c>
      <c r="K15" s="2">
        <f>K13/G13</f>
        <v>0.75</v>
      </c>
    </row>
    <row r="16" spans="1:12" ht="15.75" customHeight="1">
      <c r="E16" s="1" t="s">
        <v>51</v>
      </c>
      <c r="F16" s="2"/>
      <c r="G16" s="2">
        <f>E13/C13</f>
        <v>0.1</v>
      </c>
      <c r="H16" s="2">
        <f>E13/D13</f>
        <v>1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4"/>
  <sheetViews>
    <sheetView workbookViewId="0">
      <selection activeCell="G3" sqref="G3:K1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76</v>
      </c>
      <c r="B3" s="1"/>
      <c r="C3" s="1">
        <v>0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77</v>
      </c>
      <c r="B4" s="1"/>
      <c r="C4" s="1">
        <v>0</v>
      </c>
      <c r="D4" s="1">
        <v>0</v>
      </c>
      <c r="E4" s="1">
        <v>0</v>
      </c>
      <c r="F4" s="1">
        <v>0</v>
      </c>
      <c r="G4" s="1" t="b">
        <f t="shared" ref="G4:G10" si="0">(D4&gt;0)</f>
        <v>0</v>
      </c>
      <c r="H4" s="1" t="b">
        <f t="shared" ref="H4:H10" si="1">(E4&gt;0)</f>
        <v>0</v>
      </c>
      <c r="I4" s="1" t="b">
        <f t="shared" ref="I4:I10" si="2">AND(G4,(D4=E4))</f>
        <v>0</v>
      </c>
      <c r="J4" s="1" t="b">
        <f t="shared" ref="J4:J10" si="3">(F4&gt;0)</f>
        <v>0</v>
      </c>
      <c r="K4" s="1" t="b">
        <f t="shared" ref="K4:K10" si="4">AND(I4,(E4=F4))</f>
        <v>0</v>
      </c>
    </row>
    <row r="5" spans="1:12" ht="15.75" customHeight="1">
      <c r="A5" s="1" t="s">
        <v>78</v>
      </c>
      <c r="B5" s="1"/>
      <c r="C5" s="1">
        <v>5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79</v>
      </c>
      <c r="B6" s="1"/>
      <c r="C6" s="1">
        <v>3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80</v>
      </c>
      <c r="B7" s="1"/>
      <c r="C7" s="1">
        <v>8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81</v>
      </c>
      <c r="B8" s="1"/>
      <c r="C8" s="1">
        <v>8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82</v>
      </c>
      <c r="B9" s="1"/>
      <c r="C9" s="1">
        <v>7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83</v>
      </c>
      <c r="B10" s="1"/>
      <c r="C10" s="1">
        <v>1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2" ht="15.75" customHeight="1">
      <c r="B11" s="1" t="s">
        <v>49</v>
      </c>
      <c r="C11" s="1">
        <f t="shared" ref="C11:F11" si="5">SUM(C2:C10)</f>
        <v>32</v>
      </c>
      <c r="D11" s="1">
        <f t="shared" si="5"/>
        <v>3</v>
      </c>
      <c r="E11" s="1">
        <f t="shared" si="5"/>
        <v>1</v>
      </c>
      <c r="F11" s="1">
        <f t="shared" si="5"/>
        <v>1</v>
      </c>
      <c r="G11" s="1">
        <f t="shared" ref="G11:K11" si="6">COUNTIF(G3:G10,"TRUE")</f>
        <v>3</v>
      </c>
      <c r="H11" s="1">
        <f t="shared" si="6"/>
        <v>1</v>
      </c>
      <c r="I11" s="1">
        <f t="shared" si="6"/>
        <v>1</v>
      </c>
      <c r="J11" s="1">
        <f t="shared" si="6"/>
        <v>1</v>
      </c>
      <c r="K11" s="1">
        <f t="shared" si="6"/>
        <v>1</v>
      </c>
      <c r="L11" s="5">
        <f>COUNTA(E3:E10)</f>
        <v>8</v>
      </c>
    </row>
    <row r="12" spans="1:12" ht="15.75" customHeight="1">
      <c r="E12" s="1" t="s">
        <v>3</v>
      </c>
      <c r="F12" s="2"/>
      <c r="G12" s="2">
        <f>G11/L11</f>
        <v>0.375</v>
      </c>
      <c r="H12" s="2">
        <f>H11/L11</f>
        <v>0.125</v>
      </c>
      <c r="I12" s="2">
        <f>I11/L11</f>
        <v>0.125</v>
      </c>
      <c r="J12" s="2">
        <f>J11/L11</f>
        <v>0.125</v>
      </c>
      <c r="K12" s="2">
        <f>K11/L11</f>
        <v>0.125</v>
      </c>
    </row>
    <row r="13" spans="1:12" ht="15.75" customHeight="1">
      <c r="E13" s="1" t="s">
        <v>50</v>
      </c>
      <c r="F13" s="2"/>
      <c r="G13" s="2"/>
      <c r="H13" s="2">
        <f>H11/G11</f>
        <v>0.33333333333333331</v>
      </c>
      <c r="I13" s="2">
        <f>I11/G11</f>
        <v>0.33333333333333331</v>
      </c>
      <c r="J13" s="2">
        <f>J11/G11</f>
        <v>0.33333333333333331</v>
      </c>
      <c r="K13" s="2">
        <f>K11/G11</f>
        <v>0.33333333333333331</v>
      </c>
    </row>
    <row r="14" spans="1:12" ht="15.75" customHeight="1">
      <c r="E14" s="1" t="s">
        <v>51</v>
      </c>
      <c r="F14" s="2"/>
      <c r="G14" s="2">
        <f>E11/C11</f>
        <v>3.125E-2</v>
      </c>
      <c r="H14" s="2">
        <f>E11/D11</f>
        <v>0.33333333333333331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1"/>
  <sheetViews>
    <sheetView workbookViewId="0">
      <selection activeCell="G3" sqref="G3:K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84</v>
      </c>
      <c r="B3" s="1"/>
      <c r="C3" s="1">
        <v>4</v>
      </c>
      <c r="D3" s="1">
        <v>1</v>
      </c>
      <c r="E3" s="1">
        <v>1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2" ht="15.75" customHeight="1">
      <c r="A4" s="1" t="s">
        <v>85</v>
      </c>
      <c r="B4" s="1"/>
      <c r="C4" s="1">
        <v>2</v>
      </c>
      <c r="D4" s="1">
        <v>0</v>
      </c>
      <c r="E4" s="1">
        <v>0</v>
      </c>
      <c r="F4" s="1">
        <v>0</v>
      </c>
      <c r="G4" s="1" t="b">
        <f t="shared" ref="G4:G7" si="0">(D4&gt;0)</f>
        <v>0</v>
      </c>
      <c r="H4" s="1" t="b">
        <f t="shared" ref="H4:H7" si="1">(E4&gt;0)</f>
        <v>0</v>
      </c>
      <c r="I4" s="1" t="b">
        <f t="shared" ref="I4:I7" si="2">AND(G4,(D4=E4))</f>
        <v>0</v>
      </c>
      <c r="J4" s="1" t="b">
        <f t="shared" ref="J4:J7" si="3">(F4&gt;0)</f>
        <v>0</v>
      </c>
      <c r="K4" s="1" t="b">
        <f t="shared" ref="K4:K7" si="4">AND(I4,(E4=F4))</f>
        <v>0</v>
      </c>
    </row>
    <row r="5" spans="1:12" ht="15.75" customHeight="1">
      <c r="A5" s="1" t="s">
        <v>86</v>
      </c>
      <c r="B5" s="1"/>
      <c r="C5" s="1">
        <v>3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87</v>
      </c>
      <c r="B6" s="1"/>
      <c r="C6" s="1">
        <v>7</v>
      </c>
      <c r="D6" s="1">
        <v>2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88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B8" s="1" t="s">
        <v>49</v>
      </c>
      <c r="C8" s="1">
        <f t="shared" ref="C8:F8" si="5">SUM(C2:C7)</f>
        <v>21</v>
      </c>
      <c r="D8" s="1">
        <f t="shared" si="5"/>
        <v>4</v>
      </c>
      <c r="E8" s="1">
        <f t="shared" si="5"/>
        <v>2</v>
      </c>
      <c r="F8" s="1">
        <f t="shared" si="5"/>
        <v>1</v>
      </c>
      <c r="G8" s="1">
        <f t="shared" ref="G8:K8" si="6">COUNTIF(G3:G7,"TRUE")</f>
        <v>3</v>
      </c>
      <c r="H8" s="1">
        <f t="shared" si="6"/>
        <v>2</v>
      </c>
      <c r="I8" s="1">
        <f t="shared" si="6"/>
        <v>1</v>
      </c>
      <c r="J8" s="1">
        <f t="shared" si="6"/>
        <v>1</v>
      </c>
      <c r="K8" s="1">
        <f t="shared" si="6"/>
        <v>1</v>
      </c>
      <c r="L8" s="5">
        <f>COUNTA(E3:E7)</f>
        <v>5</v>
      </c>
    </row>
    <row r="9" spans="1:12" ht="15.75" customHeight="1">
      <c r="E9" s="1" t="s">
        <v>3</v>
      </c>
      <c r="F9" s="2"/>
      <c r="G9" s="2">
        <f>G8/L8</f>
        <v>0.6</v>
      </c>
      <c r="H9" s="2">
        <f>H8/L8</f>
        <v>0.4</v>
      </c>
      <c r="I9" s="2">
        <f>I8/L8</f>
        <v>0.2</v>
      </c>
      <c r="J9" s="2">
        <f>J8/L8</f>
        <v>0.2</v>
      </c>
      <c r="K9" s="2">
        <f>K8/L8</f>
        <v>0.2</v>
      </c>
    </row>
    <row r="10" spans="1:12" ht="15.75" customHeight="1">
      <c r="E10" s="1" t="s">
        <v>50</v>
      </c>
      <c r="F10" s="2"/>
      <c r="G10" s="2"/>
      <c r="H10" s="2">
        <f>H8/G8</f>
        <v>0.66666666666666663</v>
      </c>
      <c r="I10" s="2">
        <f>I8/G8</f>
        <v>0.33333333333333331</v>
      </c>
      <c r="J10" s="2">
        <f>J8/G8</f>
        <v>0.33333333333333331</v>
      </c>
      <c r="K10" s="2">
        <f>K8/G8</f>
        <v>0.33333333333333331</v>
      </c>
    </row>
    <row r="11" spans="1:12" ht="15.75" customHeight="1">
      <c r="E11" s="1" t="s">
        <v>51</v>
      </c>
      <c r="F11" s="2"/>
      <c r="G11" s="2">
        <f>E8/C8</f>
        <v>9.5238095238095233E-2</v>
      </c>
      <c r="H11" s="2">
        <f>E8/D8</f>
        <v>0.5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4"/>
  <sheetViews>
    <sheetView workbookViewId="0">
      <selection activeCell="G3" sqref="G3:K1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89</v>
      </c>
      <c r="B3" s="1"/>
      <c r="C3" s="1">
        <v>6</v>
      </c>
      <c r="D3" s="1">
        <v>1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90</v>
      </c>
      <c r="B4" s="1"/>
      <c r="C4" s="1">
        <v>4</v>
      </c>
      <c r="D4" s="1">
        <v>1</v>
      </c>
      <c r="E4" s="1">
        <v>0</v>
      </c>
      <c r="F4" s="1">
        <v>0</v>
      </c>
      <c r="G4" s="1" t="b">
        <f t="shared" ref="G4:G10" si="0">(D4&gt;0)</f>
        <v>1</v>
      </c>
      <c r="H4" s="1" t="b">
        <f t="shared" ref="H4:H10" si="1">(E4&gt;0)</f>
        <v>0</v>
      </c>
      <c r="I4" s="1" t="b">
        <f t="shared" ref="I4:I10" si="2">AND(G4,(D4=E4))</f>
        <v>0</v>
      </c>
      <c r="J4" s="1" t="b">
        <f t="shared" ref="J4:J10" si="3">(F4&gt;0)</f>
        <v>0</v>
      </c>
      <c r="K4" s="1" t="b">
        <f t="shared" ref="K4:K10" si="4">AND(I4,(E4=F4))</f>
        <v>0</v>
      </c>
    </row>
    <row r="5" spans="1:12" ht="15.75" customHeight="1">
      <c r="A5" s="1" t="s">
        <v>91</v>
      </c>
      <c r="B5" s="1"/>
      <c r="C5" s="1">
        <v>4</v>
      </c>
      <c r="D5" s="1">
        <v>3</v>
      </c>
      <c r="E5" s="1">
        <v>3</v>
      </c>
      <c r="F5" s="1">
        <v>3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2" ht="15.75" customHeight="1">
      <c r="A6" s="1" t="s">
        <v>92</v>
      </c>
      <c r="B6" s="1"/>
      <c r="C6" s="1">
        <v>7</v>
      </c>
      <c r="D6" s="1">
        <v>1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93</v>
      </c>
      <c r="B7" s="1"/>
      <c r="C7" s="1">
        <v>9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94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95</v>
      </c>
      <c r="B9" s="1"/>
      <c r="C9" s="1">
        <v>7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96</v>
      </c>
      <c r="B10" s="1"/>
      <c r="C10" s="1">
        <v>2</v>
      </c>
      <c r="D10" s="1">
        <v>2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B11" s="1" t="s">
        <v>49</v>
      </c>
      <c r="C11" s="1">
        <f t="shared" ref="C11:F11" si="5">SUM(C2:C10)</f>
        <v>43</v>
      </c>
      <c r="D11" s="1">
        <f t="shared" si="5"/>
        <v>9</v>
      </c>
      <c r="E11" s="1">
        <f t="shared" si="5"/>
        <v>5</v>
      </c>
      <c r="F11" s="1">
        <f t="shared" si="5"/>
        <v>3</v>
      </c>
      <c r="G11" s="1">
        <f t="shared" ref="G11:K11" si="6">COUNTIF(G3:G10,"TRUE")</f>
        <v>6</v>
      </c>
      <c r="H11" s="1">
        <f t="shared" si="6"/>
        <v>3</v>
      </c>
      <c r="I11" s="1">
        <f t="shared" si="6"/>
        <v>3</v>
      </c>
      <c r="J11" s="1">
        <f t="shared" si="6"/>
        <v>1</v>
      </c>
      <c r="K11" s="1">
        <f t="shared" si="6"/>
        <v>1</v>
      </c>
      <c r="L11" s="5">
        <f>COUNTA(E3:E10)</f>
        <v>8</v>
      </c>
    </row>
    <row r="12" spans="1:12" ht="15.75" customHeight="1">
      <c r="E12" s="1" t="s">
        <v>3</v>
      </c>
      <c r="F12" s="2"/>
      <c r="G12" s="2">
        <f>G11/L11</f>
        <v>0.75</v>
      </c>
      <c r="H12" s="2">
        <f>H11/L11</f>
        <v>0.375</v>
      </c>
      <c r="I12" s="2">
        <f>I11/L11</f>
        <v>0.375</v>
      </c>
      <c r="J12" s="2">
        <f>J11/L11</f>
        <v>0.125</v>
      </c>
      <c r="K12" s="2">
        <f>K11/L11</f>
        <v>0.125</v>
      </c>
    </row>
    <row r="13" spans="1:12" ht="15.75" customHeight="1">
      <c r="E13" s="1" t="s">
        <v>50</v>
      </c>
      <c r="F13" s="2"/>
      <c r="G13" s="2"/>
      <c r="H13" s="2">
        <f>H11/G11</f>
        <v>0.5</v>
      </c>
      <c r="I13" s="2">
        <f>I11/G11</f>
        <v>0.5</v>
      </c>
      <c r="J13" s="2">
        <f>J11/G11</f>
        <v>0.16666666666666666</v>
      </c>
      <c r="K13" s="2">
        <f>K11/G11</f>
        <v>0.16666666666666666</v>
      </c>
    </row>
    <row r="14" spans="1:12" ht="15.75" customHeight="1">
      <c r="E14" s="1" t="s">
        <v>51</v>
      </c>
      <c r="F14" s="2"/>
      <c r="G14" s="2">
        <f>E11/C11</f>
        <v>0.11627906976744186</v>
      </c>
      <c r="H14" s="2">
        <f>E11/D11</f>
        <v>0.55555555555555558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3"/>
  <sheetViews>
    <sheetView workbookViewId="0">
      <selection activeCell="G3" sqref="G3:K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97</v>
      </c>
      <c r="B3" s="1"/>
      <c r="C3" s="1">
        <v>6</v>
      </c>
      <c r="D3" s="1">
        <v>6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98</v>
      </c>
      <c r="B4" s="1"/>
      <c r="C4" s="1">
        <v>3</v>
      </c>
      <c r="D4" s="1">
        <v>3</v>
      </c>
      <c r="E4" s="1">
        <v>0</v>
      </c>
      <c r="F4" s="1">
        <v>0</v>
      </c>
      <c r="G4" s="1" t="b">
        <f t="shared" ref="G4:G9" si="0">(D4&gt;0)</f>
        <v>1</v>
      </c>
      <c r="H4" s="1" t="b">
        <f t="shared" ref="H4:H9" si="1">(E4&gt;0)</f>
        <v>0</v>
      </c>
      <c r="I4" s="1" t="b">
        <f t="shared" ref="I4:I9" si="2">AND(G4,(D4=E4))</f>
        <v>0</v>
      </c>
      <c r="J4" s="1" t="b">
        <f t="shared" ref="J4:J9" si="3">(F4&gt;0)</f>
        <v>0</v>
      </c>
      <c r="K4" s="1" t="b">
        <f t="shared" ref="K4:K9" si="4">AND(I4,(E4=F4))</f>
        <v>0</v>
      </c>
    </row>
    <row r="5" spans="1:12" ht="15.75" customHeight="1">
      <c r="A5" s="1" t="s">
        <v>99</v>
      </c>
      <c r="B5" s="1"/>
      <c r="C5" s="1">
        <v>5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100</v>
      </c>
      <c r="B6" s="1"/>
      <c r="C6" s="1">
        <v>5</v>
      </c>
      <c r="D6" s="1">
        <v>5</v>
      </c>
      <c r="E6" s="1">
        <v>5</v>
      </c>
      <c r="F6" s="1">
        <v>5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2" ht="15.75" customHeight="1">
      <c r="A7" s="1" t="s">
        <v>101</v>
      </c>
      <c r="B7" s="1"/>
      <c r="C7" s="1">
        <v>4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102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103</v>
      </c>
      <c r="B9" s="1"/>
      <c r="C9" s="1">
        <v>2</v>
      </c>
      <c r="D9" s="1">
        <v>2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1</v>
      </c>
      <c r="K9" s="1" t="b">
        <f t="shared" si="4"/>
        <v>0</v>
      </c>
    </row>
    <row r="10" spans="1:12" ht="15.75" customHeight="1">
      <c r="B10" s="1" t="s">
        <v>49</v>
      </c>
      <c r="C10" s="1">
        <f t="shared" ref="C10:F10" si="5">SUM(C2:C9)</f>
        <v>28</v>
      </c>
      <c r="D10" s="1">
        <f t="shared" si="5"/>
        <v>19</v>
      </c>
      <c r="E10" s="1">
        <f t="shared" si="5"/>
        <v>8</v>
      </c>
      <c r="F10" s="1">
        <f t="shared" si="5"/>
        <v>8</v>
      </c>
      <c r="G10" s="1">
        <f t="shared" ref="G10:K10" si="6">COUNTIF(G3:G9,"TRUE")</f>
        <v>6</v>
      </c>
      <c r="H10" s="1">
        <f t="shared" si="6"/>
        <v>3</v>
      </c>
      <c r="I10" s="1">
        <f t="shared" si="6"/>
        <v>2</v>
      </c>
      <c r="J10" s="1">
        <f t="shared" si="6"/>
        <v>3</v>
      </c>
      <c r="K10" s="1">
        <f t="shared" si="6"/>
        <v>2</v>
      </c>
      <c r="L10" s="5">
        <f>COUNTA(E3:E9)</f>
        <v>7</v>
      </c>
    </row>
    <row r="11" spans="1:12" ht="15.75" customHeight="1">
      <c r="E11" s="1" t="s">
        <v>3</v>
      </c>
      <c r="F11" s="2"/>
      <c r="G11" s="2">
        <f>G10/L10</f>
        <v>0.8571428571428571</v>
      </c>
      <c r="H11" s="2">
        <f>H10/L10</f>
        <v>0.42857142857142855</v>
      </c>
      <c r="I11" s="2">
        <f>I10/L10</f>
        <v>0.2857142857142857</v>
      </c>
      <c r="J11" s="2">
        <f>J10/L10</f>
        <v>0.42857142857142855</v>
      </c>
      <c r="K11" s="2">
        <f>K10/L10</f>
        <v>0.2857142857142857</v>
      </c>
    </row>
    <row r="12" spans="1:12" ht="15.75" customHeight="1">
      <c r="E12" s="1" t="s">
        <v>50</v>
      </c>
      <c r="F12" s="2"/>
      <c r="G12" s="2"/>
      <c r="H12" s="2">
        <f>H10/G10</f>
        <v>0.5</v>
      </c>
      <c r="I12" s="2">
        <f>I10/G10</f>
        <v>0.33333333333333331</v>
      </c>
      <c r="J12" s="2">
        <f>J10/G10</f>
        <v>0.5</v>
      </c>
      <c r="K12" s="2">
        <f>K10/G10</f>
        <v>0.33333333333333331</v>
      </c>
    </row>
    <row r="13" spans="1:12" ht="15.75" customHeight="1">
      <c r="E13" s="1" t="s">
        <v>51</v>
      </c>
      <c r="F13" s="2"/>
      <c r="G13" s="2">
        <f>E10/C10</f>
        <v>0.2857142857142857</v>
      </c>
      <c r="H13" s="2">
        <f>E10/D10</f>
        <v>0.42105263157894735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3"/>
  <sheetViews>
    <sheetView workbookViewId="0">
      <selection activeCell="G3" sqref="G3:K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104</v>
      </c>
      <c r="B3" s="1"/>
      <c r="C3" s="1">
        <v>7</v>
      </c>
      <c r="D3" s="1">
        <v>3</v>
      </c>
      <c r="E3" s="1">
        <v>3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105</v>
      </c>
      <c r="B4" s="1"/>
      <c r="C4" s="1">
        <v>5</v>
      </c>
      <c r="D4" s="1">
        <v>1</v>
      </c>
      <c r="E4" s="1">
        <v>1</v>
      </c>
      <c r="F4" s="1">
        <v>0</v>
      </c>
      <c r="G4" s="1" t="b">
        <f t="shared" ref="G4:G9" si="0">(D4&gt;0)</f>
        <v>1</v>
      </c>
      <c r="H4" s="1" t="b">
        <f t="shared" ref="H4:H9" si="1">(E4&gt;0)</f>
        <v>1</v>
      </c>
      <c r="I4" s="1" t="b">
        <f t="shared" ref="I4:I9" si="2">AND(G4,(D4=E4))</f>
        <v>1</v>
      </c>
      <c r="J4" s="1" t="b">
        <f t="shared" ref="J4:J9" si="3">(F4&gt;0)</f>
        <v>0</v>
      </c>
      <c r="K4" s="1" t="b">
        <f t="shared" ref="K4:K9" si="4">AND(I4,(E4=F4))</f>
        <v>0</v>
      </c>
    </row>
    <row r="5" spans="1:12" ht="15.75" customHeight="1">
      <c r="A5" s="1" t="s">
        <v>106</v>
      </c>
      <c r="B5" s="1"/>
      <c r="C5" s="1">
        <v>8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107</v>
      </c>
      <c r="B6" s="1"/>
      <c r="C6" s="1">
        <v>8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108</v>
      </c>
      <c r="B7" s="1"/>
      <c r="C7" s="1">
        <v>6</v>
      </c>
      <c r="D7" s="1">
        <v>6</v>
      </c>
      <c r="E7" s="1">
        <v>6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109</v>
      </c>
      <c r="B8" s="1"/>
      <c r="C8" s="1">
        <v>6</v>
      </c>
      <c r="D8" s="1">
        <v>5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110</v>
      </c>
      <c r="B9" s="1"/>
      <c r="C9" s="1">
        <v>4</v>
      </c>
      <c r="D9" s="1">
        <v>2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2" ht="15.75" customHeight="1">
      <c r="B10" s="1" t="s">
        <v>49</v>
      </c>
      <c r="C10" s="1">
        <f t="shared" ref="C10:F10" si="5">SUM(C2:C9)</f>
        <v>44</v>
      </c>
      <c r="D10" s="1">
        <f t="shared" si="5"/>
        <v>18</v>
      </c>
      <c r="E10" s="1">
        <f t="shared" si="5"/>
        <v>13</v>
      </c>
      <c r="F10" s="1">
        <f t="shared" si="5"/>
        <v>2</v>
      </c>
      <c r="G10" s="1">
        <f t="shared" ref="G10:K10" si="6">COUNTIF(G3:G9,"TRUE")</f>
        <v>6</v>
      </c>
      <c r="H10" s="1">
        <f t="shared" si="6"/>
        <v>5</v>
      </c>
      <c r="I10" s="1">
        <f t="shared" si="6"/>
        <v>5</v>
      </c>
      <c r="J10" s="1">
        <f t="shared" si="6"/>
        <v>1</v>
      </c>
      <c r="K10" s="1">
        <f t="shared" si="6"/>
        <v>1</v>
      </c>
      <c r="L10" s="5">
        <f>COUNTA(E3:E9)</f>
        <v>7</v>
      </c>
    </row>
    <row r="11" spans="1:12" ht="15.75" customHeight="1">
      <c r="E11" s="1" t="s">
        <v>3</v>
      </c>
      <c r="F11" s="2"/>
      <c r="G11" s="2">
        <f>G10/L10</f>
        <v>0.8571428571428571</v>
      </c>
      <c r="H11" s="2">
        <f>H10/L10</f>
        <v>0.7142857142857143</v>
      </c>
      <c r="I11" s="2">
        <f>I10/L10</f>
        <v>0.7142857142857143</v>
      </c>
      <c r="J11" s="2">
        <f>J10/L10</f>
        <v>0.14285714285714285</v>
      </c>
      <c r="K11" s="2">
        <f>K10/L10</f>
        <v>0.14285714285714285</v>
      </c>
    </row>
    <row r="12" spans="1:12" ht="15.75" customHeight="1">
      <c r="E12" s="1" t="s">
        <v>50</v>
      </c>
      <c r="F12" s="2"/>
      <c r="G12" s="2"/>
      <c r="H12" s="2">
        <f>H10/G10</f>
        <v>0.83333333333333337</v>
      </c>
      <c r="I12" s="2">
        <f>I10/G10</f>
        <v>0.83333333333333337</v>
      </c>
      <c r="J12" s="2">
        <f>J10/G10</f>
        <v>0.16666666666666666</v>
      </c>
      <c r="K12" s="2">
        <f>K10/G10</f>
        <v>0.16666666666666666</v>
      </c>
    </row>
    <row r="13" spans="1:12" ht="15.75" customHeight="1">
      <c r="E13" s="1" t="s">
        <v>51</v>
      </c>
      <c r="F13" s="2"/>
      <c r="G13" s="2">
        <f>E10/C10</f>
        <v>0.29545454545454547</v>
      </c>
      <c r="H13" s="2">
        <f>E10/D10</f>
        <v>0.72222222222222221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12"/>
  <sheetViews>
    <sheetView workbookViewId="0">
      <selection activeCell="G3" sqref="G3:K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111</v>
      </c>
      <c r="B3" s="1"/>
      <c r="C3" s="1">
        <v>3</v>
      </c>
      <c r="D3" s="1">
        <v>2</v>
      </c>
      <c r="E3" s="1">
        <v>2</v>
      </c>
      <c r="F3" s="1">
        <v>2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2" ht="15.75" customHeight="1">
      <c r="A4" s="1" t="s">
        <v>112</v>
      </c>
      <c r="B4" s="1"/>
      <c r="C4" s="1">
        <v>8</v>
      </c>
      <c r="D4" s="1">
        <v>1</v>
      </c>
      <c r="E4" s="1">
        <v>1</v>
      </c>
      <c r="F4" s="1">
        <v>1</v>
      </c>
      <c r="G4" s="1" t="b">
        <f t="shared" ref="G4:G8" si="0">(D4&gt;0)</f>
        <v>1</v>
      </c>
      <c r="H4" s="1" t="b">
        <f t="shared" ref="H4:H8" si="1">(E4&gt;0)</f>
        <v>1</v>
      </c>
      <c r="I4" s="1" t="b">
        <f t="shared" ref="I4:I8" si="2">AND(G4,(D4=E4))</f>
        <v>1</v>
      </c>
      <c r="J4" s="1" t="b">
        <f t="shared" ref="J4:J8" si="3">(F4&gt;0)</f>
        <v>1</v>
      </c>
      <c r="K4" s="1" t="b">
        <f t="shared" ref="K4:K8" si="4">AND(I4,(E4=F4))</f>
        <v>1</v>
      </c>
    </row>
    <row r="5" spans="1:12" ht="15.75" customHeight="1">
      <c r="A5" s="1" t="s">
        <v>113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114</v>
      </c>
      <c r="B6" s="1"/>
      <c r="C6" s="1">
        <v>7</v>
      </c>
      <c r="D6" s="1">
        <v>4</v>
      </c>
      <c r="E6" s="1">
        <v>4</v>
      </c>
      <c r="F6" s="1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0</v>
      </c>
    </row>
    <row r="7" spans="1:12" ht="15.75" customHeight="1">
      <c r="A7" s="1" t="s">
        <v>115</v>
      </c>
      <c r="B7" s="1"/>
      <c r="C7" s="1">
        <v>3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116</v>
      </c>
      <c r="B8" s="1"/>
      <c r="C8" s="1">
        <v>5</v>
      </c>
      <c r="D8" s="1">
        <v>2</v>
      </c>
      <c r="E8" s="1">
        <v>2</v>
      </c>
      <c r="F8" s="1">
        <v>2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B9" s="1" t="s">
        <v>49</v>
      </c>
      <c r="C9" s="1">
        <f t="shared" ref="C9:F9" si="5">SUM(C2:C8)</f>
        <v>29</v>
      </c>
      <c r="D9" s="1">
        <f t="shared" si="5"/>
        <v>11</v>
      </c>
      <c r="E9" s="1">
        <f t="shared" si="5"/>
        <v>11</v>
      </c>
      <c r="F9" s="1">
        <f t="shared" si="5"/>
        <v>10</v>
      </c>
      <c r="G9" s="1">
        <f t="shared" ref="G9:K9" si="6">COUNTIF(G3:G8,"TRUE")</f>
        <v>5</v>
      </c>
      <c r="H9" s="1">
        <f t="shared" si="6"/>
        <v>5</v>
      </c>
      <c r="I9" s="1">
        <f t="shared" si="6"/>
        <v>5</v>
      </c>
      <c r="J9" s="1">
        <f t="shared" si="6"/>
        <v>5</v>
      </c>
      <c r="K9" s="1">
        <f t="shared" si="6"/>
        <v>4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0.83333333333333337</v>
      </c>
      <c r="H10" s="2">
        <f>H9/L9</f>
        <v>0.83333333333333337</v>
      </c>
      <c r="I10" s="2">
        <f>I9/L9</f>
        <v>0.83333333333333337</v>
      </c>
      <c r="J10" s="2">
        <f>J9/L9</f>
        <v>0.83333333333333337</v>
      </c>
      <c r="K10" s="2">
        <f>K9/L9</f>
        <v>0.66666666666666663</v>
      </c>
    </row>
    <row r="11" spans="1:12" ht="15.75" customHeight="1">
      <c r="E11" s="1" t="s">
        <v>50</v>
      </c>
      <c r="F11" s="2"/>
      <c r="G11" s="2"/>
      <c r="H11" s="2">
        <f>H9/G9</f>
        <v>1</v>
      </c>
      <c r="I11" s="2">
        <f>I9/G9</f>
        <v>1</v>
      </c>
      <c r="J11" s="2">
        <f>J9/G9</f>
        <v>1</v>
      </c>
      <c r="K11" s="2">
        <f>K9/G9</f>
        <v>0.8</v>
      </c>
    </row>
    <row r="12" spans="1:12" ht="15.75" customHeight="1">
      <c r="E12" s="1" t="s">
        <v>51</v>
      </c>
      <c r="F12" s="2"/>
      <c r="G12" s="2">
        <f>E9/C9</f>
        <v>0.37931034482758619</v>
      </c>
      <c r="H12" s="2">
        <f>E9/D9</f>
        <v>1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15"/>
  <sheetViews>
    <sheetView workbookViewId="0">
      <selection activeCell="C12" sqref="C1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6" t="s">
        <v>117</v>
      </c>
      <c r="B3" s="6"/>
      <c r="C3" s="7">
        <v>5</v>
      </c>
      <c r="D3" s="7">
        <v>2</v>
      </c>
      <c r="E3" s="7">
        <v>1</v>
      </c>
      <c r="F3" s="7">
        <v>0</v>
      </c>
      <c r="G3" s="1" t="b">
        <f>(D3&gt;0)</f>
        <v>1</v>
      </c>
      <c r="H3" s="1" t="b">
        <f>(E3&gt;0)</f>
        <v>1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6" t="s">
        <v>118</v>
      </c>
      <c r="B4" s="6"/>
      <c r="C4" s="7">
        <v>6</v>
      </c>
      <c r="D4" s="7">
        <v>0</v>
      </c>
      <c r="E4" s="7">
        <v>0</v>
      </c>
      <c r="F4" s="7">
        <v>0</v>
      </c>
      <c r="G4" s="1" t="b">
        <f t="shared" ref="G4:G11" si="0">(D4&gt;0)</f>
        <v>0</v>
      </c>
      <c r="H4" s="1" t="b">
        <f t="shared" ref="H4:H11" si="1">(E4&gt;0)</f>
        <v>0</v>
      </c>
      <c r="I4" s="1" t="b">
        <f t="shared" ref="I4:I11" si="2">AND(G4,(D4=E4))</f>
        <v>0</v>
      </c>
      <c r="J4" s="1" t="b">
        <f t="shared" ref="J4:J11" si="3">(F4&gt;0)</f>
        <v>0</v>
      </c>
      <c r="K4" s="1" t="b">
        <f t="shared" ref="K4:K11" si="4">AND(I4,(E4=F4))</f>
        <v>0</v>
      </c>
    </row>
    <row r="5" spans="1:12" ht="15.75" customHeight="1">
      <c r="A5" s="6" t="s">
        <v>119</v>
      </c>
      <c r="B5" s="6"/>
      <c r="C5" s="7">
        <v>7</v>
      </c>
      <c r="D5" s="7">
        <v>4</v>
      </c>
      <c r="E5" s="7">
        <v>4</v>
      </c>
      <c r="F5" s="7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6" t="s">
        <v>120</v>
      </c>
      <c r="B6" s="6"/>
      <c r="C6" s="7">
        <v>5</v>
      </c>
      <c r="D6" s="7">
        <v>1</v>
      </c>
      <c r="E6" s="7">
        <v>1</v>
      </c>
      <c r="F6" s="7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2" ht="15.75" customHeight="1">
      <c r="A7" s="6" t="s">
        <v>121</v>
      </c>
      <c r="B7" s="6"/>
      <c r="C7" s="7">
        <v>5</v>
      </c>
      <c r="D7" s="7">
        <v>1</v>
      </c>
      <c r="E7" s="7">
        <v>0</v>
      </c>
      <c r="F7" s="7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6" t="s">
        <v>122</v>
      </c>
      <c r="B8" s="6"/>
      <c r="C8" s="7">
        <v>7</v>
      </c>
      <c r="D8" s="7">
        <v>1</v>
      </c>
      <c r="E8" s="7">
        <v>0</v>
      </c>
      <c r="F8" s="7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6" t="s">
        <v>123</v>
      </c>
      <c r="B9" s="6"/>
      <c r="C9" s="7">
        <v>3</v>
      </c>
      <c r="D9" s="7">
        <v>1</v>
      </c>
      <c r="E9" s="7">
        <v>0</v>
      </c>
      <c r="F9" s="7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6" t="s">
        <v>124</v>
      </c>
      <c r="B10" s="6"/>
      <c r="C10" s="7">
        <v>5</v>
      </c>
      <c r="D10" s="7">
        <v>1</v>
      </c>
      <c r="E10" s="7">
        <v>1</v>
      </c>
      <c r="F10" s="7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6" t="s">
        <v>125</v>
      </c>
      <c r="B11" s="6"/>
      <c r="C11" s="7">
        <v>2</v>
      </c>
      <c r="D11" s="7">
        <v>1</v>
      </c>
      <c r="E11" s="7">
        <v>0</v>
      </c>
      <c r="F11" s="7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B12" s="1" t="s">
        <v>49</v>
      </c>
      <c r="C12" s="1">
        <f t="shared" ref="C12:F12" si="5">SUM(C2:C11)</f>
        <v>45</v>
      </c>
      <c r="D12" s="1">
        <f t="shared" si="5"/>
        <v>12</v>
      </c>
      <c r="E12" s="1">
        <f t="shared" si="5"/>
        <v>7</v>
      </c>
      <c r="F12" s="1">
        <f t="shared" si="5"/>
        <v>0</v>
      </c>
      <c r="G12" s="1">
        <f t="shared" ref="G12:K12" si="6">COUNTIF(G3:G11,"TRUE")</f>
        <v>8</v>
      </c>
      <c r="H12" s="1">
        <f t="shared" si="6"/>
        <v>4</v>
      </c>
      <c r="I12" s="1">
        <f t="shared" si="6"/>
        <v>3</v>
      </c>
      <c r="J12" s="1">
        <f t="shared" si="6"/>
        <v>0</v>
      </c>
      <c r="K12" s="1">
        <f t="shared" si="6"/>
        <v>0</v>
      </c>
      <c r="L12" s="5">
        <f>COUNTA(E3:E11)</f>
        <v>9</v>
      </c>
    </row>
    <row r="13" spans="1:12" ht="15.75" customHeight="1">
      <c r="E13" s="1" t="s">
        <v>3</v>
      </c>
      <c r="F13" s="2"/>
      <c r="G13" s="2">
        <f>G12/L12</f>
        <v>0.88888888888888884</v>
      </c>
      <c r="H13" s="2">
        <f>H12/L12</f>
        <v>0.44444444444444442</v>
      </c>
      <c r="I13" s="2">
        <f>I12/L12</f>
        <v>0.33333333333333331</v>
      </c>
      <c r="J13" s="2">
        <f>J12/L12</f>
        <v>0</v>
      </c>
      <c r="K13" s="2">
        <f>K12/L12</f>
        <v>0</v>
      </c>
    </row>
    <row r="14" spans="1:12" ht="15.75" customHeight="1">
      <c r="E14" s="1" t="s">
        <v>50</v>
      </c>
      <c r="F14" s="2"/>
      <c r="G14" s="2"/>
      <c r="H14" s="2">
        <f>H12/G12</f>
        <v>0.5</v>
      </c>
      <c r="I14" s="2">
        <f>I12/G12</f>
        <v>0.375</v>
      </c>
      <c r="J14" s="2">
        <f>J12/G12</f>
        <v>0</v>
      </c>
      <c r="K14" s="2">
        <f>K12/G12</f>
        <v>0</v>
      </c>
    </row>
    <row r="15" spans="1:12" ht="15.75" customHeight="1">
      <c r="E15" s="1" t="s">
        <v>51</v>
      </c>
      <c r="F15" s="2"/>
      <c r="G15" s="2">
        <f>E12/C12</f>
        <v>0.15555555555555556</v>
      </c>
      <c r="H15" s="2">
        <f>E12/D12</f>
        <v>0.58333333333333337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2025-06-11T20:01:32Z</dcterms:modified>
</cp:coreProperties>
</file>