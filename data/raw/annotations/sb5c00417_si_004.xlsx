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548BE6FA-90A0-6441-AF6F-C59C0D05AB89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23" i="13"/>
  <c r="H23" i="13"/>
  <c r="I23" i="13"/>
  <c r="J23" i="13"/>
  <c r="K23" i="13"/>
  <c r="G24" i="13"/>
  <c r="H24" i="13"/>
  <c r="I24" i="13"/>
  <c r="J24" i="13"/>
  <c r="K24" i="13"/>
  <c r="G25" i="13"/>
  <c r="H25" i="13"/>
  <c r="I25" i="13"/>
  <c r="J25" i="13"/>
  <c r="K25" i="13"/>
  <c r="G26" i="13"/>
  <c r="H26" i="13"/>
  <c r="I26" i="13"/>
  <c r="J26" i="13"/>
  <c r="K26" i="13"/>
  <c r="G27" i="13"/>
  <c r="H27" i="13"/>
  <c r="I27" i="13"/>
  <c r="J27" i="13"/>
  <c r="K27" i="13"/>
  <c r="G28" i="13"/>
  <c r="H28" i="13"/>
  <c r="I28" i="13"/>
  <c r="J28" i="13"/>
  <c r="K28" i="13"/>
  <c r="G29" i="13"/>
  <c r="I29" i="13" s="1"/>
  <c r="K29" i="13" s="1"/>
  <c r="H29" i="13"/>
  <c r="J29" i="13"/>
  <c r="G30" i="13"/>
  <c r="H30" i="13"/>
  <c r="I30" i="13"/>
  <c r="J30" i="13"/>
  <c r="K30" i="13"/>
  <c r="G31" i="13"/>
  <c r="H31" i="13"/>
  <c r="I31" i="13"/>
  <c r="J31" i="13"/>
  <c r="K31" i="13"/>
  <c r="G32" i="13"/>
  <c r="H32" i="13"/>
  <c r="I32" i="13"/>
  <c r="J32" i="13"/>
  <c r="K32" i="13"/>
  <c r="G33" i="13"/>
  <c r="H33" i="13"/>
  <c r="I33" i="13"/>
  <c r="J33" i="13"/>
  <c r="K33" i="13"/>
  <c r="G34" i="13"/>
  <c r="H34" i="13"/>
  <c r="I34" i="13"/>
  <c r="J34" i="13"/>
  <c r="K34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4" i="10"/>
  <c r="H4" i="10"/>
  <c r="I4" i="10"/>
  <c r="J4" i="10"/>
  <c r="K4" i="10"/>
  <c r="G5" i="10"/>
  <c r="I5" i="10" s="1"/>
  <c r="K5" i="10" s="1"/>
  <c r="H5" i="10"/>
  <c r="J5" i="10"/>
  <c r="G6" i="10"/>
  <c r="H6" i="10"/>
  <c r="I6" i="10"/>
  <c r="J6" i="10"/>
  <c r="K6" i="10"/>
  <c r="G7" i="10"/>
  <c r="I7" i="10" s="1"/>
  <c r="K7" i="10" s="1"/>
  <c r="H7" i="10"/>
  <c r="J7" i="10"/>
  <c r="G8" i="10"/>
  <c r="H8" i="10"/>
  <c r="I8" i="10"/>
  <c r="J8" i="10"/>
  <c r="K8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J7" i="9"/>
  <c r="K7" i="9"/>
  <c r="G8" i="9"/>
  <c r="H8" i="9"/>
  <c r="I8" i="9"/>
  <c r="J8" i="9"/>
  <c r="K8" i="9"/>
  <c r="G9" i="9"/>
  <c r="H9" i="9"/>
  <c r="I9" i="9"/>
  <c r="J9" i="9"/>
  <c r="K9" i="9"/>
  <c r="G10" i="9"/>
  <c r="H10" i="9"/>
  <c r="I10" i="9"/>
  <c r="J10" i="9"/>
  <c r="K10" i="9"/>
  <c r="G11" i="9"/>
  <c r="H11" i="9"/>
  <c r="I11" i="9"/>
  <c r="J11" i="9"/>
  <c r="K11" i="9"/>
  <c r="G12" i="9"/>
  <c r="H12" i="9"/>
  <c r="I12" i="9"/>
  <c r="J12" i="9"/>
  <c r="K12" i="9"/>
  <c r="G13" i="9"/>
  <c r="H13" i="9"/>
  <c r="I13" i="9"/>
  <c r="J13" i="9"/>
  <c r="K13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4" i="5"/>
  <c r="H4" i="5"/>
  <c r="I4" i="5"/>
  <c r="J4" i="5"/>
  <c r="K4" i="5"/>
  <c r="G5" i="5"/>
  <c r="H5" i="5"/>
  <c r="I5" i="5"/>
  <c r="J5" i="5"/>
  <c r="K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G4" i="4"/>
  <c r="H4" i="4"/>
  <c r="I4" i="4"/>
  <c r="J4" i="4"/>
  <c r="K4" i="4"/>
  <c r="G5" i="4"/>
  <c r="H5" i="4"/>
  <c r="I5" i="4"/>
  <c r="K5" i="4" s="1"/>
  <c r="J5" i="4"/>
  <c r="G6" i="4"/>
  <c r="H6" i="4"/>
  <c r="I6" i="4"/>
  <c r="J6" i="4"/>
  <c r="K6" i="4"/>
  <c r="G7" i="4"/>
  <c r="H7" i="4"/>
  <c r="I7" i="4"/>
  <c r="K7" i="4" s="1"/>
  <c r="J7" i="4"/>
  <c r="G8" i="4"/>
  <c r="H8" i="4"/>
  <c r="I8" i="4"/>
  <c r="J8" i="4"/>
  <c r="K8" i="4"/>
  <c r="G9" i="4"/>
  <c r="H9" i="4"/>
  <c r="I9" i="4"/>
  <c r="K9" i="4" s="1"/>
  <c r="J9" i="4"/>
  <c r="G10" i="4"/>
  <c r="H10" i="4"/>
  <c r="I10" i="4"/>
  <c r="J10" i="4"/>
  <c r="K10" i="4"/>
  <c r="G11" i="4"/>
  <c r="H11" i="4"/>
  <c r="I11" i="4"/>
  <c r="K11" i="4" s="1"/>
  <c r="J11" i="4"/>
  <c r="G12" i="4"/>
  <c r="H12" i="4"/>
  <c r="I12" i="4"/>
  <c r="J12" i="4"/>
  <c r="K12" i="4"/>
  <c r="G4" i="3"/>
  <c r="H4" i="3"/>
  <c r="I4" i="3"/>
  <c r="J4" i="3"/>
  <c r="K4" i="3"/>
  <c r="G5" i="3"/>
  <c r="I5" i="3" s="1"/>
  <c r="K5" i="3" s="1"/>
  <c r="H5" i="3"/>
  <c r="J5" i="3"/>
  <c r="G6" i="3"/>
  <c r="H6" i="3"/>
  <c r="I6" i="3"/>
  <c r="J6" i="3"/>
  <c r="K6" i="3"/>
  <c r="G7" i="3"/>
  <c r="I7" i="3" s="1"/>
  <c r="K7" i="3" s="1"/>
  <c r="H7" i="3"/>
  <c r="J7" i="3"/>
  <c r="G8" i="3"/>
  <c r="H8" i="3"/>
  <c r="I8" i="3"/>
  <c r="J8" i="3"/>
  <c r="K8" i="3"/>
  <c r="G7" i="2"/>
  <c r="H7" i="2"/>
  <c r="I7" i="2"/>
  <c r="J7" i="2"/>
  <c r="K7" i="2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I3" i="5"/>
  <c r="K3" i="5" s="1"/>
  <c r="H3" i="5"/>
  <c r="G3" i="5"/>
  <c r="J3" i="4"/>
  <c r="H3" i="4"/>
  <c r="G3" i="4"/>
  <c r="I3" i="4" s="1"/>
  <c r="K3" i="4" s="1"/>
  <c r="J3" i="3"/>
  <c r="H3" i="3"/>
  <c r="G3" i="3"/>
  <c r="I3" i="3" s="1"/>
  <c r="K3" i="3" s="1"/>
  <c r="K3" i="2"/>
  <c r="I3" i="2"/>
  <c r="J3" i="2"/>
  <c r="H3" i="2"/>
  <c r="G3" i="2"/>
  <c r="H38" i="13"/>
  <c r="G38" i="13"/>
  <c r="F36" i="13"/>
  <c r="E36" i="13"/>
  <c r="D36" i="13"/>
  <c r="C36" i="13"/>
  <c r="L35" i="13"/>
  <c r="L10" i="12"/>
  <c r="F10" i="12"/>
  <c r="E10" i="12"/>
  <c r="D10" i="12"/>
  <c r="C10" i="12"/>
  <c r="G14" i="11"/>
  <c r="L11" i="11"/>
  <c r="F11" i="11"/>
  <c r="E11" i="11"/>
  <c r="D11" i="11"/>
  <c r="H14" i="11" s="1"/>
  <c r="C11" i="11"/>
  <c r="L9" i="10"/>
  <c r="F9" i="10"/>
  <c r="E9" i="10"/>
  <c r="H12" i="10" s="1"/>
  <c r="D9" i="10"/>
  <c r="C9" i="10"/>
  <c r="H17" i="9"/>
  <c r="L14" i="9"/>
  <c r="F14" i="9"/>
  <c r="E14" i="9"/>
  <c r="G17" i="9" s="1"/>
  <c r="D14" i="9"/>
  <c r="C14" i="9"/>
  <c r="H14" i="8"/>
  <c r="G14" i="8"/>
  <c r="L11" i="8"/>
  <c r="F11" i="8"/>
  <c r="E11" i="8"/>
  <c r="D11" i="8"/>
  <c r="C11" i="8"/>
  <c r="L13" i="7"/>
  <c r="F13" i="7"/>
  <c r="E13" i="7"/>
  <c r="D13" i="7"/>
  <c r="C8" i="1" s="1"/>
  <c r="C13" i="7"/>
  <c r="G16" i="7" s="1"/>
  <c r="H14" i="6"/>
  <c r="G14" i="6"/>
  <c r="L11" i="6"/>
  <c r="K7" i="1" s="1"/>
  <c r="F11" i="6"/>
  <c r="E11" i="6"/>
  <c r="D11" i="6"/>
  <c r="C11" i="6"/>
  <c r="L9" i="5"/>
  <c r="F9" i="5"/>
  <c r="E9" i="5"/>
  <c r="D9" i="5"/>
  <c r="C6" i="1" s="1"/>
  <c r="C9" i="5"/>
  <c r="B6" i="1" s="1"/>
  <c r="B15" i="1" s="1"/>
  <c r="H16" i="4"/>
  <c r="L13" i="4"/>
  <c r="F13" i="4"/>
  <c r="E13" i="4"/>
  <c r="D13" i="4"/>
  <c r="C13" i="4"/>
  <c r="L9" i="3"/>
  <c r="F9" i="3"/>
  <c r="E4" i="1" s="1"/>
  <c r="E9" i="3"/>
  <c r="D9" i="3"/>
  <c r="C4" i="1" s="1"/>
  <c r="C9" i="3"/>
  <c r="L8" i="2"/>
  <c r="F8" i="2"/>
  <c r="E8" i="2"/>
  <c r="D3" i="1" s="1"/>
  <c r="D8" i="2"/>
  <c r="C8" i="2"/>
  <c r="K14" i="1"/>
  <c r="E14" i="1"/>
  <c r="V14" i="1" s="1"/>
  <c r="D14" i="1"/>
  <c r="T14" i="1" s="1"/>
  <c r="C14" i="1"/>
  <c r="B14" i="1"/>
  <c r="K13" i="1"/>
  <c r="E13" i="1"/>
  <c r="V13" i="1" s="1"/>
  <c r="D13" i="1"/>
  <c r="C13" i="1"/>
  <c r="B13" i="1"/>
  <c r="K12" i="1"/>
  <c r="E12" i="1"/>
  <c r="V12" i="1" s="1"/>
  <c r="D12" i="1"/>
  <c r="T12" i="1" s="1"/>
  <c r="C12" i="1"/>
  <c r="B12" i="1"/>
  <c r="K11" i="1"/>
  <c r="E11" i="1"/>
  <c r="V11" i="1" s="1"/>
  <c r="D11" i="1"/>
  <c r="C11" i="1"/>
  <c r="B11" i="1"/>
  <c r="K10" i="1"/>
  <c r="E10" i="1"/>
  <c r="V10" i="1" s="1"/>
  <c r="D10" i="1"/>
  <c r="C10" i="1"/>
  <c r="B10" i="1"/>
  <c r="U9" i="1"/>
  <c r="K9" i="1"/>
  <c r="E9" i="1"/>
  <c r="V9" i="1" s="1"/>
  <c r="D9" i="1"/>
  <c r="T9" i="1" s="1"/>
  <c r="C9" i="1"/>
  <c r="B9" i="1"/>
  <c r="K8" i="1"/>
  <c r="E8" i="1"/>
  <c r="D8" i="1"/>
  <c r="B8" i="1"/>
  <c r="E7" i="1"/>
  <c r="V7" i="1" s="1"/>
  <c r="D7" i="1"/>
  <c r="T7" i="1" s="1"/>
  <c r="C7" i="1"/>
  <c r="B7" i="1"/>
  <c r="K6" i="1"/>
  <c r="E6" i="1"/>
  <c r="D6" i="1"/>
  <c r="K5" i="1"/>
  <c r="E5" i="1"/>
  <c r="V5" i="1" s="1"/>
  <c r="D5" i="1"/>
  <c r="C5" i="1"/>
  <c r="U5" i="1" s="1"/>
  <c r="B5" i="1"/>
  <c r="K4" i="1"/>
  <c r="B4" i="1"/>
  <c r="K3" i="1"/>
  <c r="K15" i="1" s="1"/>
  <c r="E3" i="1"/>
  <c r="C3" i="1"/>
  <c r="B3" i="1"/>
  <c r="G9" i="10" l="1"/>
  <c r="H10" i="12"/>
  <c r="H35" i="13"/>
  <c r="G14" i="1" s="1"/>
  <c r="N14" i="1" s="1"/>
  <c r="I10" i="12"/>
  <c r="H13" i="1" s="1"/>
  <c r="O13" i="1" s="1"/>
  <c r="I14" i="9"/>
  <c r="H10" i="1" s="1"/>
  <c r="O10" i="1" s="1"/>
  <c r="I11" i="8"/>
  <c r="H9" i="1" s="1"/>
  <c r="O9" i="1" s="1"/>
  <c r="J11" i="8"/>
  <c r="I9" i="1" s="1"/>
  <c r="H14" i="9"/>
  <c r="G10" i="1" s="1"/>
  <c r="N10" i="1" s="1"/>
  <c r="G11" i="11"/>
  <c r="F12" i="1" s="1"/>
  <c r="M12" i="1" s="1"/>
  <c r="H9" i="3"/>
  <c r="H10" i="3" s="1"/>
  <c r="I8" i="2"/>
  <c r="I9" i="2" s="1"/>
  <c r="K13" i="7"/>
  <c r="K14" i="7" s="1"/>
  <c r="K11" i="8"/>
  <c r="K12" i="8" s="1"/>
  <c r="G35" i="13"/>
  <c r="J35" i="13"/>
  <c r="J36" i="13" s="1"/>
  <c r="H11" i="11"/>
  <c r="H12" i="11" s="1"/>
  <c r="K9" i="5"/>
  <c r="J6" i="1" s="1"/>
  <c r="G11" i="6"/>
  <c r="F7" i="1" s="1"/>
  <c r="M7" i="1" s="1"/>
  <c r="J13" i="7"/>
  <c r="I8" i="1" s="1"/>
  <c r="K14" i="9"/>
  <c r="I11" i="11"/>
  <c r="I12" i="11" s="1"/>
  <c r="H8" i="2"/>
  <c r="G3" i="1" s="1"/>
  <c r="N3" i="1" s="1"/>
  <c r="I13" i="7"/>
  <c r="I14" i="7" s="1"/>
  <c r="I13" i="4"/>
  <c r="H5" i="1" s="1"/>
  <c r="O5" i="1" s="1"/>
  <c r="H11" i="6"/>
  <c r="G7" i="1" s="1"/>
  <c r="G14" i="9"/>
  <c r="F10" i="1" s="1"/>
  <c r="J11" i="11"/>
  <c r="I12" i="1" s="1"/>
  <c r="K8" i="2"/>
  <c r="K9" i="2" s="1"/>
  <c r="G13" i="7"/>
  <c r="G14" i="7" s="1"/>
  <c r="K35" i="13"/>
  <c r="J14" i="1" s="1"/>
  <c r="G11" i="8"/>
  <c r="K11" i="11"/>
  <c r="K12" i="11" s="1"/>
  <c r="J8" i="2"/>
  <c r="I3" i="1" s="1"/>
  <c r="K13" i="4"/>
  <c r="J5" i="1" s="1"/>
  <c r="K11" i="6"/>
  <c r="K12" i="6" s="1"/>
  <c r="H13" i="7"/>
  <c r="H14" i="7" s="1"/>
  <c r="J13" i="4"/>
  <c r="J14" i="4" s="1"/>
  <c r="I9" i="3"/>
  <c r="H4" i="1" s="1"/>
  <c r="J9" i="3"/>
  <c r="J10" i="3" s="1"/>
  <c r="K9" i="3"/>
  <c r="I11" i="6"/>
  <c r="H7" i="1" s="1"/>
  <c r="H9" i="10"/>
  <c r="H11" i="10" s="1"/>
  <c r="I9" i="10"/>
  <c r="I10" i="10" s="1"/>
  <c r="H13" i="4"/>
  <c r="G5" i="1" s="1"/>
  <c r="J9" i="10"/>
  <c r="J10" i="10" s="1"/>
  <c r="I35" i="13"/>
  <c r="I36" i="13" s="1"/>
  <c r="G8" i="2"/>
  <c r="G9" i="2" s="1"/>
  <c r="G13" i="4"/>
  <c r="F5" i="1" s="1"/>
  <c r="M5" i="1" s="1"/>
  <c r="I9" i="5"/>
  <c r="I10" i="5" s="1"/>
  <c r="K10" i="12"/>
  <c r="K11" i="12" s="1"/>
  <c r="G9" i="3"/>
  <c r="G10" i="3" s="1"/>
  <c r="G9" i="5"/>
  <c r="H9" i="5"/>
  <c r="G6" i="1" s="1"/>
  <c r="J9" i="5"/>
  <c r="J10" i="5" s="1"/>
  <c r="J14" i="9"/>
  <c r="I10" i="1" s="1"/>
  <c r="G10" i="12"/>
  <c r="H12" i="12" s="1"/>
  <c r="H11" i="12"/>
  <c r="G13" i="1"/>
  <c r="E15" i="1"/>
  <c r="C15" i="1"/>
  <c r="V4" i="1"/>
  <c r="F11" i="1"/>
  <c r="M11" i="1" s="1"/>
  <c r="G10" i="10"/>
  <c r="T3" i="1"/>
  <c r="U3" i="1"/>
  <c r="V6" i="1"/>
  <c r="V8" i="1"/>
  <c r="T10" i="1"/>
  <c r="J11" i="6"/>
  <c r="V3" i="1"/>
  <c r="U14" i="1"/>
  <c r="H13" i="12"/>
  <c r="G13" i="12"/>
  <c r="U7" i="1"/>
  <c r="U12" i="1"/>
  <c r="H12" i="3"/>
  <c r="G12" i="3"/>
  <c r="T5" i="1"/>
  <c r="G12" i="5"/>
  <c r="U10" i="1"/>
  <c r="H16" i="7"/>
  <c r="H11" i="2"/>
  <c r="G11" i="2"/>
  <c r="T8" i="1"/>
  <c r="U8" i="1"/>
  <c r="T13" i="1"/>
  <c r="U13" i="1"/>
  <c r="G12" i="10"/>
  <c r="J10" i="12"/>
  <c r="G16" i="4"/>
  <c r="H11" i="8"/>
  <c r="K9" i="10"/>
  <c r="H12" i="5"/>
  <c r="D4" i="1"/>
  <c r="T6" i="1"/>
  <c r="U6" i="1"/>
  <c r="T11" i="1"/>
  <c r="U11" i="1"/>
  <c r="I15" i="9" l="1"/>
  <c r="J12" i="8"/>
  <c r="H15" i="9"/>
  <c r="H8" i="1"/>
  <c r="O8" i="1" s="1"/>
  <c r="K13" i="8"/>
  <c r="H3" i="1"/>
  <c r="O3" i="1" s="1"/>
  <c r="J9" i="1"/>
  <c r="I11" i="12"/>
  <c r="H36" i="13"/>
  <c r="G4" i="1"/>
  <c r="N4" i="1" s="1"/>
  <c r="H37" i="13"/>
  <c r="J13" i="8"/>
  <c r="F8" i="1"/>
  <c r="M8" i="1" s="1"/>
  <c r="H12" i="6"/>
  <c r="J3" i="1"/>
  <c r="I15" i="7"/>
  <c r="H12" i="1"/>
  <c r="O12" i="1" s="1"/>
  <c r="K36" i="13"/>
  <c r="K37" i="13"/>
  <c r="I12" i="8"/>
  <c r="I14" i="4"/>
  <c r="J37" i="13"/>
  <c r="J12" i="11"/>
  <c r="I14" i="1"/>
  <c r="K14" i="4"/>
  <c r="I13" i="8"/>
  <c r="G12" i="1"/>
  <c r="N12" i="1" s="1"/>
  <c r="I4" i="1"/>
  <c r="H13" i="11"/>
  <c r="I12" i="12"/>
  <c r="I37" i="13"/>
  <c r="J14" i="7"/>
  <c r="J13" i="11"/>
  <c r="I5" i="1"/>
  <c r="R5" i="1" s="1"/>
  <c r="K13" i="6"/>
  <c r="J8" i="1"/>
  <c r="H11" i="1"/>
  <c r="Q11" i="1" s="1"/>
  <c r="G12" i="6"/>
  <c r="J10" i="2"/>
  <c r="K13" i="11"/>
  <c r="I11" i="10"/>
  <c r="K10" i="2"/>
  <c r="J9" i="2"/>
  <c r="G12" i="11"/>
  <c r="J15" i="9"/>
  <c r="K10" i="5"/>
  <c r="J11" i="10"/>
  <c r="J16" i="9"/>
  <c r="H10" i="5"/>
  <c r="H9" i="2"/>
  <c r="R12" i="1"/>
  <c r="J7" i="1"/>
  <c r="S7" i="1" s="1"/>
  <c r="I16" i="9"/>
  <c r="I13" i="11"/>
  <c r="K16" i="9"/>
  <c r="H16" i="9"/>
  <c r="G15" i="9"/>
  <c r="J11" i="5"/>
  <c r="I6" i="1"/>
  <c r="H14" i="4"/>
  <c r="H15" i="4"/>
  <c r="I11" i="1"/>
  <c r="R11" i="1" s="1"/>
  <c r="H6" i="1"/>
  <c r="I10" i="3"/>
  <c r="H13" i="6"/>
  <c r="R10" i="1"/>
  <c r="I12" i="6"/>
  <c r="K15" i="9"/>
  <c r="J10" i="1"/>
  <c r="S10" i="1" s="1"/>
  <c r="H11" i="3"/>
  <c r="G8" i="1"/>
  <c r="N8" i="1" s="1"/>
  <c r="F13" i="1"/>
  <c r="M13" i="1" s="1"/>
  <c r="H14" i="1"/>
  <c r="J15" i="7"/>
  <c r="H15" i="7"/>
  <c r="G11" i="12"/>
  <c r="F6" i="1"/>
  <c r="M6" i="1" s="1"/>
  <c r="I13" i="6"/>
  <c r="G14" i="4"/>
  <c r="F4" i="1"/>
  <c r="M4" i="1" s="1"/>
  <c r="K15" i="7"/>
  <c r="G36" i="13"/>
  <c r="F14" i="1"/>
  <c r="G11" i="1"/>
  <c r="N11" i="1" s="1"/>
  <c r="J11" i="3"/>
  <c r="I11" i="3"/>
  <c r="J12" i="1"/>
  <c r="S12" i="1" s="1"/>
  <c r="G12" i="8"/>
  <c r="F9" i="1"/>
  <c r="R9" i="1" s="1"/>
  <c r="I11" i="5"/>
  <c r="K11" i="5"/>
  <c r="K11" i="3"/>
  <c r="K10" i="3"/>
  <c r="J4" i="1"/>
  <c r="K12" i="12"/>
  <c r="G10" i="5"/>
  <c r="F3" i="1"/>
  <c r="P3" i="1" s="1"/>
  <c r="H11" i="5"/>
  <c r="I10" i="2"/>
  <c r="H10" i="2"/>
  <c r="J15" i="4"/>
  <c r="I15" i="4"/>
  <c r="J13" i="1"/>
  <c r="H10" i="10"/>
  <c r="S5" i="1"/>
  <c r="K15" i="4"/>
  <c r="H13" i="8"/>
  <c r="G9" i="1"/>
  <c r="H12" i="8"/>
  <c r="P5" i="1"/>
  <c r="N5" i="1"/>
  <c r="T4" i="1"/>
  <c r="U4" i="1"/>
  <c r="Q10" i="1"/>
  <c r="P10" i="1"/>
  <c r="M10" i="1"/>
  <c r="O4" i="1"/>
  <c r="K11" i="10"/>
  <c r="K10" i="10"/>
  <c r="J11" i="1"/>
  <c r="S11" i="1" s="1"/>
  <c r="I13" i="1"/>
  <c r="J12" i="12"/>
  <c r="J11" i="12"/>
  <c r="Q7" i="1"/>
  <c r="O7" i="1"/>
  <c r="N7" i="1"/>
  <c r="P7" i="1"/>
  <c r="V15" i="1"/>
  <c r="N6" i="1"/>
  <c r="N13" i="1"/>
  <c r="J13" i="6"/>
  <c r="I7" i="1"/>
  <c r="R7" i="1" s="1"/>
  <c r="J12" i="6"/>
  <c r="D15" i="1"/>
  <c r="Q5" i="1"/>
  <c r="Q12" i="1" l="1"/>
  <c r="R8" i="1"/>
  <c r="Q8" i="1"/>
  <c r="S8" i="1"/>
  <c r="M3" i="1"/>
  <c r="O11" i="1"/>
  <c r="P12" i="1"/>
  <c r="P11" i="1"/>
  <c r="Q6" i="1"/>
  <c r="Q4" i="1"/>
  <c r="P6" i="1"/>
  <c r="R6" i="1"/>
  <c r="S6" i="1"/>
  <c r="O6" i="1"/>
  <c r="Q14" i="1"/>
  <c r="F15" i="1"/>
  <c r="M15" i="1" s="1"/>
  <c r="P14" i="1"/>
  <c r="M14" i="1"/>
  <c r="R14" i="1"/>
  <c r="O14" i="1"/>
  <c r="M9" i="1"/>
  <c r="Q9" i="1"/>
  <c r="P13" i="1"/>
  <c r="J15" i="1"/>
  <c r="Q13" i="1"/>
  <c r="P8" i="1"/>
  <c r="H15" i="1"/>
  <c r="Q15" i="1" s="1"/>
  <c r="S3" i="1"/>
  <c r="S13" i="1"/>
  <c r="S4" i="1"/>
  <c r="S9" i="1"/>
  <c r="P4" i="1"/>
  <c r="Q3" i="1"/>
  <c r="R4" i="1"/>
  <c r="R13" i="1"/>
  <c r="R3" i="1"/>
  <c r="S14" i="1"/>
  <c r="P9" i="1"/>
  <c r="N9" i="1"/>
  <c r="I15" i="1"/>
  <c r="T15" i="1"/>
  <c r="U15" i="1"/>
  <c r="G15" i="1"/>
  <c r="R15" i="1" l="1"/>
  <c r="O15" i="1"/>
  <c r="S15" i="1"/>
  <c r="N15" i="1"/>
  <c r="P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00000000-0006-0000-0A00-000001000000}">
      <text>
        <r>
          <rPr>
            <sz val="10"/>
            <color rgb="FF000000"/>
            <rFont val="Arial"/>
            <family val="2"/>
            <scheme val="minor"/>
          </rPr>
          <t xml:space="preserve">Controversial
</t>
        </r>
      </text>
    </comment>
  </commentList>
</comments>
</file>

<file path=xl/sharedStrings.xml><?xml version="1.0" encoding="utf-8"?>
<sst xmlns="http://schemas.openxmlformats.org/spreadsheetml/2006/main" count="348" uniqueCount="165">
  <si>
    <t>Year: 2014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</si>
  <si>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</si>
  <si>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</si>
  <si>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</si>
  <si>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</si>
  <si>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</si>
  <si>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</si>
  <si>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</si>
  <si>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</si>
  <si>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</si>
  <si>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</si>
  <si>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</si>
  <si>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</si>
  <si>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</si>
  <si>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</si>
  <si>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</si>
  <si>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</si>
  <si>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</si>
  <si>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</si>
  <si>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</si>
  <si>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</si>
  <si>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</si>
  <si>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</si>
  <si>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</si>
  <si>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</si>
  <si>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</si>
  <si>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</si>
  <si>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</si>
  <si>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</si>
  <si>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</si>
  <si>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</si>
  <si>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</si>
  <si>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</si>
  <si>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</si>
  <si>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</si>
  <si>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</si>
  <si>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</si>
  <si>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</si>
  <si>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</si>
  <si>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</si>
  <si>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</si>
  <si>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</si>
  <si>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</si>
  <si>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Redirecting Photosynthetic Electron Flow into Light-Driven Synthesis of Alternative Products Including High-Value Bioactive Natural Compounds</t>
  </si>
  <si>
    <t>Development of an NADPH-Dependent Homophenylalanine Dehydrogenase by Protein Engineering</t>
  </si>
  <si>
    <t>Taking Control over Control: Use of Product Sensing in Single Cells to Remove Flux Control at Key Enzymes in Biosynthesis Pathways</t>
  </si>
  <si>
    <t>Enhancing Tolerance to Short-Chain Alcohols by Engineering the Escherichia coli AcrB Efflux Pump to Secrete the Non-native Substrate n-Butanol</t>
  </si>
  <si>
    <t>SoxR as a Single-Cell Biosensor for NADPH-Consuming Enzymes in Escherichia coli</t>
  </si>
  <si>
    <t>Totals:</t>
  </si>
  <si>
    <t>% of SBOL-possible papers</t>
  </si>
  <si>
    <t>% of all / possible figures</t>
  </si>
  <si>
    <t>A Methodology to Annotate Systems Biology Markup Language Models with the Synthetic Biology Open Language</t>
  </si>
  <si>
    <t>FairyTALE: A High-Throughput TAL Effector Synthesis Platform</t>
  </si>
  <si>
    <t>Universal Genetic Assay for Engineering Extracellular Protein Expression</t>
  </si>
  <si>
    <t>Bi-HAC Vector System toward Gene and Cell Therapy</t>
  </si>
  <si>
    <t>Engineered DNA Sequence Syntax Inspector</t>
  </si>
  <si>
    <t>Rapid and Reliable DNA Assembly via Ligase Cycling Reaction</t>
  </si>
  <si>
    <t>Designing Synthetic Biology</t>
  </si>
  <si>
    <t>Using Synthetic Biological Parts and Microbioreactors to Explore the Protein Expression Characteristics of Escherichia coli</t>
  </si>
  <si>
    <t>Multiple Amino Acid-Excluded Genetic Codes for Protein Engineering Using Multiple Sets of tRNA Variants</t>
  </si>
  <si>
    <t>Rewiring the Wax Ester Production Pathway of Acinetobacter baylyi ADP1</t>
  </si>
  <si>
    <t>Improving the Gene-Regulation Ability of Small RNAs by Scaffold Engineering in Escherichia coli</t>
  </si>
  <si>
    <t>Toward a Generalized and High-throughput Enzyme Screening System Based on Artificial Genetic Circuits</t>
  </si>
  <si>
    <t>Computer-Assisted Engineering of the Synthetic Pathway for Biodegradation of a Toxic Persistent Pollutant</t>
  </si>
  <si>
    <t>The Spinach RNA Aptamer as a Characterization Tool for Synthetic Biology</t>
  </si>
  <si>
    <t>Synthetic Core Promoters for Pichia pastoris</t>
  </si>
  <si>
    <t>Database Construction for PromoterCAD: Synthetic Promoter Design for Mammals and Plants</t>
  </si>
  <si>
    <t>Engineering Multicellular Logic in Bacteria with Metabolic Wires</t>
  </si>
  <si>
    <t>Evolved Quorum Sensing Regulator, LsrR, for Altered Switching Functions</t>
  </si>
  <si>
    <t>Generic Metric to Quantify Quorum Sensing Activation Dynamics</t>
  </si>
  <si>
    <t>Reprogramming Microbes to Be Pathogen-Seeking Killers</t>
  </si>
  <si>
    <t>Quorum Sensing-Modulated AND-Gate Promoters Control Gene Expression in Response to a Combination of Endogenous and Exogenous Signals</t>
  </si>
  <si>
    <t>d-OptCom: Dynamic Multi-level and Multi-objective Metabolic Modeling of Microbial Communities</t>
  </si>
  <si>
    <t>Genetically Encoded Sender–Receiver System in 3D Mammalian Cell Culture</t>
  </si>
  <si>
    <t>Heat-Inducible Gene Expression System by Applying Alternating Magnetic Field to Magnetic Nanoparticles</t>
  </si>
  <si>
    <t>Optogenetic Control of Protein Kinase Activity in Mammalian Cells</t>
  </si>
  <si>
    <t>Biological Noise Abatement: Coordinating the Responses of Autonomous Bacteria in a Synthetic Biofilm to a Fluctuating Environment Using a Stochastic Bistable Switch</t>
  </si>
  <si>
    <t>Engineering Monoterpene Production in Yeast Using a Synthetic Dominant Negative Geranyl Diphosphate Synthase</t>
  </si>
  <si>
    <t>Optimization of a Yeast RNA Interference System for Controlling Gene Expression and Enabling Rapid Metabolic Engineering</t>
  </si>
  <si>
    <t>Yeast Synthetic Biology Platform Generates Novel Chemical Structures as Scaffolds for Drug Discovery</t>
  </si>
  <si>
    <t>MicroRNA-Based Single-Gene Circuits Buffer Protein Synthesis Rates against Perturbations</t>
  </si>
  <si>
    <t>Thrombin-Mediated Transcriptional Regulation Using DNA Aptamers in DNA-Based Cell-Free Protein Synthesis</t>
  </si>
  <si>
    <t>Cell-free Protein Synthesis in a Microchamber Revealed the Presence of an Optimum Compartment Volume for High-order Reactions</t>
  </si>
  <si>
    <t>Direct Polymerization of Proteins</t>
  </si>
  <si>
    <t>Gene Position More Strongly Influences Cell-Free Protein Expression from Operons than T7 Transcriptional Promoter Strength</t>
  </si>
  <si>
    <t>In Vitro Membrane Protein Synthesis Inside Cell-Sized Vesicles Reveals the Dependence of Membrane Protein Integration on Vesicle Volume</t>
  </si>
  <si>
    <t>Annexation of a High-Activity Enzyme in a Synthetic Three-Enzyme Complex Greatly Decreases the Degree of Substrate Channeling</t>
  </si>
  <si>
    <t>Linear DNA for Rapid Prototyping of Synthetic Biological Circuits in an Escherichia coli Based TX-TL Cell-Free System</t>
  </si>
  <si>
    <t>Cell-free Protein Synthesis from a Release Factor 1 Deficient Escherichia coli Activates Efficient and Multiple Site-specific Nonstandard Amino Acid Incorporation</t>
  </si>
  <si>
    <t>Design and Selection of a Synthetic Operon</t>
  </si>
  <si>
    <t>Gene Circuit Performance Characterization and Resource Usage in a Cell-Free “Breadboard"</t>
  </si>
  <si>
    <t>Reconstituted Biosynthesis of the Nonribosomal Macrolactone Antibiotic Valinomycin in Escherichia coli</t>
  </si>
  <si>
    <t>Cloning and Optimization of a Nisin Biosynthesis Pathway for Bacteriocin Harvest</t>
  </si>
  <si>
    <t>Creation of Cellobiose and Xylooligosaccharides-Coutilizing Escherichia coli Displaying both β-Glucosidase and β-Xylosidase on Its Cell Surface</t>
  </si>
  <si>
    <t>Solution Structure of a Bacterial Microcompartment Targeting Peptide and Its Application in the Construction of an Ethanol Bioreactor</t>
  </si>
  <si>
    <t>Microbial Synthesis of Pinene</t>
  </si>
  <si>
    <t>Exploring the Heterologous Genomic Space for Building, Stepwise, Complex, Multicomponent Tolerance to Toxic Chemicals</t>
  </si>
  <si>
    <t>Engineered Platform for Bioethylene Production by a Cyanobacterium Expressing a Chimeric Complex of Plant Enzymes</t>
  </si>
  <si>
    <t>Engineering Bacterial Phenylalanine 4-Hydroxylase for Microbial Synthesis of Human Neurotransmitter Precursor 5-Hydroxytryptophan</t>
  </si>
  <si>
    <t>PR-PR: Cross-Platform Laboratory Automation System</t>
  </si>
  <si>
    <t>R2oDNA Designer: Computational Design of Biologically Neutral Synthetic DNA Sequences</t>
  </si>
  <si>
    <t>Heuristic for Maximizing DNA Reuse in Synthetic DNA Library Assembly</t>
  </si>
  <si>
    <t>Directed Acyclic Graph-Based Technology Mapping of Genetic Circuit Models</t>
  </si>
  <si>
    <t>Optimal Part and Module Selection for Synthetic Gene Circuit Design Automation</t>
  </si>
  <si>
    <t>Retropath: Automated Pipeline for Embedded Metabolic Circuits</t>
  </si>
  <si>
    <t>A Computational Method for Automated Characterization of Genetic Components</t>
  </si>
  <si>
    <t>Negative Autoregulation Matches Production and Demand in Synthetic Transcriptional Networks</t>
  </si>
  <si>
    <t>Computational Design of Nucleic Acid Feedback Control Circuits</t>
  </si>
  <si>
    <t>Load Capacity Improvements in Nucleic Acid Based Systems Using Partially Open Feedback Control</t>
  </si>
  <si>
    <t>Biological 2-Input Decoder Circuit in Human Cells</t>
  </si>
  <si>
    <t>General Applicability of Synthetic Gene-Overexpression for Cell-Type Ratio Control via Reprogramming</t>
  </si>
  <si>
    <t>Modular, Multi-Input Transcriptional Logic Gating with Orthogonal LacI/GalR Family Chimeras</t>
  </si>
  <si>
    <t>Framework for Engineering Finite State Machines in Gene Regulatory Networks</t>
  </si>
  <si>
    <t>Expanding the Logic of Bacterial Promoters Using Engineered Overlapping Operators for Global Regulators</t>
  </si>
  <si>
    <t>Cellular Signaling Circuits Interfaced with Synthetic, Post-Translational, Negating Boolean Logic Devices</t>
  </si>
  <si>
    <t>Strategy Revealing Phenotypic Differences among Synthetic Oscillator Designs</t>
  </si>
  <si>
    <t>Transcription Activator-like Effectors: A Toolkit for Synthetic Biology</t>
  </si>
  <si>
    <t>Development of an Artificial Calcium-Dependent Transcription Factor To Detect Sustained Intracellular Calcium Elevation</t>
  </si>
  <si>
    <t>Regulation of Endogenous Human Gene Expression by Ligand-Inducible TALE Transcription Factors</t>
  </si>
  <si>
    <t>Control of Protein Function through Optochemical Translocation</t>
  </si>
  <si>
    <t>Rule-Based Design of Synthetic Transcription Factors in Eukaryotes</t>
  </si>
  <si>
    <t>Combinatorial Biosynthesis of Cyclic Lipopeptide Antibiotics: A Model for Synthetic Biology To Accelerate the Evolution of Secondary Metabolite Biosynthetic Pathways</t>
  </si>
  <si>
    <t>Modular Construction of a Functional Artificial Epothilone Polyketide Pathway</t>
  </si>
  <si>
    <t>Enhanced Triterpene Accumulation in Panax ginseng Hairy Roots Overexpressing Mevalonate-5-pyrophosphate Decarboxylase and Farnesyl Pyrophosphate Synthase</t>
  </si>
  <si>
    <t>Manipulation of Endogenous Kinase Activity in Living Cells Using Photoswitchable Inhibitory Peptides</t>
  </si>
  <si>
    <t>Orthogonal Optogenetic Triple-Gene Control in Mammalian Cells</t>
  </si>
  <si>
    <t>Near-infrared Light Responsive Synthetic c-di-GMP Module for Optogenetic Applications</t>
  </si>
  <si>
    <t>Biophysical, Mutational, and Functional Investigation of the Chromophore-Binding Pocket of Light-Oxygen-Voltage Photoreceptors</t>
  </si>
  <si>
    <t>Refactoring and Optimization of Light-Switchable Escherichia coli Two-Component Systems</t>
  </si>
  <si>
    <t>Benchmarking of Optical Dimerizer Systems</t>
  </si>
  <si>
    <t>A Golden Gate Modular Cloning Toolbox for Plants</t>
  </si>
  <si>
    <t>Genetic Manipulation of Outer Membrane Permeability: Generating Porous Heterogeneous Catalyst Analogs in Escherichia coli</t>
  </si>
  <si>
    <t>Forcefield_NCAA: Ab Initio Charge Parameters to Aid in the Discovery and Design of Therapeutic Proteins and Peptides with Unnatural Amino Acids and Their Application to Complement Inhibitors of the Compstatin Family</t>
  </si>
  <si>
    <t>Generation of Giant Unilamellar Liposomes Containing Biomacromolecules at Physiological Intracellular Concentrations using Hypertonic Conditions</t>
  </si>
  <si>
    <t>Synthetic Biology of Multicellular Systems: New Platforms and Applications for Animal Cells and Organisms</t>
  </si>
  <si>
    <t>The Rise of Mammals</t>
  </si>
  <si>
    <t>Systematic Transfer of Prokaryotic Sensors and Circuits to Mammalian Cells</t>
  </si>
  <si>
    <t>Modular Extracellular Sensor Architecture for Engineering Mammalian Cell-based Devices</t>
  </si>
  <si>
    <t>A Novel and Stable Mouse Artificial Chromosome Vector</t>
  </si>
  <si>
    <t>Novel Synthetic Medea Selfish Genetic Elements Drive Population Replacement in Drosophila; a Theoretical Exploration of Medea-Dependent Population Suppression</t>
  </si>
  <si>
    <t>Specific Gene Repression by CRISPRi System Transferred through Bacterial Conjugation</t>
  </si>
  <si>
    <t>In Situ Characterization of Mycobacterial Growth Inhibition by Lytic Enzymes Expressed in Vectorized E. coli</t>
  </si>
  <si>
    <t>Ethylene-Producing Bacteria That Ripen Fruit</t>
  </si>
  <si>
    <t>Book Review of Synthetic Biology: A Lab Manual</t>
  </si>
  <si>
    <t>Engineering Bacteria to Form a Biofilm and Induce Clumping in Caenorhabditis elegans</t>
  </si>
  <si>
    <t>Engineering Escherichia coli for Light-Activated Cytolysis of Mammalian Cells</t>
  </si>
  <si>
    <t>Natural LacI from E. coli Yields Faster Response and Higher Level of Expression than the LVA-Tagged LacI</t>
  </si>
  <si>
    <t>A Multiplexed Transcription Activator-like Effector System for Detecting Specific DNA Sequences</t>
  </si>
  <si>
    <t>One Primer To Rule Them All: Universal Primer That Adds BBa_B0034 Ribosomal Binding Site to Any Coding Standard 10 BioBrick</t>
  </si>
  <si>
    <t>Standardization of Functional Reporter and Antibiotic Resistance Cassettes to Facilitate the Genetic Engineering of Filamentous Fungi</t>
  </si>
  <si>
    <t>Detection of Thrombin with an Aptamer-Based Macromolecule Biosensor Using Bacterial Ghost System</t>
  </si>
  <si>
    <t>Owl: Electronic Datasheet Generator</t>
  </si>
  <si>
    <t>Engineered Calcium-Precipitable Restriction Enzyme</t>
  </si>
  <si>
    <t>Solving a Four-Destination Traveling Salesman Problem Using Escherichia coli Cells As Biocomputers</t>
  </si>
  <si>
    <t>Fusion of Pyruvate Decarboxylase and Alcohol Dehydrogenase Increases Ethanol Production in Escherichia coli</t>
  </si>
  <si>
    <t>Quantitatively Relating Gene Expression to Light Intensity via the Serial Connection of Blue Light Sensor and CRISPRi</t>
  </si>
  <si>
    <t>Designing Safety Policies to Meet Evolving Needs: iGEM as a Testbed for Proactive and Adaptive Risk Management</t>
  </si>
  <si>
    <t>Modularized CRISPR/dCas9 Effector Toolkit for Target-Specific Gene Regulation</t>
  </si>
  <si>
    <t>Design and Characterization of a Modular Membrane Protein Anchor to Functionalize the Moss Physcomitrella patens with Extracellular Catalytic and/or Binding Activities</t>
  </si>
  <si>
    <t>Toolkit for Visualization of the Cellular Structure and Organelles in Aspergillus niger</t>
  </si>
  <si>
    <t>Bacillus subtilis Biosensor Engineered To Assess Meat Spoilage</t>
  </si>
  <si>
    <t>Silencing of Antibiotic Resistance in E. coli with Engineered Phage Bearing Small Regulatory RNAs</t>
  </si>
  <si>
    <t>Multistage Regulator Based on Tandem Promoters and CRISPR/Cas</t>
  </si>
  <si>
    <t># Papers</t>
  </si>
  <si>
    <t>Design, Construction, and Characterization of a Set of Biosensors for Aromatic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</si>
</sst>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Roboto"/>
    </font>
    <font>
      <sz val="9"/>
      <color rgb="FF000000"/>
      <name val="&quot;Google Sans Mono&quot;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workbookViewId="0">
      <selection activeCell="B17" sqref="B17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10" t="s">
        <v>1</v>
      </c>
      <c r="C1" s="11"/>
      <c r="D1" s="11"/>
      <c r="E1" s="11"/>
      <c r="F1" s="10" t="s">
        <v>2</v>
      </c>
      <c r="G1" s="11"/>
      <c r="H1" s="11"/>
      <c r="I1" s="11"/>
      <c r="J1" s="11"/>
      <c r="K1" s="11"/>
      <c r="M1" s="10" t="s">
        <v>3</v>
      </c>
      <c r="N1" s="11"/>
      <c r="O1" s="11"/>
      <c r="P1" s="10" t="s">
        <v>4</v>
      </c>
      <c r="Q1" s="11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January!C8</f>
        <v>22</v>
      </c>
      <c r="C3" s="1">
        <f>January!D8</f>
        <v>2</v>
      </c>
      <c r="D3" s="1">
        <f>January!E8</f>
        <v>1</v>
      </c>
      <c r="E3" s="1">
        <f>January!F8</f>
        <v>1</v>
      </c>
      <c r="F3" s="1">
        <f>January!G8</f>
        <v>2</v>
      </c>
      <c r="G3" s="1">
        <f>January!H8</f>
        <v>1</v>
      </c>
      <c r="H3" s="1">
        <f>January!I8</f>
        <v>1</v>
      </c>
      <c r="I3" s="1">
        <f>January!J8</f>
        <v>1</v>
      </c>
      <c r="J3" s="1">
        <f>January!K8</f>
        <v>1</v>
      </c>
      <c r="K3" s="1">
        <f>January!L8</f>
        <v>5</v>
      </c>
      <c r="M3" s="2">
        <f t="shared" ref="M3:O3" si="0">F3/$K3</f>
        <v>0.4</v>
      </c>
      <c r="N3" s="2">
        <f t="shared" si="0"/>
        <v>0.2</v>
      </c>
      <c r="O3" s="2">
        <f t="shared" si="0"/>
        <v>0.2</v>
      </c>
      <c r="P3" s="2">
        <f t="shared" ref="P3:Q3" si="1">G3/$F3</f>
        <v>0.5</v>
      </c>
      <c r="Q3" s="2">
        <f t="shared" si="1"/>
        <v>0.5</v>
      </c>
      <c r="R3" s="2">
        <f t="shared" ref="R3:R15" si="2">I3/F3</f>
        <v>0.5</v>
      </c>
      <c r="S3" s="2">
        <f t="shared" ref="S3:S15" si="3">J3/F3</f>
        <v>0.5</v>
      </c>
      <c r="T3" s="3">
        <f t="shared" ref="T3:T15" si="4">D3/$B3</f>
        <v>4.5454545454545456E-2</v>
      </c>
      <c r="U3" s="3">
        <f t="shared" ref="U3:U15" si="5">D3/C3</f>
        <v>0.5</v>
      </c>
      <c r="V3" s="2">
        <f t="shared" ref="V3:V15" si="6">E3/C3</f>
        <v>0.5</v>
      </c>
    </row>
    <row r="4" spans="1:22" ht="15.75" customHeight="1">
      <c r="A4" s="1" t="s">
        <v>20</v>
      </c>
      <c r="B4" s="1">
        <f>February!C9</f>
        <v>25</v>
      </c>
      <c r="C4" s="1">
        <f>February!D9</f>
        <v>6</v>
      </c>
      <c r="D4" s="1">
        <f>February!E9</f>
        <v>5</v>
      </c>
      <c r="E4" s="1">
        <f>February!F9</f>
        <v>2</v>
      </c>
      <c r="F4" s="1">
        <f>February!G9</f>
        <v>3</v>
      </c>
      <c r="G4" s="1">
        <f>February!H9</f>
        <v>2</v>
      </c>
      <c r="H4" s="1">
        <f>February!I9</f>
        <v>2</v>
      </c>
      <c r="I4" s="1">
        <f>February!J9</f>
        <v>1</v>
      </c>
      <c r="J4" s="1">
        <f>February!K9</f>
        <v>1</v>
      </c>
      <c r="K4" s="1">
        <f>February!L9</f>
        <v>6</v>
      </c>
      <c r="M4" s="2">
        <f t="shared" ref="M4:O4" si="7">F4/$K4</f>
        <v>0.5</v>
      </c>
      <c r="N4" s="2">
        <f t="shared" si="7"/>
        <v>0.33333333333333331</v>
      </c>
      <c r="O4" s="2">
        <f t="shared" si="7"/>
        <v>0.33333333333333331</v>
      </c>
      <c r="P4" s="2">
        <f t="shared" ref="P4:Q4" si="8">G4/$F4</f>
        <v>0.66666666666666663</v>
      </c>
      <c r="Q4" s="2">
        <f t="shared" si="8"/>
        <v>0.66666666666666663</v>
      </c>
      <c r="R4" s="2">
        <f t="shared" si="2"/>
        <v>0.33333333333333331</v>
      </c>
      <c r="S4" s="2">
        <f t="shared" si="3"/>
        <v>0.33333333333333331</v>
      </c>
      <c r="T4" s="3">
        <f t="shared" si="4"/>
        <v>0.2</v>
      </c>
      <c r="U4" s="3">
        <f t="shared" si="5"/>
        <v>0.83333333333333337</v>
      </c>
      <c r="V4" s="2">
        <f t="shared" si="6"/>
        <v>0.33333333333333331</v>
      </c>
    </row>
    <row r="5" spans="1:22" ht="15.75" customHeight="1">
      <c r="A5" s="1" t="s">
        <v>21</v>
      </c>
      <c r="B5" s="1">
        <f>March!C13</f>
        <v>43</v>
      </c>
      <c r="C5" s="1">
        <f>March!D13</f>
        <v>8</v>
      </c>
      <c r="D5" s="1">
        <f>March!E13</f>
        <v>5</v>
      </c>
      <c r="E5" s="1">
        <f>March!F13</f>
        <v>3</v>
      </c>
      <c r="F5" s="1">
        <f>March!G13</f>
        <v>4</v>
      </c>
      <c r="G5" s="1">
        <f>March!H13</f>
        <v>3</v>
      </c>
      <c r="H5" s="1">
        <f>March!I13</f>
        <v>3</v>
      </c>
      <c r="I5" s="1">
        <f>March!J13</f>
        <v>2</v>
      </c>
      <c r="J5" s="1">
        <f>March!K13</f>
        <v>2</v>
      </c>
      <c r="K5" s="1">
        <f>March!L13</f>
        <v>10</v>
      </c>
      <c r="M5" s="2">
        <f t="shared" ref="M5:O5" si="9">F5/$K5</f>
        <v>0.4</v>
      </c>
      <c r="N5" s="2">
        <f t="shared" si="9"/>
        <v>0.3</v>
      </c>
      <c r="O5" s="2">
        <f t="shared" si="9"/>
        <v>0.3</v>
      </c>
      <c r="P5" s="2">
        <f t="shared" ref="P5:Q5" si="10">G5/$F5</f>
        <v>0.75</v>
      </c>
      <c r="Q5" s="2">
        <f t="shared" si="10"/>
        <v>0.75</v>
      </c>
      <c r="R5" s="2">
        <f t="shared" si="2"/>
        <v>0.5</v>
      </c>
      <c r="S5" s="2">
        <f t="shared" si="3"/>
        <v>0.5</v>
      </c>
      <c r="T5" s="3">
        <f t="shared" si="4"/>
        <v>0.11627906976744186</v>
      </c>
      <c r="U5" s="3">
        <f t="shared" si="5"/>
        <v>0.625</v>
      </c>
      <c r="V5" s="2">
        <f t="shared" si="6"/>
        <v>0.375</v>
      </c>
    </row>
    <row r="6" spans="1:22" ht="15.75" customHeight="1">
      <c r="A6" s="1" t="s">
        <v>22</v>
      </c>
      <c r="B6" s="1">
        <f>April!C9</f>
        <v>29</v>
      </c>
      <c r="C6" s="1">
        <f>April!D9</f>
        <v>7</v>
      </c>
      <c r="D6" s="1">
        <f>April!E9</f>
        <v>7</v>
      </c>
      <c r="E6" s="1">
        <f>April!F9</f>
        <v>4</v>
      </c>
      <c r="F6" s="1">
        <f>April!G9</f>
        <v>5</v>
      </c>
      <c r="G6" s="1">
        <f>April!H9</f>
        <v>5</v>
      </c>
      <c r="H6" s="1">
        <f>April!I9</f>
        <v>5</v>
      </c>
      <c r="I6" s="1">
        <f>April!J9</f>
        <v>3</v>
      </c>
      <c r="J6" s="1">
        <f>April!K9</f>
        <v>2</v>
      </c>
      <c r="K6" s="1">
        <f>April!L9</f>
        <v>6</v>
      </c>
      <c r="M6" s="2">
        <f t="shared" ref="M6:O6" si="11">F6/$K6</f>
        <v>0.83333333333333337</v>
      </c>
      <c r="N6" s="2">
        <f t="shared" si="11"/>
        <v>0.83333333333333337</v>
      </c>
      <c r="O6" s="2">
        <f t="shared" si="11"/>
        <v>0.83333333333333337</v>
      </c>
      <c r="P6" s="2">
        <f t="shared" ref="P6:Q6" si="12">G6/$F6</f>
        <v>1</v>
      </c>
      <c r="Q6" s="2">
        <f t="shared" si="12"/>
        <v>1</v>
      </c>
      <c r="R6" s="2">
        <f t="shared" si="2"/>
        <v>0.6</v>
      </c>
      <c r="S6" s="2">
        <f t="shared" si="3"/>
        <v>0.4</v>
      </c>
      <c r="T6" s="3">
        <f t="shared" si="4"/>
        <v>0.2413793103448276</v>
      </c>
      <c r="U6" s="3">
        <f t="shared" si="5"/>
        <v>1</v>
      </c>
      <c r="V6" s="2">
        <f t="shared" si="6"/>
        <v>0.5714285714285714</v>
      </c>
    </row>
    <row r="7" spans="1:22" ht="15.75" customHeight="1">
      <c r="A7" s="1" t="s">
        <v>23</v>
      </c>
      <c r="B7" s="1">
        <f>May!C11</f>
        <v>36</v>
      </c>
      <c r="C7" s="1">
        <f>May!D11</f>
        <v>6</v>
      </c>
      <c r="D7" s="1">
        <f>May!E11</f>
        <v>3</v>
      </c>
      <c r="E7" s="1">
        <f>May!F11</f>
        <v>1</v>
      </c>
      <c r="F7" s="1">
        <f>May!G11</f>
        <v>4</v>
      </c>
      <c r="G7" s="1">
        <f>May!H11</f>
        <v>2</v>
      </c>
      <c r="H7" s="1">
        <f>May!I11</f>
        <v>2</v>
      </c>
      <c r="I7" s="1">
        <f>May!J11</f>
        <v>1</v>
      </c>
      <c r="J7" s="1">
        <f>May!K11</f>
        <v>1</v>
      </c>
      <c r="K7" s="1">
        <f>May!L11</f>
        <v>8</v>
      </c>
      <c r="M7" s="2">
        <f t="shared" ref="M7:O7" si="13">F7/$K7</f>
        <v>0.5</v>
      </c>
      <c r="N7" s="2">
        <f t="shared" si="13"/>
        <v>0.25</v>
      </c>
      <c r="O7" s="2">
        <f t="shared" si="13"/>
        <v>0.25</v>
      </c>
      <c r="P7" s="2">
        <f t="shared" ref="P7:Q7" si="14">G7/$F7</f>
        <v>0.5</v>
      </c>
      <c r="Q7" s="2">
        <f t="shared" si="14"/>
        <v>0.5</v>
      </c>
      <c r="R7" s="2">
        <f t="shared" si="2"/>
        <v>0.25</v>
      </c>
      <c r="S7" s="2">
        <f t="shared" si="3"/>
        <v>0.25</v>
      </c>
      <c r="T7" s="3">
        <f t="shared" si="4"/>
        <v>8.3333333333333329E-2</v>
      </c>
      <c r="U7" s="3">
        <f t="shared" si="5"/>
        <v>0.5</v>
      </c>
      <c r="V7" s="2">
        <f t="shared" si="6"/>
        <v>0.16666666666666666</v>
      </c>
    </row>
    <row r="8" spans="1:22" ht="15.75" customHeight="1">
      <c r="A8" s="1" t="s">
        <v>24</v>
      </c>
      <c r="B8" s="1">
        <f>June!C13</f>
        <v>61</v>
      </c>
      <c r="C8" s="1">
        <f>June!D13</f>
        <v>15</v>
      </c>
      <c r="D8" s="1">
        <f>June!E13</f>
        <v>2</v>
      </c>
      <c r="E8" s="1">
        <f>June!F13</f>
        <v>2</v>
      </c>
      <c r="F8" s="1">
        <f>June!G13</f>
        <v>4</v>
      </c>
      <c r="G8" s="1">
        <f>June!H13</f>
        <v>1</v>
      </c>
      <c r="H8" s="1">
        <f>June!I13</f>
        <v>1</v>
      </c>
      <c r="I8" s="1">
        <f>June!J13</f>
        <v>1</v>
      </c>
      <c r="J8" s="1">
        <f>June!K13</f>
        <v>1</v>
      </c>
      <c r="K8" s="1">
        <f>June!L13</f>
        <v>10</v>
      </c>
      <c r="M8" s="2">
        <f t="shared" ref="M8:O8" si="15">F8/$K8</f>
        <v>0.4</v>
      </c>
      <c r="N8" s="2">
        <f t="shared" si="15"/>
        <v>0.1</v>
      </c>
      <c r="O8" s="2">
        <f t="shared" si="15"/>
        <v>0.1</v>
      </c>
      <c r="P8" s="2">
        <f t="shared" ref="P8:Q8" si="16">G8/$F8</f>
        <v>0.25</v>
      </c>
      <c r="Q8" s="2">
        <f t="shared" si="16"/>
        <v>0.25</v>
      </c>
      <c r="R8" s="2">
        <f t="shared" si="2"/>
        <v>0.25</v>
      </c>
      <c r="S8" s="2">
        <f t="shared" si="3"/>
        <v>0.25</v>
      </c>
      <c r="T8" s="3">
        <f t="shared" si="4"/>
        <v>3.2786885245901641E-2</v>
      </c>
      <c r="U8" s="3">
        <f t="shared" si="5"/>
        <v>0.13333333333333333</v>
      </c>
      <c r="V8" s="2">
        <f t="shared" si="6"/>
        <v>0.13333333333333333</v>
      </c>
    </row>
    <row r="9" spans="1:22" ht="15.75" customHeight="1">
      <c r="A9" s="1" t="s">
        <v>25</v>
      </c>
      <c r="B9" s="1">
        <f>July!C11</f>
        <v>45</v>
      </c>
      <c r="C9" s="1">
        <f>July!D11</f>
        <v>2</v>
      </c>
      <c r="D9" s="1">
        <f>July!E11</f>
        <v>0</v>
      </c>
      <c r="E9" s="1">
        <f>July!F11</f>
        <v>0</v>
      </c>
      <c r="F9" s="1">
        <f>July!G11</f>
        <v>2</v>
      </c>
      <c r="G9" s="1">
        <f>July!H11</f>
        <v>0</v>
      </c>
      <c r="H9" s="1">
        <f>July!I11</f>
        <v>0</v>
      </c>
      <c r="I9" s="1">
        <f>July!J11</f>
        <v>0</v>
      </c>
      <c r="J9" s="1">
        <f>July!K11</f>
        <v>0</v>
      </c>
      <c r="K9" s="1">
        <f>July!L11</f>
        <v>8</v>
      </c>
      <c r="M9" s="2">
        <f t="shared" ref="M9:O9" si="17">F9/$K9</f>
        <v>0.25</v>
      </c>
      <c r="N9" s="2">
        <f t="shared" si="17"/>
        <v>0</v>
      </c>
      <c r="O9" s="2">
        <f t="shared" si="17"/>
        <v>0</v>
      </c>
      <c r="P9" s="2">
        <f t="shared" ref="P9:Q9" si="18">G9/$F9</f>
        <v>0</v>
      </c>
      <c r="Q9" s="2">
        <f t="shared" si="18"/>
        <v>0</v>
      </c>
      <c r="R9" s="2">
        <f t="shared" si="2"/>
        <v>0</v>
      </c>
      <c r="S9" s="2">
        <f t="shared" si="3"/>
        <v>0</v>
      </c>
      <c r="T9" s="3">
        <f t="shared" si="4"/>
        <v>0</v>
      </c>
      <c r="U9" s="3">
        <f t="shared" si="5"/>
        <v>0</v>
      </c>
      <c r="V9" s="2">
        <f t="shared" si="6"/>
        <v>0</v>
      </c>
    </row>
    <row r="10" spans="1:22" ht="15.75" customHeight="1">
      <c r="A10" s="1" t="s">
        <v>26</v>
      </c>
      <c r="B10" s="1">
        <f>August!C14</f>
        <v>77</v>
      </c>
      <c r="C10" s="1">
        <f>August!D14</f>
        <v>9</v>
      </c>
      <c r="D10" s="1">
        <f>August!E14</f>
        <v>5</v>
      </c>
      <c r="E10" s="1">
        <f>August!F14</f>
        <v>3</v>
      </c>
      <c r="F10" s="1">
        <f>August!G14</f>
        <v>6</v>
      </c>
      <c r="G10" s="1">
        <f>August!H14</f>
        <v>3</v>
      </c>
      <c r="H10" s="1">
        <f>August!I14</f>
        <v>3</v>
      </c>
      <c r="I10" s="1">
        <f>August!J14</f>
        <v>2</v>
      </c>
      <c r="J10" s="1">
        <f>August!K14</f>
        <v>1</v>
      </c>
      <c r="K10" s="1">
        <f>August!L14</f>
        <v>11</v>
      </c>
      <c r="M10" s="2">
        <f t="shared" ref="M10:O10" si="19">F10/$K10</f>
        <v>0.54545454545454541</v>
      </c>
      <c r="N10" s="2">
        <f t="shared" si="19"/>
        <v>0.27272727272727271</v>
      </c>
      <c r="O10" s="2">
        <f t="shared" si="19"/>
        <v>0.27272727272727271</v>
      </c>
      <c r="P10" s="2">
        <f t="shared" ref="P10:Q10" si="20">G10/$F10</f>
        <v>0.5</v>
      </c>
      <c r="Q10" s="2">
        <f t="shared" si="20"/>
        <v>0.5</v>
      </c>
      <c r="R10" s="2">
        <f t="shared" si="2"/>
        <v>0.33333333333333331</v>
      </c>
      <c r="S10" s="2">
        <f t="shared" si="3"/>
        <v>0.16666666666666666</v>
      </c>
      <c r="T10" s="3">
        <f t="shared" si="4"/>
        <v>6.4935064935064929E-2</v>
      </c>
      <c r="U10" s="3">
        <f t="shared" si="5"/>
        <v>0.55555555555555558</v>
      </c>
      <c r="V10" s="2">
        <f t="shared" si="6"/>
        <v>0.33333333333333331</v>
      </c>
    </row>
    <row r="11" spans="1:22" ht="15.75" customHeight="1">
      <c r="A11" s="1" t="s">
        <v>27</v>
      </c>
      <c r="B11" s="1">
        <f>September!C9</f>
        <v>38</v>
      </c>
      <c r="C11" s="1">
        <f>September!D9</f>
        <v>9</v>
      </c>
      <c r="D11" s="1">
        <f>September!E9</f>
        <v>4</v>
      </c>
      <c r="E11" s="1">
        <f>September!F9</f>
        <v>1</v>
      </c>
      <c r="F11" s="1">
        <f>September!G9</f>
        <v>3</v>
      </c>
      <c r="G11" s="1">
        <f>September!H9</f>
        <v>2</v>
      </c>
      <c r="H11" s="1">
        <f>September!I9</f>
        <v>2</v>
      </c>
      <c r="I11" s="1">
        <f>September!J9</f>
        <v>1</v>
      </c>
      <c r="J11" s="1">
        <f>September!K9</f>
        <v>0</v>
      </c>
      <c r="K11" s="1">
        <f>September!L9</f>
        <v>6</v>
      </c>
      <c r="M11" s="2">
        <f t="shared" ref="M11:O11" si="21">F11/$K11</f>
        <v>0.5</v>
      </c>
      <c r="N11" s="2">
        <f t="shared" si="21"/>
        <v>0.33333333333333331</v>
      </c>
      <c r="O11" s="2">
        <f t="shared" si="21"/>
        <v>0.33333333333333331</v>
      </c>
      <c r="P11" s="2">
        <f t="shared" ref="P11:Q11" si="22">G11/$F11</f>
        <v>0.66666666666666663</v>
      </c>
      <c r="Q11" s="2">
        <f t="shared" si="22"/>
        <v>0.66666666666666663</v>
      </c>
      <c r="R11" s="2">
        <f t="shared" si="2"/>
        <v>0.33333333333333331</v>
      </c>
      <c r="S11" s="2">
        <f t="shared" si="3"/>
        <v>0</v>
      </c>
      <c r="T11" s="3">
        <f t="shared" si="4"/>
        <v>0.10526315789473684</v>
      </c>
      <c r="U11" s="3">
        <f t="shared" si="5"/>
        <v>0.44444444444444442</v>
      </c>
      <c r="V11" s="2">
        <f t="shared" si="6"/>
        <v>0.1111111111111111</v>
      </c>
    </row>
    <row r="12" spans="1:22" ht="15.75" customHeight="1">
      <c r="A12" s="1" t="s">
        <v>28</v>
      </c>
      <c r="B12" s="1">
        <f>October!C11</f>
        <v>33</v>
      </c>
      <c r="C12" s="1">
        <f>October!D11</f>
        <v>9</v>
      </c>
      <c r="D12" s="1">
        <f>October!E11</f>
        <v>5</v>
      </c>
      <c r="E12" s="1">
        <f>October!F11</f>
        <v>0</v>
      </c>
      <c r="F12" s="1">
        <f>October!G11</f>
        <v>4</v>
      </c>
      <c r="G12" s="1">
        <f>October!H11</f>
        <v>3</v>
      </c>
      <c r="H12" s="1">
        <f>October!I11</f>
        <v>2</v>
      </c>
      <c r="I12" s="1">
        <f>October!J11</f>
        <v>0</v>
      </c>
      <c r="J12" s="1">
        <f>October!K11</f>
        <v>0</v>
      </c>
      <c r="K12" s="1">
        <f>October!L11</f>
        <v>8</v>
      </c>
      <c r="M12" s="2">
        <f t="shared" ref="M12:O12" si="23">F12/$K12</f>
        <v>0.5</v>
      </c>
      <c r="N12" s="2">
        <f t="shared" si="23"/>
        <v>0.375</v>
      </c>
      <c r="O12" s="2">
        <f t="shared" si="23"/>
        <v>0.25</v>
      </c>
      <c r="P12" s="2">
        <f t="shared" ref="P12:Q12" si="24">G12/$F12</f>
        <v>0.75</v>
      </c>
      <c r="Q12" s="2">
        <f t="shared" si="24"/>
        <v>0.5</v>
      </c>
      <c r="R12" s="2">
        <f t="shared" si="2"/>
        <v>0</v>
      </c>
      <c r="S12" s="2">
        <f t="shared" si="3"/>
        <v>0</v>
      </c>
      <c r="T12" s="3">
        <f t="shared" si="4"/>
        <v>0.15151515151515152</v>
      </c>
      <c r="U12" s="3">
        <f t="shared" si="5"/>
        <v>0.55555555555555558</v>
      </c>
      <c r="V12" s="2">
        <f t="shared" si="6"/>
        <v>0</v>
      </c>
    </row>
    <row r="13" spans="1:22" ht="15.75" customHeight="1">
      <c r="A13" s="1" t="s">
        <v>29</v>
      </c>
      <c r="B13" s="1">
        <f>November!C10</f>
        <v>33</v>
      </c>
      <c r="C13" s="1">
        <f>November!D10</f>
        <v>8</v>
      </c>
      <c r="D13" s="1">
        <f>November!E10</f>
        <v>7</v>
      </c>
      <c r="E13" s="1">
        <f>November!F10</f>
        <v>5</v>
      </c>
      <c r="F13" s="1">
        <f>November!G10</f>
        <v>4</v>
      </c>
      <c r="G13" s="1">
        <f>November!H10</f>
        <v>3</v>
      </c>
      <c r="H13" s="1">
        <f>November!I10</f>
        <v>3</v>
      </c>
      <c r="I13" s="1">
        <f>November!J10</f>
        <v>3</v>
      </c>
      <c r="J13" s="1">
        <f>November!K10</f>
        <v>1</v>
      </c>
      <c r="K13" s="1">
        <f>November!L10</f>
        <v>7</v>
      </c>
      <c r="M13" s="2">
        <f t="shared" ref="M13:O13" si="25">F13/$K13</f>
        <v>0.5714285714285714</v>
      </c>
      <c r="N13" s="2">
        <f t="shared" si="25"/>
        <v>0.42857142857142855</v>
      </c>
      <c r="O13" s="2">
        <f t="shared" si="25"/>
        <v>0.42857142857142855</v>
      </c>
      <c r="P13" s="2">
        <f t="shared" ref="P13:Q13" si="26">G13/$F13</f>
        <v>0.75</v>
      </c>
      <c r="Q13" s="2">
        <f t="shared" si="26"/>
        <v>0.75</v>
      </c>
      <c r="R13" s="2">
        <f t="shared" si="2"/>
        <v>0.75</v>
      </c>
      <c r="S13" s="2">
        <f t="shared" si="3"/>
        <v>0.25</v>
      </c>
      <c r="T13" s="3">
        <f t="shared" si="4"/>
        <v>0.21212121212121213</v>
      </c>
      <c r="U13" s="3">
        <f t="shared" si="5"/>
        <v>0.875</v>
      </c>
      <c r="V13" s="2">
        <f t="shared" si="6"/>
        <v>0.625</v>
      </c>
    </row>
    <row r="14" spans="1:22" ht="15.75" customHeight="1">
      <c r="A14" s="1" t="s">
        <v>30</v>
      </c>
      <c r="B14" s="1">
        <f>December!C35</f>
        <v>3</v>
      </c>
      <c r="C14" s="1">
        <f>December!D35</f>
        <v>3</v>
      </c>
      <c r="D14" s="1">
        <f>December!E35</f>
        <v>0</v>
      </c>
      <c r="E14" s="1">
        <f>December!F35</f>
        <v>0</v>
      </c>
      <c r="F14" s="1">
        <f>December!G35</f>
        <v>17</v>
      </c>
      <c r="G14" s="1">
        <f>December!H35</f>
        <v>6</v>
      </c>
      <c r="H14" s="1">
        <f>December!I35</f>
        <v>5</v>
      </c>
      <c r="I14" s="1">
        <f>December!J35</f>
        <v>3</v>
      </c>
      <c r="J14" s="1">
        <f>December!K35</f>
        <v>3</v>
      </c>
      <c r="K14" s="1">
        <f>December!L35</f>
        <v>32</v>
      </c>
      <c r="M14" s="2">
        <f t="shared" ref="M14:O14" si="27">F14/$K14</f>
        <v>0.53125</v>
      </c>
      <c r="N14" s="2">
        <f t="shared" si="27"/>
        <v>0.1875</v>
      </c>
      <c r="O14" s="2">
        <f t="shared" si="27"/>
        <v>0.15625</v>
      </c>
      <c r="P14" s="2">
        <f t="shared" ref="P14:Q14" si="28">G14/$F14</f>
        <v>0.35294117647058826</v>
      </c>
      <c r="Q14" s="2">
        <f t="shared" si="28"/>
        <v>0.29411764705882354</v>
      </c>
      <c r="R14" s="2">
        <f t="shared" si="2"/>
        <v>0.17647058823529413</v>
      </c>
      <c r="S14" s="2">
        <f t="shared" si="3"/>
        <v>0.17647058823529413</v>
      </c>
      <c r="T14" s="3">
        <f t="shared" si="4"/>
        <v>0</v>
      </c>
      <c r="U14" s="3">
        <f t="shared" si="5"/>
        <v>0</v>
      </c>
      <c r="V14" s="2">
        <f t="shared" si="6"/>
        <v>0</v>
      </c>
    </row>
    <row r="15" spans="1:22" ht="15.75" customHeight="1">
      <c r="A15" s="1" t="s">
        <v>31</v>
      </c>
      <c r="B15" s="1">
        <f t="shared" ref="B15:K15" si="29">SUM(B3:B14)</f>
        <v>445</v>
      </c>
      <c r="C15" s="1">
        <f t="shared" si="29"/>
        <v>84</v>
      </c>
      <c r="D15" s="1">
        <f t="shared" si="29"/>
        <v>44</v>
      </c>
      <c r="E15" s="1">
        <f t="shared" si="29"/>
        <v>22</v>
      </c>
      <c r="F15" s="1">
        <f t="shared" si="29"/>
        <v>58</v>
      </c>
      <c r="G15" s="1">
        <f t="shared" si="29"/>
        <v>31</v>
      </c>
      <c r="H15" s="1">
        <f t="shared" si="29"/>
        <v>29</v>
      </c>
      <c r="I15" s="1">
        <f t="shared" si="29"/>
        <v>18</v>
      </c>
      <c r="J15" s="1">
        <f t="shared" si="29"/>
        <v>13</v>
      </c>
      <c r="K15" s="1">
        <f t="shared" si="29"/>
        <v>117</v>
      </c>
      <c r="M15" s="2">
        <f t="shared" ref="M15:O15" si="30">F15/$K15</f>
        <v>0.49572649572649574</v>
      </c>
      <c r="N15" s="2">
        <f t="shared" si="30"/>
        <v>0.26495726495726496</v>
      </c>
      <c r="O15" s="2">
        <f t="shared" si="30"/>
        <v>0.24786324786324787</v>
      </c>
      <c r="P15" s="2">
        <f t="shared" ref="P15:Q15" si="31">G15/$F15</f>
        <v>0.53448275862068961</v>
      </c>
      <c r="Q15" s="2">
        <f t="shared" si="31"/>
        <v>0.5</v>
      </c>
      <c r="R15" s="2">
        <f t="shared" si="2"/>
        <v>0.31034482758620691</v>
      </c>
      <c r="S15" s="2">
        <f t="shared" si="3"/>
        <v>0.22413793103448276</v>
      </c>
      <c r="T15" s="3">
        <f t="shared" si="4"/>
        <v>9.8876404494382023E-2</v>
      </c>
      <c r="U15" s="3">
        <f t="shared" si="5"/>
        <v>0.52380952380952384</v>
      </c>
      <c r="V15" s="2">
        <f t="shared" si="6"/>
        <v>0.26190476190476192</v>
      </c>
    </row>
    <row r="17" spans="2:2" ht="15.75" customHeight="1">
      <c r="B1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1"/>
  <sheetViews>
    <sheetView workbookViewId="0">
      <selection activeCell="G6" sqref="G6:K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43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44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6" si="0">D4&gt;0</f>
        <v>0</v>
      </c>
      <c r="H4" s="1" t="b">
        <f t="shared" ref="H4:H6" si="1">E4&gt;0</f>
        <v>0</v>
      </c>
      <c r="I4" s="1" t="b">
        <f t="shared" ref="I4:I6" si="2">AND(G4,(D4=E4))</f>
        <v>0</v>
      </c>
      <c r="J4" s="1" t="b">
        <f t="shared" ref="J4:J6" si="3">F4&gt;0</f>
        <v>0</v>
      </c>
      <c r="K4" s="1" t="b">
        <f t="shared" ref="K4:K6" si="4">AND(I4,(E4=F4))</f>
        <v>0</v>
      </c>
    </row>
    <row r="5" spans="1:12" ht="15.75" customHeight="1">
      <c r="A5" s="5" t="s">
        <v>45</v>
      </c>
      <c r="B5" s="1"/>
      <c r="C5" s="1">
        <v>5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2" ht="15.75" customHeight="1">
      <c r="A6" s="1" t="s">
        <v>46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47</v>
      </c>
      <c r="B7" s="1"/>
      <c r="C7" s="1">
        <v>3</v>
      </c>
      <c r="D7" s="1">
        <v>1</v>
      </c>
      <c r="E7" s="1">
        <v>0</v>
      </c>
      <c r="F7" s="1">
        <v>0</v>
      </c>
      <c r="G7" s="1" t="b">
        <f t="shared" ref="G7" si="5">D7&gt;0</f>
        <v>1</v>
      </c>
      <c r="H7" s="1" t="b">
        <f t="shared" ref="H7" si="6">E7&gt;0</f>
        <v>0</v>
      </c>
      <c r="I7" s="1" t="b">
        <f t="shared" ref="I7" si="7">AND(G7,(D7=E7))</f>
        <v>0</v>
      </c>
      <c r="J7" s="1" t="b">
        <f t="shared" ref="J7" si="8">F7&gt;0</f>
        <v>0</v>
      </c>
      <c r="K7" s="1" t="b">
        <f t="shared" ref="K7" si="9">AND(I7,(E7=F7))</f>
        <v>0</v>
      </c>
    </row>
    <row r="8" spans="1:12" ht="15.75" customHeight="1">
      <c r="B8" s="1" t="s">
        <v>48</v>
      </c>
      <c r="C8" s="1">
        <f t="shared" ref="C8:F8" si="10">SUM(C2:C7)</f>
        <v>22</v>
      </c>
      <c r="D8" s="1">
        <f t="shared" si="10"/>
        <v>2</v>
      </c>
      <c r="E8" s="1">
        <f t="shared" si="10"/>
        <v>1</v>
      </c>
      <c r="F8" s="1">
        <f t="shared" si="10"/>
        <v>1</v>
      </c>
      <c r="G8" s="1">
        <f t="shared" ref="G8:K8" si="11">COUNTIF(G3:G7,"TRUE")</f>
        <v>2</v>
      </c>
      <c r="H8" s="1">
        <f t="shared" si="11"/>
        <v>1</v>
      </c>
      <c r="I8" s="1">
        <f t="shared" si="11"/>
        <v>1</v>
      </c>
      <c r="J8" s="1">
        <f t="shared" si="11"/>
        <v>1</v>
      </c>
      <c r="K8" s="1">
        <f t="shared" si="11"/>
        <v>1</v>
      </c>
      <c r="L8" s="6">
        <f>COUNTA(E3:E7)</f>
        <v>5</v>
      </c>
    </row>
    <row r="9" spans="1:12" ht="15.75" customHeight="1">
      <c r="E9" s="1" t="s">
        <v>3</v>
      </c>
      <c r="F9" s="2"/>
      <c r="G9" s="2">
        <f>G8/L8</f>
        <v>0.4</v>
      </c>
      <c r="H9" s="2">
        <f>H8/L8</f>
        <v>0.2</v>
      </c>
      <c r="I9" s="2">
        <f>I8/L8</f>
        <v>0.2</v>
      </c>
      <c r="J9" s="2">
        <f>J8/L8</f>
        <v>0.2</v>
      </c>
      <c r="K9" s="2">
        <f>K8/L8</f>
        <v>0.2</v>
      </c>
    </row>
    <row r="10" spans="1:12" ht="15.75" customHeight="1">
      <c r="E10" s="1" t="s">
        <v>49</v>
      </c>
      <c r="F10" s="2"/>
      <c r="G10" s="2"/>
      <c r="H10" s="2">
        <f>H8/G8</f>
        <v>0.5</v>
      </c>
      <c r="I10" s="2">
        <f>I8/G8</f>
        <v>0.5</v>
      </c>
      <c r="J10" s="2">
        <f>J8/G8</f>
        <v>0.5</v>
      </c>
      <c r="K10" s="2">
        <f>K8/G8</f>
        <v>0.5</v>
      </c>
    </row>
    <row r="11" spans="1:12" ht="15.75" customHeight="1">
      <c r="E11" s="1" t="s">
        <v>50</v>
      </c>
      <c r="F11" s="2"/>
      <c r="G11" s="2">
        <f>E8/C8</f>
        <v>4.5454545454545456E-2</v>
      </c>
      <c r="H11" s="2">
        <f>E8/D8</f>
        <v>0.5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2"/>
  <sheetViews>
    <sheetView workbookViewId="0">
      <selection activeCell="G3" sqref="G3:K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51</v>
      </c>
      <c r="B3" s="1"/>
      <c r="C3" s="1">
        <v>7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52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8" si="0">D4&gt;0</f>
        <v>0</v>
      </c>
      <c r="H4" s="1" t="b">
        <f t="shared" ref="H4:H8" si="1">E4&gt;0</f>
        <v>0</v>
      </c>
      <c r="I4" s="1" t="b">
        <f t="shared" ref="I4:I8" si="2">AND(G4,(D4=E4))</f>
        <v>0</v>
      </c>
      <c r="J4" s="1" t="b">
        <f t="shared" ref="J4:J8" si="3">F4&gt;0</f>
        <v>0</v>
      </c>
      <c r="K4" s="1" t="b">
        <f t="shared" ref="K4:K8" si="4">AND(I4,(E4=F4))</f>
        <v>0</v>
      </c>
    </row>
    <row r="5" spans="1:12" ht="15.75" customHeight="1">
      <c r="A5" s="1" t="s">
        <v>53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54</v>
      </c>
      <c r="B6" s="1"/>
      <c r="C6" s="1">
        <v>4</v>
      </c>
      <c r="D6" s="1">
        <v>3</v>
      </c>
      <c r="E6" s="1">
        <v>3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55</v>
      </c>
      <c r="B7" s="1"/>
      <c r="C7" s="1">
        <v>3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56</v>
      </c>
      <c r="B8" s="1"/>
      <c r="C8" s="1">
        <v>4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48</v>
      </c>
      <c r="C9" s="1">
        <f t="shared" ref="C9:F9" si="5">SUM(C2:C8)</f>
        <v>25</v>
      </c>
      <c r="D9" s="1">
        <f t="shared" si="5"/>
        <v>6</v>
      </c>
      <c r="E9" s="1">
        <f t="shared" si="5"/>
        <v>5</v>
      </c>
      <c r="F9" s="1">
        <f t="shared" si="5"/>
        <v>2</v>
      </c>
      <c r="G9" s="1">
        <f t="shared" ref="G9:K9" si="6">COUNTIF(G3:G8,"TRUE")</f>
        <v>3</v>
      </c>
      <c r="H9" s="1">
        <f t="shared" si="6"/>
        <v>2</v>
      </c>
      <c r="I9" s="1">
        <f t="shared" si="6"/>
        <v>2</v>
      </c>
      <c r="J9" s="1">
        <f t="shared" si="6"/>
        <v>1</v>
      </c>
      <c r="K9" s="1">
        <f t="shared" si="6"/>
        <v>1</v>
      </c>
      <c r="L9" s="6">
        <f>COUNTA(E3:E8)</f>
        <v>6</v>
      </c>
    </row>
    <row r="10" spans="1:12" ht="15.75" customHeight="1">
      <c r="E10" s="1" t="s">
        <v>3</v>
      </c>
      <c r="F10" s="2"/>
      <c r="G10" s="2">
        <f>G9/L9</f>
        <v>0.5</v>
      </c>
      <c r="H10" s="2">
        <f>H9/L9</f>
        <v>0.33333333333333331</v>
      </c>
      <c r="I10" s="2">
        <f>I9/L9</f>
        <v>0.33333333333333331</v>
      </c>
      <c r="J10" s="2">
        <f>J9/L9</f>
        <v>0.16666666666666666</v>
      </c>
      <c r="K10" s="2">
        <f>K9/L9</f>
        <v>0.16666666666666666</v>
      </c>
    </row>
    <row r="11" spans="1:12" ht="15.75" customHeight="1">
      <c r="E11" s="1" t="s">
        <v>49</v>
      </c>
      <c r="F11" s="2"/>
      <c r="G11" s="2"/>
      <c r="H11" s="2">
        <f>H9/G9</f>
        <v>0.66666666666666663</v>
      </c>
      <c r="I11" s="2">
        <f>I9/G9</f>
        <v>0.66666666666666663</v>
      </c>
      <c r="J11" s="2">
        <f>J9/G9</f>
        <v>0.33333333333333331</v>
      </c>
      <c r="K11" s="2">
        <f>K9/G9</f>
        <v>0.33333333333333331</v>
      </c>
    </row>
    <row r="12" spans="1:12" ht="15.75" customHeight="1">
      <c r="E12" s="1" t="s">
        <v>50</v>
      </c>
      <c r="F12" s="2"/>
      <c r="G12" s="2">
        <f>E9/C9</f>
        <v>0.2</v>
      </c>
      <c r="H12" s="2">
        <f>E9/D9</f>
        <v>0.83333333333333337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6"/>
  <sheetViews>
    <sheetView workbookViewId="0">
      <selection activeCell="G3" sqref="G3:K1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57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58</v>
      </c>
      <c r="B4" s="1"/>
      <c r="C4" s="1">
        <v>4</v>
      </c>
      <c r="D4" s="1">
        <v>1</v>
      </c>
      <c r="E4" s="1">
        <v>1</v>
      </c>
      <c r="F4" s="1">
        <v>1</v>
      </c>
      <c r="G4" s="1" t="b">
        <f t="shared" ref="G4:G12" si="0">D4&gt;0</f>
        <v>1</v>
      </c>
      <c r="H4" s="1" t="b">
        <f t="shared" ref="H4:H12" si="1">E4&gt;0</f>
        <v>1</v>
      </c>
      <c r="I4" s="1" t="b">
        <f t="shared" ref="I4:I12" si="2">AND(G4,(D4=E4))</f>
        <v>1</v>
      </c>
      <c r="J4" s="1" t="b">
        <f t="shared" ref="J4:J12" si="3">F4&gt;0</f>
        <v>1</v>
      </c>
      <c r="K4" s="1" t="b">
        <f t="shared" ref="K4:K12" si="4">AND(I4,(E4=F4))</f>
        <v>1</v>
      </c>
    </row>
    <row r="5" spans="1:12" ht="15.75" customHeight="1">
      <c r="A5" s="1" t="s">
        <v>59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60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61</v>
      </c>
      <c r="B7" s="1"/>
      <c r="C7" s="1">
        <v>7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62</v>
      </c>
      <c r="B8" s="1"/>
      <c r="C8" s="1">
        <v>7</v>
      </c>
      <c r="D8" s="1">
        <v>2</v>
      </c>
      <c r="E8" s="1">
        <v>2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63</v>
      </c>
      <c r="B9" s="1"/>
      <c r="C9" s="1">
        <v>6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64</v>
      </c>
      <c r="B10" s="1"/>
      <c r="C10" s="1">
        <v>3</v>
      </c>
      <c r="D10" s="1">
        <v>3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65</v>
      </c>
      <c r="B11" s="1"/>
      <c r="C11" s="1">
        <v>2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66</v>
      </c>
      <c r="B12" s="1"/>
      <c r="C12" s="1">
        <v>2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B13" s="1" t="s">
        <v>48</v>
      </c>
      <c r="C13" s="1">
        <f t="shared" ref="C13:F13" si="5">SUM(C2:C12)</f>
        <v>43</v>
      </c>
      <c r="D13" s="1">
        <f t="shared" si="5"/>
        <v>8</v>
      </c>
      <c r="E13" s="1">
        <f t="shared" si="5"/>
        <v>5</v>
      </c>
      <c r="F13" s="1">
        <f t="shared" si="5"/>
        <v>3</v>
      </c>
      <c r="G13" s="1">
        <f t="shared" ref="G13:K13" si="6">COUNTIF(G3:G12,"TRUE")</f>
        <v>4</v>
      </c>
      <c r="H13" s="1">
        <f t="shared" si="6"/>
        <v>3</v>
      </c>
      <c r="I13" s="1">
        <f t="shared" si="6"/>
        <v>3</v>
      </c>
      <c r="J13" s="1">
        <f t="shared" si="6"/>
        <v>2</v>
      </c>
      <c r="K13" s="1">
        <f t="shared" si="6"/>
        <v>2</v>
      </c>
      <c r="L13" s="6">
        <f>COUNTA(E3:E12)</f>
        <v>10</v>
      </c>
    </row>
    <row r="14" spans="1:12" ht="15.75" customHeight="1">
      <c r="E14" s="1" t="s">
        <v>3</v>
      </c>
      <c r="F14" s="2"/>
      <c r="G14" s="2">
        <f>G13/L13</f>
        <v>0.4</v>
      </c>
      <c r="H14" s="2">
        <f>H13/L13</f>
        <v>0.3</v>
      </c>
      <c r="I14" s="2">
        <f>I13/L13</f>
        <v>0.3</v>
      </c>
      <c r="J14" s="2">
        <f>J13/L13</f>
        <v>0.2</v>
      </c>
      <c r="K14" s="2">
        <f>K13/L13</f>
        <v>0.2</v>
      </c>
    </row>
    <row r="15" spans="1:12" ht="15.75" customHeight="1">
      <c r="E15" s="1" t="s">
        <v>49</v>
      </c>
      <c r="F15" s="2"/>
      <c r="G15" s="2"/>
      <c r="H15" s="2">
        <f>H13/G13</f>
        <v>0.75</v>
      </c>
      <c r="I15" s="2">
        <f>I13/G13</f>
        <v>0.75</v>
      </c>
      <c r="J15" s="2">
        <f>J13/G13</f>
        <v>0.5</v>
      </c>
      <c r="K15" s="2">
        <f>K13/G13</f>
        <v>0.5</v>
      </c>
    </row>
    <row r="16" spans="1:12" ht="15.75" customHeight="1">
      <c r="E16" s="1" t="s">
        <v>50</v>
      </c>
      <c r="F16" s="2"/>
      <c r="G16" s="2">
        <f>E13/C13</f>
        <v>0.11627906976744186</v>
      </c>
      <c r="H16" s="2">
        <f>E13/D13</f>
        <v>0.625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2"/>
  <sheetViews>
    <sheetView workbookViewId="0">
      <selection activeCell="G3" sqref="G3:K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67</v>
      </c>
      <c r="B3" s="1"/>
      <c r="C3" s="1">
        <v>4</v>
      </c>
      <c r="D3" s="1">
        <v>2</v>
      </c>
      <c r="E3" s="1">
        <v>2</v>
      </c>
      <c r="F3" s="1">
        <v>2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F3&gt;0</f>
        <v>1</v>
      </c>
      <c r="K3" s="1" t="b">
        <f>AND(I3,(E3=F3))</f>
        <v>1</v>
      </c>
    </row>
    <row r="4" spans="1:12" ht="15.75" customHeight="1">
      <c r="A4" s="1" t="s">
        <v>68</v>
      </c>
      <c r="B4" s="1"/>
      <c r="C4" s="1">
        <v>5</v>
      </c>
      <c r="D4" s="1">
        <v>1</v>
      </c>
      <c r="E4" s="1">
        <v>1</v>
      </c>
      <c r="F4" s="1">
        <v>0</v>
      </c>
      <c r="G4" s="1" t="b">
        <f t="shared" ref="G4:G8" si="0">D4&gt;0</f>
        <v>1</v>
      </c>
      <c r="H4" s="1" t="b">
        <f t="shared" ref="H4:H8" si="1">E4&gt;0</f>
        <v>1</v>
      </c>
      <c r="I4" s="1" t="b">
        <f t="shared" ref="I4:I8" si="2">AND(G4,(D4=E4))</f>
        <v>1</v>
      </c>
      <c r="J4" s="1" t="b">
        <f t="shared" ref="J4:J8" si="3">F4&gt;0</f>
        <v>0</v>
      </c>
      <c r="K4" s="1" t="b">
        <f t="shared" ref="K4:K8" si="4">AND(I4,(E4=F4))</f>
        <v>0</v>
      </c>
    </row>
    <row r="5" spans="1:12" ht="15.75" customHeight="1">
      <c r="A5" s="1" t="s">
        <v>69</v>
      </c>
      <c r="B5" s="1"/>
      <c r="C5" s="1">
        <v>4</v>
      </c>
      <c r="D5" s="1">
        <v>2</v>
      </c>
      <c r="E5" s="1">
        <v>2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0</v>
      </c>
    </row>
    <row r="6" spans="1:12" ht="15.75" customHeight="1">
      <c r="A6" s="1" t="s">
        <v>70</v>
      </c>
      <c r="B6" s="1"/>
      <c r="C6" s="1">
        <v>5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2" ht="15.75" customHeight="1">
      <c r="A7" s="1" t="s">
        <v>71</v>
      </c>
      <c r="B7" s="1"/>
      <c r="C7" s="1">
        <v>5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72</v>
      </c>
      <c r="B8" s="1"/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48</v>
      </c>
      <c r="C9" s="1">
        <f t="shared" ref="C9:F9" si="5">SUM(C2:C8)</f>
        <v>29</v>
      </c>
      <c r="D9" s="1">
        <f t="shared" si="5"/>
        <v>7</v>
      </c>
      <c r="E9" s="1">
        <f t="shared" si="5"/>
        <v>7</v>
      </c>
      <c r="F9" s="1">
        <f t="shared" si="5"/>
        <v>4</v>
      </c>
      <c r="G9" s="1">
        <f t="shared" ref="G9:K9" si="6">COUNTIF(G3:G8,"TRUE")</f>
        <v>5</v>
      </c>
      <c r="H9" s="1">
        <f t="shared" si="6"/>
        <v>5</v>
      </c>
      <c r="I9" s="1">
        <f t="shared" si="6"/>
        <v>5</v>
      </c>
      <c r="J9" s="1">
        <f t="shared" si="6"/>
        <v>3</v>
      </c>
      <c r="K9" s="1">
        <f t="shared" si="6"/>
        <v>2</v>
      </c>
      <c r="L9" s="6">
        <f>COUNTA(E3:E8)</f>
        <v>6</v>
      </c>
    </row>
    <row r="10" spans="1:12" ht="15.75" customHeight="1">
      <c r="E10" s="1" t="s">
        <v>3</v>
      </c>
      <c r="F10" s="2"/>
      <c r="G10" s="2">
        <f>G9/L9</f>
        <v>0.83333333333333337</v>
      </c>
      <c r="H10" s="2">
        <f>H9/L9</f>
        <v>0.83333333333333337</v>
      </c>
      <c r="I10" s="2">
        <f>I9/L9</f>
        <v>0.83333333333333337</v>
      </c>
      <c r="J10" s="2">
        <f>J9/L9</f>
        <v>0.5</v>
      </c>
      <c r="K10" s="2">
        <f>K9/L9</f>
        <v>0.33333333333333331</v>
      </c>
    </row>
    <row r="11" spans="1:12" ht="15.75" customHeight="1">
      <c r="E11" s="1" t="s">
        <v>49</v>
      </c>
      <c r="F11" s="2"/>
      <c r="G11" s="2"/>
      <c r="H11" s="2">
        <f>H9/G9</f>
        <v>1</v>
      </c>
      <c r="I11" s="2">
        <f>I9/G9</f>
        <v>1</v>
      </c>
      <c r="J11" s="2">
        <f>J9/G9</f>
        <v>0.6</v>
      </c>
      <c r="K11" s="2">
        <f>K9/G9</f>
        <v>0.4</v>
      </c>
    </row>
    <row r="12" spans="1:12" ht="15.75" customHeight="1">
      <c r="E12" s="1" t="s">
        <v>50</v>
      </c>
      <c r="F12" s="2"/>
      <c r="G12" s="2">
        <f>E9/C9</f>
        <v>0.2413793103448276</v>
      </c>
      <c r="H12" s="2">
        <f>E9/D9</f>
        <v>1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4"/>
  <sheetViews>
    <sheetView workbookViewId="0">
      <selection activeCell="G3" sqref="G3:K10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73</v>
      </c>
      <c r="B3" s="1"/>
      <c r="C3" s="1">
        <v>6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74</v>
      </c>
      <c r="B4" s="1"/>
      <c r="C4" s="1">
        <v>3</v>
      </c>
      <c r="D4" s="1">
        <v>1</v>
      </c>
      <c r="E4" s="1">
        <v>0</v>
      </c>
      <c r="F4" s="1">
        <v>0</v>
      </c>
      <c r="G4" s="1" t="b">
        <f t="shared" ref="G4:G10" si="0">D4&gt;0</f>
        <v>1</v>
      </c>
      <c r="H4" s="1" t="b">
        <f t="shared" ref="H4:H10" si="1">E4&gt;0</f>
        <v>0</v>
      </c>
      <c r="I4" s="1" t="b">
        <f t="shared" ref="I4:I10" si="2">AND(G4,(D4=E4))</f>
        <v>0</v>
      </c>
      <c r="J4" s="1" t="b">
        <f t="shared" ref="J4:J10" si="3">F4&gt;0</f>
        <v>0</v>
      </c>
      <c r="K4" s="1" t="b">
        <f t="shared" ref="K4:K10" si="4">AND(I4,(E4=F4))</f>
        <v>0</v>
      </c>
    </row>
    <row r="5" spans="1:12" ht="15.75" customHeight="1">
      <c r="A5" s="1" t="s">
        <v>75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76</v>
      </c>
      <c r="B6" s="1"/>
      <c r="C6" s="1">
        <v>5</v>
      </c>
      <c r="D6" s="1">
        <v>2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77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78</v>
      </c>
      <c r="B8" s="1"/>
      <c r="C8" s="1">
        <v>4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2" ht="15.75" customHeight="1">
      <c r="A9" s="1" t="s">
        <v>79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80</v>
      </c>
      <c r="B10" s="1"/>
      <c r="C10" s="1">
        <v>4</v>
      </c>
      <c r="D10" s="1">
        <v>2</v>
      </c>
      <c r="E10" s="1">
        <v>2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2" ht="15.75" customHeight="1">
      <c r="B11" s="1" t="s">
        <v>48</v>
      </c>
      <c r="C11" s="1">
        <f t="shared" ref="C11:F11" si="5">SUM(C2:C10)</f>
        <v>36</v>
      </c>
      <c r="D11" s="1">
        <f t="shared" si="5"/>
        <v>6</v>
      </c>
      <c r="E11" s="1">
        <f t="shared" si="5"/>
        <v>3</v>
      </c>
      <c r="F11" s="1">
        <f t="shared" si="5"/>
        <v>1</v>
      </c>
      <c r="G11" s="1">
        <f t="shared" ref="G11:K11" si="6">COUNTIF(G3:G10,"TRUE")</f>
        <v>4</v>
      </c>
      <c r="H11" s="1">
        <f t="shared" si="6"/>
        <v>2</v>
      </c>
      <c r="I11" s="1">
        <f t="shared" si="6"/>
        <v>2</v>
      </c>
      <c r="J11" s="1">
        <f t="shared" si="6"/>
        <v>1</v>
      </c>
      <c r="K11" s="1">
        <f t="shared" si="6"/>
        <v>1</v>
      </c>
      <c r="L11" s="6">
        <f>COUNTA(E3:E10)</f>
        <v>8</v>
      </c>
    </row>
    <row r="12" spans="1:12" ht="15.75" customHeight="1">
      <c r="E12" s="1" t="s">
        <v>3</v>
      </c>
      <c r="F12" s="2"/>
      <c r="G12" s="2">
        <f>G11/L11</f>
        <v>0.5</v>
      </c>
      <c r="H12" s="2">
        <f>H11/L11</f>
        <v>0.25</v>
      </c>
      <c r="I12" s="2">
        <f>I11/L11</f>
        <v>0.25</v>
      </c>
      <c r="J12" s="2">
        <f>J11/L11</f>
        <v>0.125</v>
      </c>
      <c r="K12" s="2">
        <f>K11/L11</f>
        <v>0.125</v>
      </c>
    </row>
    <row r="13" spans="1:12" ht="15.75" customHeight="1">
      <c r="E13" s="1" t="s">
        <v>49</v>
      </c>
      <c r="F13" s="2"/>
      <c r="G13" s="2"/>
      <c r="H13" s="2">
        <f>H11/G11</f>
        <v>0.5</v>
      </c>
      <c r="I13" s="2">
        <f>I11/G11</f>
        <v>0.5</v>
      </c>
      <c r="J13" s="2">
        <f>J11/G11</f>
        <v>0.25</v>
      </c>
      <c r="K13" s="2">
        <f>K11/G11</f>
        <v>0.25</v>
      </c>
    </row>
    <row r="14" spans="1:12" ht="15.75" customHeight="1">
      <c r="E14" s="1" t="s">
        <v>50</v>
      </c>
      <c r="F14" s="2"/>
      <c r="G14" s="2">
        <f>E11/C11</f>
        <v>8.3333333333333329E-2</v>
      </c>
      <c r="H14" s="2">
        <f>E11/D11</f>
        <v>0.5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6"/>
  <sheetViews>
    <sheetView workbookViewId="0">
      <selection activeCell="G3" sqref="G3:K1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81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82</v>
      </c>
      <c r="B4" s="1"/>
      <c r="C4" s="1">
        <v>2</v>
      </c>
      <c r="D4" s="1">
        <v>0</v>
      </c>
      <c r="E4" s="1">
        <v>0</v>
      </c>
      <c r="F4" s="1">
        <v>0</v>
      </c>
      <c r="G4" s="1" t="b">
        <f t="shared" ref="G4:G12" si="0">D4&gt;0</f>
        <v>0</v>
      </c>
      <c r="H4" s="1" t="b">
        <f t="shared" ref="H4:H12" si="1">E4&gt;0</f>
        <v>0</v>
      </c>
      <c r="I4" s="1" t="b">
        <f t="shared" ref="I4:I12" si="2">AND(G4,(D4=E4))</f>
        <v>0</v>
      </c>
      <c r="J4" s="1" t="b">
        <f t="shared" ref="J4:J12" si="3">F4&gt;0</f>
        <v>0</v>
      </c>
      <c r="K4" s="1" t="b">
        <f t="shared" ref="K4:K12" si="4">AND(I4,(E4=F4))</f>
        <v>0</v>
      </c>
    </row>
    <row r="5" spans="1:12" ht="15.75" customHeight="1">
      <c r="A5" s="1" t="s">
        <v>83</v>
      </c>
      <c r="B5" s="1"/>
      <c r="C5" s="1">
        <v>6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84</v>
      </c>
      <c r="B6" s="1"/>
      <c r="C6" s="1">
        <v>7</v>
      </c>
      <c r="D6" s="1">
        <v>2</v>
      </c>
      <c r="E6" s="1">
        <v>2</v>
      </c>
      <c r="F6" s="1">
        <v>2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2" ht="15.75" customHeight="1">
      <c r="A7" s="1" t="s">
        <v>85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86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87</v>
      </c>
      <c r="B9" s="1"/>
      <c r="C9" s="1">
        <v>7</v>
      </c>
      <c r="D9" s="1">
        <v>5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88</v>
      </c>
      <c r="B10" s="1"/>
      <c r="C10" s="1">
        <v>8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89</v>
      </c>
      <c r="B11" s="1"/>
      <c r="C11" s="1">
        <v>9</v>
      </c>
      <c r="D11" s="1">
        <v>6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90</v>
      </c>
      <c r="B12" s="1"/>
      <c r="C12" s="1">
        <v>7</v>
      </c>
      <c r="D12" s="1">
        <v>2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B13" s="1" t="s">
        <v>48</v>
      </c>
      <c r="C13" s="1">
        <f t="shared" ref="C13:F13" si="5">SUM(C2:C12)</f>
        <v>61</v>
      </c>
      <c r="D13" s="1">
        <f t="shared" si="5"/>
        <v>15</v>
      </c>
      <c r="E13" s="1">
        <f t="shared" si="5"/>
        <v>2</v>
      </c>
      <c r="F13" s="1">
        <f t="shared" si="5"/>
        <v>2</v>
      </c>
      <c r="G13" s="1">
        <f t="shared" ref="G13:K13" si="6">COUNTIF(G3:G12,"TRUE")</f>
        <v>4</v>
      </c>
      <c r="H13" s="1">
        <f t="shared" si="6"/>
        <v>1</v>
      </c>
      <c r="I13" s="1">
        <f t="shared" si="6"/>
        <v>1</v>
      </c>
      <c r="J13" s="1">
        <f t="shared" si="6"/>
        <v>1</v>
      </c>
      <c r="K13" s="1">
        <f t="shared" si="6"/>
        <v>1</v>
      </c>
      <c r="L13" s="6">
        <f>COUNTA(E3:E12)</f>
        <v>10</v>
      </c>
    </row>
    <row r="14" spans="1:12" ht="15.75" customHeight="1">
      <c r="E14" s="1" t="s">
        <v>3</v>
      </c>
      <c r="F14" s="2"/>
      <c r="G14" s="2">
        <f>G13/L13</f>
        <v>0.4</v>
      </c>
      <c r="H14" s="2">
        <f>H13/L13</f>
        <v>0.1</v>
      </c>
      <c r="I14" s="2">
        <f>I13/L13</f>
        <v>0.1</v>
      </c>
      <c r="J14" s="2">
        <f>J13/L13</f>
        <v>0.1</v>
      </c>
      <c r="K14" s="2">
        <f>K13/L13</f>
        <v>0.1</v>
      </c>
    </row>
    <row r="15" spans="1:12" ht="15.75" customHeight="1">
      <c r="E15" s="1" t="s">
        <v>49</v>
      </c>
      <c r="F15" s="2"/>
      <c r="G15" s="2"/>
      <c r="H15" s="2">
        <f>H13/G13</f>
        <v>0.25</v>
      </c>
      <c r="I15" s="2">
        <f>I13/G13</f>
        <v>0.25</v>
      </c>
      <c r="J15" s="2">
        <f>J13/G13</f>
        <v>0.25</v>
      </c>
      <c r="K15" s="2">
        <f>K13/G13</f>
        <v>0.25</v>
      </c>
    </row>
    <row r="16" spans="1:12" ht="15.75" customHeight="1">
      <c r="E16" s="1" t="s">
        <v>50</v>
      </c>
      <c r="F16" s="2"/>
      <c r="G16" s="2">
        <f>E13/C13</f>
        <v>3.2786885245901641E-2</v>
      </c>
      <c r="H16" s="2">
        <f>E13/D13</f>
        <v>0.13333333333333333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4"/>
  <sheetViews>
    <sheetView workbookViewId="0">
      <selection activeCell="G3" sqref="G3:K10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91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92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10" si="0">D4&gt;0</f>
        <v>0</v>
      </c>
      <c r="H4" s="1" t="b">
        <f t="shared" ref="H4:H10" si="1">E4&gt;0</f>
        <v>0</v>
      </c>
      <c r="I4" s="1" t="b">
        <f t="shared" ref="I4:I10" si="2">AND(G4,(D4=E4))</f>
        <v>0</v>
      </c>
      <c r="J4" s="1" t="b">
        <f t="shared" ref="J4:J10" si="3">F4&gt;0</f>
        <v>0</v>
      </c>
      <c r="K4" s="1" t="b">
        <f t="shared" ref="K4:K10" si="4">AND(I4,(E4=F4))</f>
        <v>0</v>
      </c>
    </row>
    <row r="5" spans="1:12" ht="15.75" customHeight="1">
      <c r="A5" s="1" t="s">
        <v>93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94</v>
      </c>
      <c r="B6" s="1"/>
      <c r="C6" s="1">
        <v>8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95</v>
      </c>
      <c r="B7" s="1"/>
      <c r="C7" s="1">
        <v>6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96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97</v>
      </c>
      <c r="B9" s="1"/>
      <c r="C9" s="1">
        <v>6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98</v>
      </c>
      <c r="B10" s="1"/>
      <c r="C10" s="1">
        <v>4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B11" s="1" t="s">
        <v>48</v>
      </c>
      <c r="C11" s="1">
        <f t="shared" ref="C11:F11" si="5">SUM(C2:C10)</f>
        <v>45</v>
      </c>
      <c r="D11" s="1">
        <f t="shared" si="5"/>
        <v>2</v>
      </c>
      <c r="E11" s="1">
        <f t="shared" si="5"/>
        <v>0</v>
      </c>
      <c r="F11" s="1">
        <f t="shared" si="5"/>
        <v>0</v>
      </c>
      <c r="G11" s="1">
        <f t="shared" ref="G11:K11" si="6">COUNTIF(G3:G10,"TRUE")</f>
        <v>2</v>
      </c>
      <c r="H11" s="1">
        <f t="shared" si="6"/>
        <v>0</v>
      </c>
      <c r="I11" s="1">
        <f t="shared" si="6"/>
        <v>0</v>
      </c>
      <c r="J11" s="1">
        <f t="shared" si="6"/>
        <v>0</v>
      </c>
      <c r="K11" s="1">
        <f t="shared" si="6"/>
        <v>0</v>
      </c>
      <c r="L11" s="6">
        <f>COUNTA(E3:E10)</f>
        <v>8</v>
      </c>
    </row>
    <row r="12" spans="1:12" ht="15.75" customHeight="1">
      <c r="E12" s="1" t="s">
        <v>3</v>
      </c>
      <c r="F12" s="2"/>
      <c r="G12" s="2">
        <f>G11/L11</f>
        <v>0.25</v>
      </c>
      <c r="H12" s="2">
        <f>H11/L11</f>
        <v>0</v>
      </c>
      <c r="I12" s="2">
        <f>I11/L11</f>
        <v>0</v>
      </c>
      <c r="J12" s="2">
        <f>J11/L11</f>
        <v>0</v>
      </c>
      <c r="K12" s="2">
        <f>K11/L11</f>
        <v>0</v>
      </c>
    </row>
    <row r="13" spans="1:12" ht="15.75" customHeight="1">
      <c r="E13" s="1" t="s">
        <v>49</v>
      </c>
      <c r="F13" s="2"/>
      <c r="G13" s="2"/>
      <c r="H13" s="2">
        <f>H11/G11</f>
        <v>0</v>
      </c>
      <c r="I13" s="2">
        <f>I11/G11</f>
        <v>0</v>
      </c>
      <c r="J13" s="2">
        <f>J11/G11</f>
        <v>0</v>
      </c>
      <c r="K13" s="2">
        <f>K11/G11</f>
        <v>0</v>
      </c>
    </row>
    <row r="14" spans="1:12" ht="15.75" customHeight="1">
      <c r="E14" s="1" t="s">
        <v>50</v>
      </c>
      <c r="F14" s="2"/>
      <c r="G14" s="2">
        <f>E11/C11</f>
        <v>0</v>
      </c>
      <c r="H14" s="2">
        <f>E11/D11</f>
        <v>0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7"/>
  <sheetViews>
    <sheetView workbookViewId="0">
      <selection activeCell="G3" sqref="G3:K1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99</v>
      </c>
      <c r="B3" s="1"/>
      <c r="C3" s="1">
        <v>6</v>
      </c>
      <c r="D3" s="1">
        <v>2</v>
      </c>
      <c r="E3" s="1">
        <v>2</v>
      </c>
      <c r="F3" s="1">
        <v>2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F3&gt;0</f>
        <v>1</v>
      </c>
      <c r="K3" s="1" t="b">
        <f>AND(I3,(E3=F3))</f>
        <v>1</v>
      </c>
    </row>
    <row r="4" spans="1:12" ht="15.75" customHeight="1">
      <c r="A4" s="1" t="s">
        <v>100</v>
      </c>
      <c r="B4" s="1"/>
      <c r="C4" s="1">
        <v>1</v>
      </c>
      <c r="D4" s="1">
        <v>0</v>
      </c>
      <c r="E4" s="1">
        <v>0</v>
      </c>
      <c r="F4" s="1">
        <v>0</v>
      </c>
      <c r="G4" s="1" t="b">
        <f t="shared" ref="G4:G13" si="0">D4&gt;0</f>
        <v>0</v>
      </c>
      <c r="H4" s="1" t="b">
        <f t="shared" ref="H4:H13" si="1">E4&gt;0</f>
        <v>0</v>
      </c>
      <c r="I4" s="1" t="b">
        <f t="shared" ref="I4:I13" si="2">AND(G4,(D4=E4))</f>
        <v>0</v>
      </c>
      <c r="J4" s="1" t="b">
        <f t="shared" ref="J4:J13" si="3">F4&gt;0</f>
        <v>0</v>
      </c>
      <c r="K4" s="1" t="b">
        <f t="shared" ref="K4:K13" si="4">AND(I4,(E4=F4))</f>
        <v>0</v>
      </c>
    </row>
    <row r="5" spans="1:12" ht="15.75" customHeight="1">
      <c r="A5" s="1" t="s">
        <v>101</v>
      </c>
      <c r="B5" s="1"/>
      <c r="C5" s="1">
        <v>12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5" t="s">
        <v>102</v>
      </c>
      <c r="B6" s="1"/>
      <c r="C6" s="1">
        <v>7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103</v>
      </c>
      <c r="B7" s="1"/>
      <c r="C7" s="1">
        <v>3</v>
      </c>
      <c r="D7" s="1">
        <v>2</v>
      </c>
      <c r="E7" s="1">
        <v>2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0</v>
      </c>
    </row>
    <row r="8" spans="1:12" ht="15.75" customHeight="1">
      <c r="A8" s="1" t="s">
        <v>104</v>
      </c>
      <c r="B8" s="1"/>
      <c r="C8" s="1">
        <v>7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105</v>
      </c>
      <c r="B9" s="1"/>
      <c r="C9" s="1">
        <v>5</v>
      </c>
      <c r="D9" s="1">
        <v>2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106</v>
      </c>
      <c r="B10" s="1"/>
      <c r="C10" s="1">
        <v>10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107</v>
      </c>
      <c r="B11" s="1"/>
      <c r="C11" s="1">
        <v>12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108</v>
      </c>
      <c r="B12" s="1"/>
      <c r="C12" s="1">
        <v>11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A13" s="1" t="s">
        <v>109</v>
      </c>
      <c r="B13" s="1"/>
      <c r="C13" s="1">
        <v>3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2" ht="15.75" customHeight="1">
      <c r="B14" s="1" t="s">
        <v>48</v>
      </c>
      <c r="C14" s="1">
        <f t="shared" ref="C14:F14" si="5">SUM(C2:C13)</f>
        <v>77</v>
      </c>
      <c r="D14" s="1">
        <f t="shared" si="5"/>
        <v>9</v>
      </c>
      <c r="E14" s="1">
        <f t="shared" si="5"/>
        <v>5</v>
      </c>
      <c r="F14" s="1">
        <f t="shared" si="5"/>
        <v>3</v>
      </c>
      <c r="G14" s="1">
        <f t="shared" ref="G14:K14" si="6">COUNTIF(G3:G13,"TRUE")</f>
        <v>6</v>
      </c>
      <c r="H14" s="1">
        <f t="shared" si="6"/>
        <v>3</v>
      </c>
      <c r="I14" s="1">
        <f t="shared" si="6"/>
        <v>3</v>
      </c>
      <c r="J14" s="1">
        <f t="shared" si="6"/>
        <v>2</v>
      </c>
      <c r="K14" s="1">
        <f t="shared" si="6"/>
        <v>1</v>
      </c>
      <c r="L14" s="6">
        <f>COUNTA(E3:E13)</f>
        <v>11</v>
      </c>
    </row>
    <row r="15" spans="1:12" ht="15.75" customHeight="1">
      <c r="E15" s="1" t="s">
        <v>3</v>
      </c>
      <c r="F15" s="2"/>
      <c r="G15" s="2">
        <f>G14/L14</f>
        <v>0.54545454545454541</v>
      </c>
      <c r="H15" s="2">
        <f>H14/L14</f>
        <v>0.27272727272727271</v>
      </c>
      <c r="I15" s="2">
        <f>I14/L14</f>
        <v>0.27272727272727271</v>
      </c>
      <c r="J15" s="2">
        <f>J14/L14</f>
        <v>0.18181818181818182</v>
      </c>
      <c r="K15" s="2">
        <f>K14/L14</f>
        <v>9.0909090909090912E-2</v>
      </c>
    </row>
    <row r="16" spans="1:12" ht="15.75" customHeight="1">
      <c r="E16" s="1" t="s">
        <v>49</v>
      </c>
      <c r="F16" s="2"/>
      <c r="G16" s="2"/>
      <c r="H16" s="2">
        <f>H14/G14</f>
        <v>0.5</v>
      </c>
      <c r="I16" s="2">
        <f>I14/G14</f>
        <v>0.5</v>
      </c>
      <c r="J16" s="2">
        <f>J14/G14</f>
        <v>0.33333333333333331</v>
      </c>
      <c r="K16" s="2">
        <f>K14/G14</f>
        <v>0.16666666666666666</v>
      </c>
    </row>
    <row r="17" spans="5:8" ht="15.75" customHeight="1">
      <c r="E17" s="1" t="s">
        <v>50</v>
      </c>
      <c r="F17" s="2"/>
      <c r="G17" s="2">
        <f>E14/C14</f>
        <v>6.4935064935064929E-2</v>
      </c>
      <c r="H17" s="2">
        <f>E14/D14</f>
        <v>0.55555555555555558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2"/>
  <sheetViews>
    <sheetView workbookViewId="0">
      <selection activeCell="G3" sqref="G3:K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110</v>
      </c>
      <c r="B3" s="1"/>
      <c r="C3" s="1">
        <v>5</v>
      </c>
      <c r="D3" s="1">
        <v>1</v>
      </c>
      <c r="E3" s="1">
        <v>1</v>
      </c>
      <c r="F3" s="1">
        <v>0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111</v>
      </c>
      <c r="B4" s="1"/>
      <c r="C4" s="1">
        <v>5</v>
      </c>
      <c r="D4" s="1">
        <v>5</v>
      </c>
      <c r="E4" s="1">
        <v>0</v>
      </c>
      <c r="F4" s="1">
        <v>0</v>
      </c>
      <c r="G4" s="1" t="b">
        <f t="shared" ref="G4:G8" si="0">D4&gt;0</f>
        <v>1</v>
      </c>
      <c r="H4" s="1" t="b">
        <f t="shared" ref="H4:H8" si="1">E4&gt;0</f>
        <v>0</v>
      </c>
      <c r="I4" s="1" t="b">
        <f t="shared" ref="I4:I8" si="2">AND(G4,(D4=E4))</f>
        <v>0</v>
      </c>
      <c r="J4" s="1" t="b">
        <f t="shared" ref="J4:J8" si="3">F4&gt;0</f>
        <v>0</v>
      </c>
      <c r="K4" s="1" t="b">
        <f t="shared" ref="K4:K8" si="4">AND(I4,(E4=F4))</f>
        <v>0</v>
      </c>
    </row>
    <row r="5" spans="1:12" ht="15.75" customHeight="1">
      <c r="A5" s="1" t="s">
        <v>112</v>
      </c>
      <c r="B5" s="1"/>
      <c r="C5" s="1">
        <v>8</v>
      </c>
      <c r="D5" s="1">
        <v>3</v>
      </c>
      <c r="E5" s="1">
        <v>3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0</v>
      </c>
    </row>
    <row r="6" spans="1:12" ht="15.75" customHeight="1">
      <c r="A6" s="1" t="s">
        <v>113</v>
      </c>
      <c r="B6" s="1"/>
      <c r="C6" s="1">
        <v>7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114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115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48</v>
      </c>
      <c r="C9" s="1">
        <f t="shared" ref="C9:F9" si="5">SUM(C2:C8)</f>
        <v>38</v>
      </c>
      <c r="D9" s="1">
        <f t="shared" si="5"/>
        <v>9</v>
      </c>
      <c r="E9" s="1">
        <f t="shared" si="5"/>
        <v>4</v>
      </c>
      <c r="F9" s="1">
        <f t="shared" si="5"/>
        <v>1</v>
      </c>
      <c r="G9" s="1">
        <f t="shared" ref="G9:K9" si="6">COUNTIF(G3:G8,"TRUE")</f>
        <v>3</v>
      </c>
      <c r="H9" s="1">
        <f t="shared" si="6"/>
        <v>2</v>
      </c>
      <c r="I9" s="1">
        <f t="shared" si="6"/>
        <v>2</v>
      </c>
      <c r="J9" s="1">
        <f t="shared" si="6"/>
        <v>1</v>
      </c>
      <c r="K9" s="1">
        <f t="shared" si="6"/>
        <v>0</v>
      </c>
      <c r="L9" s="6">
        <f>COUNTA(E3:E8)</f>
        <v>6</v>
      </c>
    </row>
    <row r="10" spans="1:12" ht="15.75" customHeight="1">
      <c r="E10" s="1" t="s">
        <v>3</v>
      </c>
      <c r="F10" s="2"/>
      <c r="G10" s="2">
        <f>G9/L9</f>
        <v>0.5</v>
      </c>
      <c r="H10" s="2">
        <f>H9/L9</f>
        <v>0.33333333333333331</v>
      </c>
      <c r="I10" s="2">
        <f>I9/L9</f>
        <v>0.33333333333333331</v>
      </c>
      <c r="J10" s="2">
        <f>J9/L9</f>
        <v>0.16666666666666666</v>
      </c>
      <c r="K10" s="2">
        <f>K9/L9</f>
        <v>0</v>
      </c>
    </row>
    <row r="11" spans="1:12" ht="15.75" customHeight="1">
      <c r="E11" s="1" t="s">
        <v>49</v>
      </c>
      <c r="F11" s="2"/>
      <c r="G11" s="2"/>
      <c r="H11" s="2">
        <f>H9/G9</f>
        <v>0.66666666666666663</v>
      </c>
      <c r="I11" s="2">
        <f>I9/G9</f>
        <v>0.66666666666666663</v>
      </c>
      <c r="J11" s="2">
        <f>J9/G9</f>
        <v>0.33333333333333331</v>
      </c>
      <c r="K11" s="2">
        <f>K9/G9</f>
        <v>0</v>
      </c>
    </row>
    <row r="12" spans="1:12" ht="15.75" customHeight="1">
      <c r="E12" s="1" t="s">
        <v>50</v>
      </c>
      <c r="F12" s="2"/>
      <c r="G12" s="2">
        <f>E9/C9</f>
        <v>0.10526315789473684</v>
      </c>
      <c r="H12" s="2">
        <f>E9/D9</f>
        <v>0.44444444444444442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4"/>
  <sheetViews>
    <sheetView workbookViewId="0">
      <selection activeCell="G3" sqref="G3:K10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116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117</v>
      </c>
      <c r="B4" s="1"/>
      <c r="C4" s="1">
        <v>4</v>
      </c>
      <c r="D4" s="1">
        <v>1</v>
      </c>
      <c r="E4" s="1">
        <v>1</v>
      </c>
      <c r="F4" s="1">
        <v>0</v>
      </c>
      <c r="G4" s="1" t="b">
        <f t="shared" ref="G4:G10" si="0">D4&gt;0</f>
        <v>1</v>
      </c>
      <c r="H4" s="1" t="b">
        <f t="shared" ref="H4:H10" si="1">E4&gt;0</f>
        <v>1</v>
      </c>
      <c r="I4" s="1" t="b">
        <f t="shared" ref="I4:I10" si="2">AND(G4,(D4=E4))</f>
        <v>1</v>
      </c>
      <c r="J4" s="1" t="b">
        <f t="shared" ref="J4:J10" si="3">F4&gt;0</f>
        <v>0</v>
      </c>
      <c r="K4" s="1" t="b">
        <f t="shared" ref="K4:K10" si="4">AND(I4,(E4=F4))</f>
        <v>0</v>
      </c>
    </row>
    <row r="5" spans="1:12" ht="15.75" customHeight="1">
      <c r="A5" s="1" t="s">
        <v>118</v>
      </c>
      <c r="B5" s="1"/>
      <c r="C5" s="1">
        <v>5</v>
      </c>
      <c r="D5" s="1">
        <v>4</v>
      </c>
      <c r="E5" s="1">
        <v>3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119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120</v>
      </c>
      <c r="B7" s="1"/>
      <c r="C7" s="1">
        <v>2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121</v>
      </c>
      <c r="B8" s="1"/>
      <c r="C8" s="1">
        <v>0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122</v>
      </c>
      <c r="B9" s="1"/>
      <c r="C9" s="1">
        <v>9</v>
      </c>
      <c r="D9" s="1">
        <v>3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123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B11" s="1" t="s">
        <v>48</v>
      </c>
      <c r="C11" s="1">
        <f t="shared" ref="C11:F11" si="5">SUM(C2:C10)</f>
        <v>33</v>
      </c>
      <c r="D11" s="1">
        <f t="shared" si="5"/>
        <v>9</v>
      </c>
      <c r="E11" s="1">
        <f t="shared" si="5"/>
        <v>5</v>
      </c>
      <c r="F11" s="1">
        <f t="shared" si="5"/>
        <v>0</v>
      </c>
      <c r="G11" s="1">
        <f t="shared" ref="G11:K11" si="6">COUNTIF(G3:G10,"TRUE")</f>
        <v>4</v>
      </c>
      <c r="H11" s="1">
        <f t="shared" si="6"/>
        <v>3</v>
      </c>
      <c r="I11" s="1">
        <f t="shared" si="6"/>
        <v>2</v>
      </c>
      <c r="J11" s="1">
        <f t="shared" si="6"/>
        <v>0</v>
      </c>
      <c r="K11" s="1">
        <f t="shared" si="6"/>
        <v>0</v>
      </c>
      <c r="L11" s="6">
        <f>COUNTA(E3:E10)</f>
        <v>8</v>
      </c>
    </row>
    <row r="12" spans="1:12" ht="15.75" customHeight="1">
      <c r="E12" s="1" t="s">
        <v>3</v>
      </c>
      <c r="F12" s="2"/>
      <c r="G12" s="2">
        <f>G11/L11</f>
        <v>0.5</v>
      </c>
      <c r="H12" s="2">
        <f>H11/L11</f>
        <v>0.375</v>
      </c>
      <c r="I12" s="2">
        <f>I11/L11</f>
        <v>0.25</v>
      </c>
      <c r="J12" s="2">
        <f>J11/L11</f>
        <v>0</v>
      </c>
      <c r="K12" s="2">
        <f>K11/L11</f>
        <v>0</v>
      </c>
    </row>
    <row r="13" spans="1:12" ht="15.75" customHeight="1">
      <c r="E13" s="1" t="s">
        <v>49</v>
      </c>
      <c r="F13" s="2"/>
      <c r="G13" s="2"/>
      <c r="H13" s="2">
        <f>H11/G11</f>
        <v>0.75</v>
      </c>
      <c r="I13" s="2">
        <f>I11/G11</f>
        <v>0.5</v>
      </c>
      <c r="J13" s="2">
        <f>J11/G11</f>
        <v>0</v>
      </c>
      <c r="K13" s="2">
        <f>K11/G11</f>
        <v>0</v>
      </c>
    </row>
    <row r="14" spans="1:12" ht="15.75" customHeight="1">
      <c r="E14" s="1" t="s">
        <v>50</v>
      </c>
      <c r="F14" s="2"/>
      <c r="G14" s="2">
        <f>E11/C11</f>
        <v>0.15151515151515152</v>
      </c>
      <c r="H14" s="2">
        <f>E11/D11</f>
        <v>0.55555555555555558</v>
      </c>
    </row>
  </sheetData>
  <hyperlinks>
    <hyperlink ref="E1" r:id="rId1" xr:uid="{00000000-0004-0000-0A00-000000000000}"/>
  </hyperlinks>
  <pageMargins left="0.7" right="0.7" top="0.75" bottom="0.75" header="0.3" footer="0.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13"/>
  <sheetViews>
    <sheetView workbookViewId="0">
      <selection activeCell="G3" sqref="G3:K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124</v>
      </c>
      <c r="B3" s="1"/>
      <c r="C3" s="1">
        <v>6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125</v>
      </c>
      <c r="B4" s="1"/>
      <c r="C4" s="1">
        <v>3</v>
      </c>
      <c r="D4" s="1">
        <v>1</v>
      </c>
      <c r="E4" s="1">
        <v>0</v>
      </c>
      <c r="F4" s="1">
        <v>0</v>
      </c>
      <c r="G4" s="1" t="b">
        <f t="shared" ref="G4:G9" si="0">D4&gt;0</f>
        <v>1</v>
      </c>
      <c r="H4" s="1" t="b">
        <f t="shared" ref="H4:H9" si="1">E4&gt;0</f>
        <v>0</v>
      </c>
      <c r="I4" s="1" t="b">
        <f t="shared" ref="I4:I9" si="2">AND(G4,(D4=E4))</f>
        <v>0</v>
      </c>
      <c r="J4" s="1" t="b">
        <f t="shared" ref="J4:J9" si="3">F4&gt;0</f>
        <v>0</v>
      </c>
      <c r="K4" s="1" t="b">
        <f t="shared" ref="K4:K9" si="4">AND(I4,(E4=F4))</f>
        <v>0</v>
      </c>
    </row>
    <row r="5" spans="1:12" ht="15.75" customHeight="1">
      <c r="A5" s="1" t="s">
        <v>126</v>
      </c>
      <c r="B5" s="1"/>
      <c r="C5" s="1">
        <v>5</v>
      </c>
      <c r="D5" s="1">
        <v>3</v>
      </c>
      <c r="E5" s="1">
        <v>3</v>
      </c>
      <c r="F5" s="1">
        <v>3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2" ht="15.75" customHeight="1">
      <c r="A6" s="1" t="s">
        <v>127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128</v>
      </c>
      <c r="B7" s="1"/>
      <c r="C7" s="1">
        <v>6</v>
      </c>
      <c r="D7" s="1">
        <v>2</v>
      </c>
      <c r="E7" s="1">
        <v>2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0</v>
      </c>
    </row>
    <row r="8" spans="1:12" ht="15.75" customHeight="1">
      <c r="A8" s="1" t="s">
        <v>129</v>
      </c>
      <c r="B8" s="1"/>
      <c r="C8" s="1">
        <v>4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130</v>
      </c>
      <c r="B9" s="1"/>
      <c r="C9" s="1">
        <v>3</v>
      </c>
      <c r="D9" s="1">
        <v>2</v>
      </c>
      <c r="E9" s="1">
        <v>2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0</v>
      </c>
    </row>
    <row r="10" spans="1:12" ht="15.75" customHeight="1">
      <c r="B10" s="1" t="s">
        <v>48</v>
      </c>
      <c r="C10" s="1">
        <f t="shared" ref="C10:F10" si="5">SUM(C2:C9)</f>
        <v>33</v>
      </c>
      <c r="D10" s="1">
        <f t="shared" si="5"/>
        <v>8</v>
      </c>
      <c r="E10" s="1">
        <f t="shared" si="5"/>
        <v>7</v>
      </c>
      <c r="F10" s="1">
        <f t="shared" si="5"/>
        <v>5</v>
      </c>
      <c r="G10" s="1">
        <f t="shared" ref="G10:K10" si="6">COUNTIF(G3:G9,"TRUE")</f>
        <v>4</v>
      </c>
      <c r="H10" s="1">
        <f t="shared" si="6"/>
        <v>3</v>
      </c>
      <c r="I10" s="1">
        <f t="shared" si="6"/>
        <v>3</v>
      </c>
      <c r="J10" s="1">
        <f t="shared" si="6"/>
        <v>3</v>
      </c>
      <c r="K10" s="1">
        <f t="shared" si="6"/>
        <v>1</v>
      </c>
      <c r="L10" s="6">
        <f>COUNTA(E3:E9)</f>
        <v>7</v>
      </c>
    </row>
    <row r="11" spans="1:12" ht="15.75" customHeight="1">
      <c r="E11" s="1" t="s">
        <v>3</v>
      </c>
      <c r="F11" s="2"/>
      <c r="G11" s="2">
        <f>G10/L10</f>
        <v>0.5714285714285714</v>
      </c>
      <c r="H11" s="2">
        <f>H10/L10</f>
        <v>0.42857142857142855</v>
      </c>
      <c r="I11" s="2">
        <f>I10/L10</f>
        <v>0.42857142857142855</v>
      </c>
      <c r="J11" s="2">
        <f>J10/L10</f>
        <v>0.42857142857142855</v>
      </c>
      <c r="K11" s="2">
        <f>K10/L10</f>
        <v>0.14285714285714285</v>
      </c>
    </row>
    <row r="12" spans="1:12" ht="15.75" customHeight="1">
      <c r="E12" s="1" t="s">
        <v>49</v>
      </c>
      <c r="F12" s="2"/>
      <c r="G12" s="2"/>
      <c r="H12" s="2">
        <f>H10/G10</f>
        <v>0.75</v>
      </c>
      <c r="I12" s="2">
        <f>I10/G10</f>
        <v>0.75</v>
      </c>
      <c r="J12" s="2">
        <f>J10/G10</f>
        <v>0.75</v>
      </c>
      <c r="K12" s="2">
        <f>K10/G10</f>
        <v>0.25</v>
      </c>
    </row>
    <row r="13" spans="1:12" ht="15.75" customHeight="1">
      <c r="E13" s="1" t="s">
        <v>50</v>
      </c>
      <c r="F13" s="2"/>
      <c r="G13" s="2">
        <f>E10/C10</f>
        <v>0.21212121212121213</v>
      </c>
      <c r="H13" s="2">
        <f>E10/D10</f>
        <v>0.875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38"/>
  <sheetViews>
    <sheetView workbookViewId="0">
      <selection activeCell="G3" sqref="G3:K34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7" t="s">
        <v>131</v>
      </c>
      <c r="B3" s="7"/>
      <c r="C3" s="8">
        <v>3</v>
      </c>
      <c r="D3" s="8">
        <v>0</v>
      </c>
      <c r="E3" s="8">
        <v>0</v>
      </c>
      <c r="F3" s="8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1" ht="15.75" customHeight="1">
      <c r="A4" s="7" t="s">
        <v>132</v>
      </c>
      <c r="B4" s="7"/>
      <c r="C4" s="8">
        <v>7</v>
      </c>
      <c r="D4" s="8">
        <v>0</v>
      </c>
      <c r="E4" s="8">
        <v>0</v>
      </c>
      <c r="F4" s="8">
        <v>0</v>
      </c>
      <c r="G4" s="1" t="b">
        <f t="shared" ref="G4:G34" si="0">D4&gt;0</f>
        <v>0</v>
      </c>
      <c r="H4" s="1" t="b">
        <f t="shared" ref="H4:H34" si="1">E4&gt;0</f>
        <v>0</v>
      </c>
      <c r="I4" s="1" t="b">
        <f t="shared" ref="I4:I34" si="2">AND(G4,(D4=E4))</f>
        <v>0</v>
      </c>
      <c r="J4" s="1" t="b">
        <f t="shared" ref="J4:J34" si="3">F4&gt;0</f>
        <v>0</v>
      </c>
      <c r="K4" s="1" t="b">
        <f t="shared" ref="K4:K34" si="4">AND(I4,(E4=F4))</f>
        <v>0</v>
      </c>
    </row>
    <row r="5" spans="1:11" ht="15.75" customHeight="1">
      <c r="A5" s="7" t="s">
        <v>133</v>
      </c>
      <c r="B5" s="7"/>
      <c r="C5" s="8">
        <v>5</v>
      </c>
      <c r="D5" s="8">
        <v>0</v>
      </c>
      <c r="E5" s="8">
        <v>0</v>
      </c>
      <c r="F5" s="8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7" t="s">
        <v>134</v>
      </c>
      <c r="B6" s="7"/>
      <c r="C6" s="8">
        <v>0</v>
      </c>
      <c r="D6" s="8">
        <v>0</v>
      </c>
      <c r="E6" s="8">
        <v>0</v>
      </c>
      <c r="F6" s="8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7" t="s">
        <v>135</v>
      </c>
      <c r="B7" s="7"/>
      <c r="C7" s="8">
        <v>0</v>
      </c>
      <c r="D7" s="8">
        <v>0</v>
      </c>
      <c r="E7" s="8">
        <v>0</v>
      </c>
      <c r="F7" s="8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7" t="s">
        <v>136</v>
      </c>
      <c r="B8" s="7"/>
      <c r="C8" s="8">
        <v>4</v>
      </c>
      <c r="D8" s="8">
        <v>3</v>
      </c>
      <c r="E8" s="8">
        <v>3</v>
      </c>
      <c r="F8" s="8">
        <v>3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7" t="s">
        <v>137</v>
      </c>
      <c r="B9" s="7"/>
      <c r="C9" s="8">
        <v>7</v>
      </c>
      <c r="D9" s="8">
        <v>2</v>
      </c>
      <c r="E9" s="8">
        <v>0</v>
      </c>
      <c r="F9" s="8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7" t="s">
        <v>138</v>
      </c>
      <c r="B10" s="7"/>
      <c r="C10" s="8">
        <v>6</v>
      </c>
      <c r="D10" s="8">
        <v>4</v>
      </c>
      <c r="E10" s="8">
        <v>0</v>
      </c>
      <c r="F10" s="8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7" t="s">
        <v>139</v>
      </c>
      <c r="B11" s="7"/>
      <c r="C11" s="8">
        <v>5</v>
      </c>
      <c r="D11" s="8">
        <v>2</v>
      </c>
      <c r="E11" s="8">
        <v>0</v>
      </c>
      <c r="F11" s="8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7" t="s">
        <v>140</v>
      </c>
      <c r="B12" s="7"/>
      <c r="C12" s="8">
        <v>2</v>
      </c>
      <c r="D12" s="8">
        <v>1</v>
      </c>
      <c r="E12" s="8">
        <v>1</v>
      </c>
      <c r="F12" s="8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7" t="s">
        <v>141</v>
      </c>
      <c r="B13" s="7"/>
      <c r="C13" s="8">
        <v>3</v>
      </c>
      <c r="D13" s="8">
        <v>0</v>
      </c>
      <c r="E13" s="8">
        <v>0</v>
      </c>
      <c r="F13" s="8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7" t="s">
        <v>142</v>
      </c>
      <c r="B14" s="7"/>
      <c r="C14" s="8">
        <v>2</v>
      </c>
      <c r="D14" s="8">
        <v>1</v>
      </c>
      <c r="E14" s="8">
        <v>0</v>
      </c>
      <c r="F14" s="8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7" t="s">
        <v>143</v>
      </c>
      <c r="B15" s="7"/>
      <c r="C15" s="8">
        <v>0</v>
      </c>
      <c r="D15" s="8">
        <v>0</v>
      </c>
      <c r="E15" s="8">
        <v>0</v>
      </c>
      <c r="F15" s="8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7" t="s">
        <v>144</v>
      </c>
      <c r="B16" s="7"/>
      <c r="C16" s="8">
        <v>1</v>
      </c>
      <c r="D16" s="8">
        <v>0</v>
      </c>
      <c r="E16" s="8">
        <v>0</v>
      </c>
      <c r="F16" s="8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7" t="s">
        <v>145</v>
      </c>
      <c r="B17" s="7"/>
      <c r="C17" s="8">
        <v>2</v>
      </c>
      <c r="D17" s="8">
        <v>1</v>
      </c>
      <c r="E17" s="8">
        <v>0</v>
      </c>
      <c r="F17" s="8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1" ht="15.75" customHeight="1">
      <c r="A18" s="7" t="s">
        <v>146</v>
      </c>
      <c r="B18" s="7"/>
      <c r="C18" s="8">
        <v>4</v>
      </c>
      <c r="D18" s="8">
        <v>1</v>
      </c>
      <c r="E18" s="8">
        <v>1</v>
      </c>
      <c r="F18" s="8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1" ht="15.75" customHeight="1">
      <c r="A19" s="7" t="s">
        <v>147</v>
      </c>
      <c r="B19" s="7"/>
      <c r="C19" s="8">
        <v>2</v>
      </c>
      <c r="D19" s="8">
        <v>0</v>
      </c>
      <c r="E19" s="8">
        <v>0</v>
      </c>
      <c r="F19" s="8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7" t="s">
        <v>148</v>
      </c>
      <c r="B20" s="7"/>
      <c r="C20" s="8">
        <v>2</v>
      </c>
      <c r="D20" s="8">
        <v>2</v>
      </c>
      <c r="E20" s="8">
        <v>0</v>
      </c>
      <c r="F20" s="8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7" t="s">
        <v>149</v>
      </c>
      <c r="B21" s="7"/>
      <c r="C21" s="8">
        <v>3</v>
      </c>
      <c r="D21" s="8">
        <v>1</v>
      </c>
      <c r="E21" s="8">
        <v>1</v>
      </c>
      <c r="F21" s="8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1" ht="15.75" customHeight="1">
      <c r="A22" s="7" t="s">
        <v>150</v>
      </c>
      <c r="B22" s="7"/>
      <c r="C22" s="8">
        <v>1</v>
      </c>
      <c r="D22" s="8">
        <v>0</v>
      </c>
      <c r="E22" s="8">
        <v>0</v>
      </c>
      <c r="F22" s="8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1" ht="15.75" customHeight="1">
      <c r="A23" s="7" t="s">
        <v>151</v>
      </c>
      <c r="B23" s="7"/>
      <c r="C23" s="8">
        <v>1</v>
      </c>
      <c r="D23" s="8">
        <v>0</v>
      </c>
      <c r="E23" s="8">
        <v>0</v>
      </c>
      <c r="F23" s="8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7" t="s">
        <v>152</v>
      </c>
      <c r="B24" s="7"/>
      <c r="C24" s="8">
        <v>2</v>
      </c>
      <c r="D24" s="8">
        <v>1</v>
      </c>
      <c r="E24" s="8">
        <v>0</v>
      </c>
      <c r="F24" s="8">
        <v>0</v>
      </c>
      <c r="G24" s="1" t="b">
        <f t="shared" si="0"/>
        <v>1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7" t="s">
        <v>153</v>
      </c>
      <c r="B25" s="7"/>
      <c r="C25" s="8">
        <v>4</v>
      </c>
      <c r="D25" s="8">
        <v>2</v>
      </c>
      <c r="E25" s="8">
        <v>2</v>
      </c>
      <c r="F25" s="8">
        <v>0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7" t="s">
        <v>154</v>
      </c>
      <c r="B26" s="7"/>
      <c r="C26" s="8">
        <v>2</v>
      </c>
      <c r="D26" s="8">
        <v>0</v>
      </c>
      <c r="E26" s="8">
        <v>0</v>
      </c>
      <c r="F26" s="8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7" t="s">
        <v>155</v>
      </c>
      <c r="B27" s="7"/>
      <c r="C27" s="8">
        <v>3</v>
      </c>
      <c r="D27" s="8">
        <v>1</v>
      </c>
      <c r="E27" s="8">
        <v>0</v>
      </c>
      <c r="F27" s="8">
        <v>0</v>
      </c>
      <c r="G27" s="1" t="b">
        <f t="shared" si="0"/>
        <v>1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7" t="s">
        <v>156</v>
      </c>
      <c r="B28" s="7"/>
      <c r="C28" s="8">
        <v>1</v>
      </c>
      <c r="D28" s="8">
        <v>0</v>
      </c>
      <c r="E28" s="8">
        <v>0</v>
      </c>
      <c r="F28" s="8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7" t="s">
        <v>157</v>
      </c>
      <c r="B29" s="7"/>
      <c r="C29" s="8">
        <v>3</v>
      </c>
      <c r="D29" s="8">
        <v>2</v>
      </c>
      <c r="E29" s="8">
        <v>0</v>
      </c>
      <c r="F29" s="8">
        <v>0</v>
      </c>
      <c r="G29" s="1" t="b">
        <f t="shared" si="0"/>
        <v>1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7" t="s">
        <v>158</v>
      </c>
      <c r="B30" s="7"/>
      <c r="C30" s="8">
        <v>2</v>
      </c>
      <c r="D30" s="8">
        <v>0</v>
      </c>
      <c r="E30" s="8">
        <v>0</v>
      </c>
      <c r="F30" s="8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7" t="s">
        <v>159</v>
      </c>
      <c r="B31" s="7"/>
      <c r="C31" s="8">
        <v>2</v>
      </c>
      <c r="D31" s="8">
        <v>0</v>
      </c>
      <c r="E31" s="8">
        <v>0</v>
      </c>
      <c r="F31" s="8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7" t="s">
        <v>160</v>
      </c>
      <c r="B32" s="7"/>
      <c r="C32" s="8">
        <v>1</v>
      </c>
      <c r="D32" s="8">
        <v>1</v>
      </c>
      <c r="E32" s="8">
        <v>0</v>
      </c>
      <c r="F32" s="8">
        <v>0</v>
      </c>
      <c r="G32" s="1" t="b">
        <f t="shared" si="0"/>
        <v>1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7" t="s">
        <v>161</v>
      </c>
      <c r="B33" s="7"/>
      <c r="C33" s="8">
        <v>3</v>
      </c>
      <c r="D33" s="8">
        <v>2</v>
      </c>
      <c r="E33" s="8">
        <v>0</v>
      </c>
      <c r="F33" s="8">
        <v>0</v>
      </c>
      <c r="G33" s="1" t="b">
        <f t="shared" si="0"/>
        <v>1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</row>
    <row r="34" spans="1:12" ht="15.75" customHeight="1">
      <c r="A34" s="7" t="s">
        <v>162</v>
      </c>
      <c r="B34" s="7"/>
      <c r="C34" s="8">
        <v>3</v>
      </c>
      <c r="D34" s="8">
        <v>2</v>
      </c>
      <c r="E34" s="8">
        <v>1</v>
      </c>
      <c r="F34" s="8">
        <v>0</v>
      </c>
      <c r="G34" s="1" t="b">
        <f t="shared" si="0"/>
        <v>1</v>
      </c>
      <c r="H34" s="1" t="b">
        <f t="shared" si="1"/>
        <v>1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 t="s">
        <v>163</v>
      </c>
    </row>
    <row r="35" spans="1:12" ht="15.75" customHeight="1">
      <c r="A35" s="7" t="s">
        <v>164</v>
      </c>
      <c r="B35" s="7"/>
      <c r="C35" s="8">
        <v>3</v>
      </c>
      <c r="D35" s="8">
        <v>3</v>
      </c>
      <c r="E35" s="8">
        <v>0</v>
      </c>
      <c r="F35" s="8">
        <v>0</v>
      </c>
      <c r="G35" s="1">
        <f t="shared" ref="G35:K35" si="5">COUNTIF(G3:G34,"TRUE")</f>
        <v>17</v>
      </c>
      <c r="H35" s="1">
        <f t="shared" si="5"/>
        <v>6</v>
      </c>
      <c r="I35" s="1">
        <f t="shared" si="5"/>
        <v>5</v>
      </c>
      <c r="J35" s="1">
        <f t="shared" si="5"/>
        <v>3</v>
      </c>
      <c r="K35" s="1">
        <f t="shared" si="5"/>
        <v>3</v>
      </c>
      <c r="L35" s="6">
        <f>COUNTA(E3:E34)</f>
        <v>32</v>
      </c>
    </row>
    <row r="36" spans="1:12" ht="15.75" customHeight="1">
      <c r="A36" s="7"/>
      <c r="B36" s="7"/>
      <c r="C36" s="8">
        <f t="shared" ref="C36:F36" si="6">SUM(C3:C35)</f>
        <v>89</v>
      </c>
      <c r="D36" s="8">
        <f t="shared" si="6"/>
        <v>32</v>
      </c>
      <c r="E36" s="8">
        <f t="shared" si="6"/>
        <v>9</v>
      </c>
      <c r="F36" s="9">
        <f t="shared" si="6"/>
        <v>5</v>
      </c>
      <c r="G36" s="2">
        <f>G35/L35</f>
        <v>0.53125</v>
      </c>
      <c r="H36" s="2">
        <f>H35/L35</f>
        <v>0.1875</v>
      </c>
      <c r="I36" s="2">
        <f>I35/L35</f>
        <v>0.15625</v>
      </c>
      <c r="J36" s="2">
        <f>J35/L35</f>
        <v>9.375E-2</v>
      </c>
      <c r="K36" s="2">
        <f>K35/L35</f>
        <v>9.375E-2</v>
      </c>
    </row>
    <row r="37" spans="1:12" ht="15.75" customHeight="1">
      <c r="E37" s="1" t="s">
        <v>49</v>
      </c>
      <c r="F37" s="2"/>
      <c r="G37" s="2"/>
      <c r="H37" s="2">
        <f>H35/G35</f>
        <v>0.35294117647058826</v>
      </c>
      <c r="I37" s="2">
        <f>I35/G35</f>
        <v>0.29411764705882354</v>
      </c>
      <c r="J37" s="2">
        <f>J35/G35</f>
        <v>0.17647058823529413</v>
      </c>
      <c r="K37" s="2">
        <f>K35/G35</f>
        <v>0.17647058823529413</v>
      </c>
    </row>
    <row r="38" spans="1:12" ht="15.75" customHeight="1">
      <c r="E38" s="1" t="s">
        <v>50</v>
      </c>
      <c r="F38" s="2"/>
      <c r="G38" s="2">
        <f>E35/C35</f>
        <v>0</v>
      </c>
      <c r="H38" s="2">
        <f>E35/D35</f>
        <v>0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2025-06-11T20:04:36Z</dcterms:modified>
</cp:coreProperties>
</file>