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pi0200\My Files\Home Folder\"/>
    </mc:Choice>
  </mc:AlternateContent>
  <bookViews>
    <workbookView xWindow="0" yWindow="765" windowWidth="30240" windowHeight="17400"/>
  </bookViews>
  <sheets>
    <sheet name="Summary" sheetId="1" r:id="rId1"/>
    <sheet name="January" sheetId="2" r:id="rId2"/>
    <sheet name="February" sheetId="3" r:id="rId3"/>
    <sheet name="March" sheetId="4" r:id="rId4"/>
    <sheet name="April" sheetId="5" r:id="rId5"/>
    <sheet name="May" sheetId="6" r:id="rId6"/>
    <sheet name="June" sheetId="7" r:id="rId7"/>
    <sheet name="July" sheetId="8" r:id="rId8"/>
    <sheet name="August" sheetId="9" r:id="rId9"/>
    <sheet name="September" sheetId="10" r:id="rId10"/>
    <sheet name="October" sheetId="11" r:id="rId11"/>
    <sheet name="November" sheetId="12" r:id="rId12"/>
    <sheet name="December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3" l="1"/>
  <c r="H4" i="13"/>
  <c r="I4" i="13"/>
  <c r="J4" i="13"/>
  <c r="K4" i="13"/>
  <c r="G5" i="13"/>
  <c r="H5" i="13"/>
  <c r="I5" i="13"/>
  <c r="J5" i="13"/>
  <c r="K5" i="13"/>
  <c r="G6" i="13"/>
  <c r="H6" i="13"/>
  <c r="I6" i="13"/>
  <c r="J6" i="13"/>
  <c r="K6" i="13"/>
  <c r="G7" i="13"/>
  <c r="H7" i="13"/>
  <c r="I7" i="13"/>
  <c r="J7" i="13"/>
  <c r="K7" i="13"/>
  <c r="G8" i="13"/>
  <c r="H8" i="13"/>
  <c r="I8" i="13"/>
  <c r="J8" i="13"/>
  <c r="K8" i="13"/>
  <c r="G9" i="13"/>
  <c r="H9" i="13"/>
  <c r="I9" i="13"/>
  <c r="J9" i="13"/>
  <c r="K9" i="13"/>
  <c r="G10" i="13"/>
  <c r="H10" i="13"/>
  <c r="I10" i="13"/>
  <c r="J10" i="13"/>
  <c r="K10" i="13"/>
  <c r="G11" i="13"/>
  <c r="H11" i="13"/>
  <c r="I11" i="13"/>
  <c r="J11" i="13"/>
  <c r="K11" i="13"/>
  <c r="G12" i="13"/>
  <c r="H12" i="13"/>
  <c r="I12" i="13"/>
  <c r="J12" i="13"/>
  <c r="K12" i="13"/>
  <c r="G13" i="13"/>
  <c r="H13" i="13"/>
  <c r="I13" i="13"/>
  <c r="J13" i="13"/>
  <c r="K13" i="13"/>
  <c r="G14" i="13"/>
  <c r="H14" i="13"/>
  <c r="I14" i="13"/>
  <c r="J14" i="13"/>
  <c r="K14" i="13"/>
  <c r="G15" i="13"/>
  <c r="H15" i="13"/>
  <c r="I15" i="13"/>
  <c r="J15" i="13"/>
  <c r="K15" i="13"/>
  <c r="G16" i="13"/>
  <c r="H16" i="13"/>
  <c r="I16" i="13"/>
  <c r="J16" i="13"/>
  <c r="K16" i="13"/>
  <c r="G17" i="13"/>
  <c r="H17" i="13"/>
  <c r="I17" i="13"/>
  <c r="J17" i="13"/>
  <c r="K17" i="13"/>
  <c r="G18" i="13"/>
  <c r="H18" i="13"/>
  <c r="I18" i="13"/>
  <c r="J18" i="13"/>
  <c r="K18" i="13"/>
  <c r="G19" i="13"/>
  <c r="H19" i="13"/>
  <c r="I19" i="13"/>
  <c r="J19" i="13"/>
  <c r="K19" i="13"/>
  <c r="G20" i="13"/>
  <c r="H20" i="13"/>
  <c r="I20" i="13"/>
  <c r="J20" i="13"/>
  <c r="K20" i="13"/>
  <c r="G21" i="13"/>
  <c r="H21" i="13"/>
  <c r="I21" i="13"/>
  <c r="J21" i="13"/>
  <c r="K21" i="13"/>
  <c r="G22" i="13"/>
  <c r="H22" i="13"/>
  <c r="I22" i="13"/>
  <c r="J22" i="13"/>
  <c r="K22" i="13"/>
  <c r="G23" i="13"/>
  <c r="H23" i="13"/>
  <c r="I23" i="13"/>
  <c r="J23" i="13"/>
  <c r="K23" i="13"/>
  <c r="G24" i="13"/>
  <c r="H24" i="13"/>
  <c r="I24" i="13"/>
  <c r="J24" i="13"/>
  <c r="K24" i="13"/>
  <c r="G25" i="13"/>
  <c r="H25" i="13"/>
  <c r="I25" i="13"/>
  <c r="J25" i="13"/>
  <c r="K25" i="13"/>
  <c r="G26" i="13"/>
  <c r="H26" i="13"/>
  <c r="I26" i="13"/>
  <c r="J26" i="13"/>
  <c r="K26" i="13"/>
  <c r="G27" i="13"/>
  <c r="H27" i="13"/>
  <c r="I27" i="13"/>
  <c r="J27" i="13"/>
  <c r="K27" i="13"/>
  <c r="G28" i="13"/>
  <c r="H28" i="13"/>
  <c r="I28" i="13"/>
  <c r="J28" i="13"/>
  <c r="K28" i="13"/>
  <c r="G29" i="13"/>
  <c r="H29" i="13"/>
  <c r="I29" i="13"/>
  <c r="J29" i="13"/>
  <c r="K29" i="13"/>
  <c r="G30" i="13"/>
  <c r="H30" i="13"/>
  <c r="I30" i="13"/>
  <c r="J30" i="13"/>
  <c r="K30" i="13"/>
  <c r="G31" i="13"/>
  <c r="H31" i="13"/>
  <c r="I31" i="13"/>
  <c r="J31" i="13"/>
  <c r="K31" i="13"/>
  <c r="G32" i="13"/>
  <c r="H32" i="13"/>
  <c r="I32" i="13"/>
  <c r="J32" i="13"/>
  <c r="K32" i="13"/>
  <c r="G33" i="13"/>
  <c r="H33" i="13"/>
  <c r="I33" i="13"/>
  <c r="J33" i="13"/>
  <c r="K33" i="13"/>
  <c r="G34" i="13"/>
  <c r="H34" i="13"/>
  <c r="I34" i="13"/>
  <c r="J34" i="13"/>
  <c r="K34" i="13"/>
  <c r="G4" i="12"/>
  <c r="H4" i="12"/>
  <c r="I4" i="12"/>
  <c r="J4" i="12"/>
  <c r="K4" i="12"/>
  <c r="G5" i="12"/>
  <c r="H5" i="12"/>
  <c r="I5" i="12"/>
  <c r="J5" i="12"/>
  <c r="K5" i="12"/>
  <c r="G6" i="12"/>
  <c r="H6" i="12"/>
  <c r="I6" i="12"/>
  <c r="J6" i="12"/>
  <c r="K6" i="12"/>
  <c r="G7" i="12"/>
  <c r="H7" i="12"/>
  <c r="I7" i="12"/>
  <c r="J7" i="12"/>
  <c r="K7" i="12"/>
  <c r="G8" i="12"/>
  <c r="H8" i="12"/>
  <c r="I8" i="12"/>
  <c r="J8" i="12"/>
  <c r="K8" i="12"/>
  <c r="G9" i="12"/>
  <c r="H9" i="12"/>
  <c r="I9" i="12"/>
  <c r="J9" i="12"/>
  <c r="K9" i="12"/>
  <c r="G10" i="12"/>
  <c r="H10" i="12"/>
  <c r="I10" i="12"/>
  <c r="J10" i="12"/>
  <c r="K10" i="12"/>
  <c r="G11" i="12"/>
  <c r="H11" i="12"/>
  <c r="I11" i="12"/>
  <c r="J11" i="12"/>
  <c r="K11" i="12"/>
  <c r="G12" i="12"/>
  <c r="H12" i="12"/>
  <c r="I12" i="12"/>
  <c r="J12" i="12"/>
  <c r="K12" i="12"/>
  <c r="G13" i="12"/>
  <c r="H13" i="12"/>
  <c r="I13" i="12"/>
  <c r="J13" i="12"/>
  <c r="K13" i="12"/>
  <c r="G14" i="12"/>
  <c r="H14" i="12"/>
  <c r="I14" i="12"/>
  <c r="J14" i="12"/>
  <c r="K14" i="12"/>
  <c r="G15" i="12"/>
  <c r="H15" i="12"/>
  <c r="I15" i="12"/>
  <c r="J15" i="12"/>
  <c r="K15" i="12"/>
  <c r="G16" i="12"/>
  <c r="H16" i="12"/>
  <c r="I16" i="12"/>
  <c r="J16" i="12"/>
  <c r="K16" i="12"/>
  <c r="G17" i="12"/>
  <c r="H17" i="12"/>
  <c r="I17" i="12"/>
  <c r="J17" i="12"/>
  <c r="K17" i="12"/>
  <c r="G18" i="12"/>
  <c r="H18" i="12"/>
  <c r="I18" i="12"/>
  <c r="J18" i="12"/>
  <c r="K18" i="12"/>
  <c r="G19" i="12"/>
  <c r="H19" i="12"/>
  <c r="I19" i="12"/>
  <c r="J19" i="12"/>
  <c r="K19" i="12"/>
  <c r="G20" i="12"/>
  <c r="H20" i="12"/>
  <c r="I20" i="12"/>
  <c r="J20" i="12"/>
  <c r="K20" i="12"/>
  <c r="G21" i="12"/>
  <c r="H21" i="12"/>
  <c r="I21" i="12"/>
  <c r="J21" i="12"/>
  <c r="K21" i="12"/>
  <c r="G22" i="12"/>
  <c r="H22" i="12"/>
  <c r="I22" i="12"/>
  <c r="J22" i="12"/>
  <c r="K22" i="12"/>
  <c r="G23" i="12"/>
  <c r="H23" i="12"/>
  <c r="I23" i="12"/>
  <c r="J23" i="12"/>
  <c r="K23" i="12"/>
  <c r="G24" i="12"/>
  <c r="H24" i="12"/>
  <c r="I24" i="12"/>
  <c r="J24" i="12"/>
  <c r="K24" i="12"/>
  <c r="G25" i="12"/>
  <c r="H25" i="12"/>
  <c r="I25" i="12"/>
  <c r="J25" i="12"/>
  <c r="K25" i="12"/>
  <c r="G26" i="12"/>
  <c r="H26" i="12"/>
  <c r="I26" i="12"/>
  <c r="J26" i="12"/>
  <c r="K26" i="12"/>
  <c r="G27" i="12"/>
  <c r="H27" i="12"/>
  <c r="I27" i="12"/>
  <c r="J27" i="12"/>
  <c r="K27" i="12"/>
  <c r="G28" i="12"/>
  <c r="H28" i="12"/>
  <c r="I28" i="12"/>
  <c r="J28" i="12"/>
  <c r="K28" i="12"/>
  <c r="G29" i="12"/>
  <c r="H29" i="12"/>
  <c r="I29" i="12"/>
  <c r="J29" i="12"/>
  <c r="K29" i="12"/>
  <c r="G30" i="12"/>
  <c r="H30" i="12"/>
  <c r="I30" i="12"/>
  <c r="J30" i="12"/>
  <c r="K30" i="12"/>
  <c r="G31" i="12"/>
  <c r="H31" i="12"/>
  <c r="I31" i="12"/>
  <c r="J31" i="12"/>
  <c r="K31" i="12"/>
  <c r="G32" i="12"/>
  <c r="H32" i="12"/>
  <c r="I32" i="12"/>
  <c r="J32" i="12"/>
  <c r="K32" i="12"/>
  <c r="G33" i="12"/>
  <c r="H33" i="12"/>
  <c r="I33" i="12"/>
  <c r="J33" i="12"/>
  <c r="K33" i="12"/>
  <c r="G34" i="12"/>
  <c r="H34" i="12"/>
  <c r="I34" i="12"/>
  <c r="J34" i="12"/>
  <c r="K34" i="12"/>
  <c r="G35" i="12"/>
  <c r="H35" i="12"/>
  <c r="I35" i="12"/>
  <c r="J35" i="12"/>
  <c r="K35" i="12"/>
  <c r="G36" i="12"/>
  <c r="H36" i="12"/>
  <c r="I36" i="12"/>
  <c r="J36" i="12"/>
  <c r="K36" i="12"/>
  <c r="G37" i="12"/>
  <c r="H37" i="12"/>
  <c r="I37" i="12"/>
  <c r="J37" i="12"/>
  <c r="K37" i="12"/>
  <c r="G38" i="12"/>
  <c r="H38" i="12"/>
  <c r="I38" i="12"/>
  <c r="J38" i="12"/>
  <c r="K38" i="12"/>
  <c r="G39" i="12"/>
  <c r="H39" i="12"/>
  <c r="I39" i="12"/>
  <c r="J39" i="12"/>
  <c r="K39" i="12"/>
  <c r="G40" i="12"/>
  <c r="H40" i="12"/>
  <c r="I40" i="12"/>
  <c r="J40" i="12"/>
  <c r="K40" i="12"/>
  <c r="G41" i="12"/>
  <c r="H41" i="12"/>
  <c r="I41" i="12"/>
  <c r="J41" i="12"/>
  <c r="K41" i="12"/>
  <c r="G42" i="12"/>
  <c r="H42" i="12"/>
  <c r="I42" i="12"/>
  <c r="J42" i="12"/>
  <c r="K42" i="12"/>
  <c r="G43" i="12"/>
  <c r="H43" i="12"/>
  <c r="I43" i="12"/>
  <c r="J43" i="12"/>
  <c r="K43" i="12"/>
  <c r="G44" i="12"/>
  <c r="H44" i="12"/>
  <c r="I44" i="12"/>
  <c r="J44" i="12"/>
  <c r="K44" i="12"/>
  <c r="G45" i="12"/>
  <c r="H45" i="12"/>
  <c r="I45" i="12"/>
  <c r="J45" i="12"/>
  <c r="K45" i="12"/>
  <c r="G4" i="11"/>
  <c r="H4" i="11"/>
  <c r="I4" i="11"/>
  <c r="J4" i="11"/>
  <c r="K4" i="11"/>
  <c r="G5" i="11"/>
  <c r="H5" i="11"/>
  <c r="I5" i="11"/>
  <c r="K5" i="11" s="1"/>
  <c r="J5" i="11"/>
  <c r="G6" i="11"/>
  <c r="H6" i="11"/>
  <c r="I6" i="11"/>
  <c r="J6" i="11"/>
  <c r="K6" i="11"/>
  <c r="G7" i="11"/>
  <c r="H7" i="11"/>
  <c r="I7" i="11"/>
  <c r="J7" i="11"/>
  <c r="K7" i="11"/>
  <c r="G8" i="11"/>
  <c r="H8" i="11"/>
  <c r="I8" i="11"/>
  <c r="J8" i="11"/>
  <c r="K8" i="11"/>
  <c r="G9" i="11"/>
  <c r="H9" i="11"/>
  <c r="I9" i="11"/>
  <c r="J9" i="11"/>
  <c r="K9" i="11"/>
  <c r="G10" i="11"/>
  <c r="H10" i="11"/>
  <c r="I10" i="11"/>
  <c r="J10" i="11"/>
  <c r="K10" i="11"/>
  <c r="G11" i="11"/>
  <c r="H11" i="11"/>
  <c r="I11" i="11"/>
  <c r="J11" i="11"/>
  <c r="K11" i="11"/>
  <c r="G12" i="11"/>
  <c r="H12" i="11"/>
  <c r="I12" i="11"/>
  <c r="J12" i="11"/>
  <c r="K12" i="11"/>
  <c r="G13" i="11"/>
  <c r="H13" i="11"/>
  <c r="I13" i="11"/>
  <c r="J13" i="11"/>
  <c r="K13" i="11"/>
  <c r="G14" i="11"/>
  <c r="H14" i="11"/>
  <c r="I14" i="11"/>
  <c r="J14" i="11"/>
  <c r="K14" i="11"/>
  <c r="G15" i="11"/>
  <c r="H15" i="11"/>
  <c r="I15" i="11"/>
  <c r="J15" i="11"/>
  <c r="K15" i="11"/>
  <c r="G16" i="11"/>
  <c r="H16" i="11"/>
  <c r="I16" i="11"/>
  <c r="J16" i="11"/>
  <c r="K16" i="11"/>
  <c r="G17" i="11"/>
  <c r="H17" i="11"/>
  <c r="I17" i="11"/>
  <c r="J17" i="11"/>
  <c r="K17" i="11"/>
  <c r="G18" i="11"/>
  <c r="H18" i="11"/>
  <c r="I18" i="11"/>
  <c r="J18" i="11"/>
  <c r="K18" i="11"/>
  <c r="G19" i="11"/>
  <c r="H19" i="11"/>
  <c r="I19" i="11"/>
  <c r="J19" i="11"/>
  <c r="K19" i="11"/>
  <c r="G20" i="11"/>
  <c r="H20" i="11"/>
  <c r="I20" i="11"/>
  <c r="J20" i="11"/>
  <c r="K20" i="11"/>
  <c r="G21" i="11"/>
  <c r="H21" i="11"/>
  <c r="I21" i="11"/>
  <c r="J21" i="11"/>
  <c r="K21" i="11"/>
  <c r="G22" i="11"/>
  <c r="H22" i="11"/>
  <c r="I22" i="11"/>
  <c r="J22" i="11"/>
  <c r="K22" i="11"/>
  <c r="G23" i="11"/>
  <c r="H23" i="11"/>
  <c r="I23" i="11"/>
  <c r="J23" i="11"/>
  <c r="K23" i="11"/>
  <c r="G24" i="11"/>
  <c r="H24" i="11"/>
  <c r="I24" i="11"/>
  <c r="J24" i="11"/>
  <c r="K24" i="11"/>
  <c r="G25" i="11"/>
  <c r="H25" i="11"/>
  <c r="I25" i="11"/>
  <c r="J25" i="11"/>
  <c r="K25" i="11"/>
  <c r="G26" i="11"/>
  <c r="H26" i="11"/>
  <c r="I26" i="11"/>
  <c r="J26" i="11"/>
  <c r="K26" i="11"/>
  <c r="G27" i="11"/>
  <c r="H27" i="11"/>
  <c r="I27" i="11"/>
  <c r="J27" i="11"/>
  <c r="K27" i="11"/>
  <c r="G28" i="11"/>
  <c r="H28" i="11"/>
  <c r="I28" i="11"/>
  <c r="J28" i="11"/>
  <c r="K28" i="11"/>
  <c r="G29" i="11"/>
  <c r="H29" i="11"/>
  <c r="I29" i="11"/>
  <c r="J29" i="11"/>
  <c r="K29" i="11"/>
  <c r="G30" i="11"/>
  <c r="H30" i="11"/>
  <c r="I30" i="11"/>
  <c r="J30" i="11"/>
  <c r="K30" i="11"/>
  <c r="G31" i="11"/>
  <c r="H31" i="11"/>
  <c r="I31" i="11"/>
  <c r="J31" i="11"/>
  <c r="K31" i="11"/>
  <c r="G32" i="11"/>
  <c r="H32" i="11"/>
  <c r="I32" i="11"/>
  <c r="J32" i="11"/>
  <c r="K32" i="11"/>
  <c r="G33" i="11"/>
  <c r="H33" i="11"/>
  <c r="I33" i="11"/>
  <c r="J33" i="11"/>
  <c r="K33" i="11"/>
  <c r="G34" i="11"/>
  <c r="H34" i="11"/>
  <c r="I34" i="11"/>
  <c r="J34" i="11"/>
  <c r="K34" i="11"/>
  <c r="G4" i="10"/>
  <c r="H4" i="10"/>
  <c r="I4" i="10"/>
  <c r="K4" i="10" s="1"/>
  <c r="J4" i="10"/>
  <c r="G5" i="10"/>
  <c r="H5" i="10"/>
  <c r="I5" i="10"/>
  <c r="J5" i="10"/>
  <c r="K5" i="10"/>
  <c r="G6" i="10"/>
  <c r="H6" i="10"/>
  <c r="I6" i="10"/>
  <c r="K6" i="10" s="1"/>
  <c r="J6" i="10"/>
  <c r="G7" i="10"/>
  <c r="H7" i="10"/>
  <c r="I7" i="10"/>
  <c r="J7" i="10"/>
  <c r="K7" i="10"/>
  <c r="G8" i="10"/>
  <c r="H8" i="10"/>
  <c r="I8" i="10"/>
  <c r="K8" i="10" s="1"/>
  <c r="J8" i="10"/>
  <c r="G9" i="10"/>
  <c r="H9" i="10"/>
  <c r="I9" i="10"/>
  <c r="J9" i="10"/>
  <c r="K9" i="10"/>
  <c r="G10" i="10"/>
  <c r="H10" i="10"/>
  <c r="I10" i="10"/>
  <c r="K10" i="10" s="1"/>
  <c r="J10" i="10"/>
  <c r="G11" i="10"/>
  <c r="H11" i="10"/>
  <c r="I11" i="10"/>
  <c r="K11" i="10" s="1"/>
  <c r="J11" i="10"/>
  <c r="G12" i="10"/>
  <c r="H12" i="10"/>
  <c r="I12" i="10"/>
  <c r="K12" i="10" s="1"/>
  <c r="J12" i="10"/>
  <c r="G13" i="10"/>
  <c r="H13" i="10"/>
  <c r="I13" i="10"/>
  <c r="J13" i="10"/>
  <c r="K13" i="10"/>
  <c r="G14" i="10"/>
  <c r="H14" i="10"/>
  <c r="I14" i="10"/>
  <c r="K14" i="10" s="1"/>
  <c r="J14" i="10"/>
  <c r="G15" i="10"/>
  <c r="H15" i="10"/>
  <c r="I15" i="10"/>
  <c r="J15" i="10"/>
  <c r="K15" i="10"/>
  <c r="G16" i="10"/>
  <c r="H16" i="10"/>
  <c r="I16" i="10"/>
  <c r="K16" i="10" s="1"/>
  <c r="J16" i="10"/>
  <c r="G17" i="10"/>
  <c r="H17" i="10"/>
  <c r="I17" i="10"/>
  <c r="J17" i="10"/>
  <c r="K17" i="10"/>
  <c r="G18" i="10"/>
  <c r="H18" i="10"/>
  <c r="I18" i="10"/>
  <c r="K18" i="10" s="1"/>
  <c r="J18" i="10"/>
  <c r="G19" i="10"/>
  <c r="H19" i="10"/>
  <c r="I19" i="10"/>
  <c r="J19" i="10"/>
  <c r="K19" i="10"/>
  <c r="G20" i="10"/>
  <c r="H20" i="10"/>
  <c r="I20" i="10"/>
  <c r="K20" i="10" s="1"/>
  <c r="J20" i="10"/>
  <c r="G21" i="10"/>
  <c r="H21" i="10"/>
  <c r="I21" i="10"/>
  <c r="J21" i="10"/>
  <c r="K21" i="10"/>
  <c r="G22" i="10"/>
  <c r="H22" i="10"/>
  <c r="I22" i="10"/>
  <c r="K22" i="10" s="1"/>
  <c r="J22" i="10"/>
  <c r="G23" i="10"/>
  <c r="H23" i="10"/>
  <c r="I23" i="10"/>
  <c r="J23" i="10"/>
  <c r="K23" i="10"/>
  <c r="G24" i="10"/>
  <c r="H24" i="10"/>
  <c r="I24" i="10"/>
  <c r="K24" i="10" s="1"/>
  <c r="J24" i="10"/>
  <c r="G25" i="10"/>
  <c r="H25" i="10"/>
  <c r="I25" i="10"/>
  <c r="J25" i="10"/>
  <c r="K25" i="10"/>
  <c r="G26" i="10"/>
  <c r="H26" i="10"/>
  <c r="I26" i="10"/>
  <c r="K26" i="10" s="1"/>
  <c r="J26" i="10"/>
  <c r="G27" i="10"/>
  <c r="H27" i="10"/>
  <c r="I27" i="10"/>
  <c r="J27" i="10"/>
  <c r="K27" i="10"/>
  <c r="G28" i="10"/>
  <c r="H28" i="10"/>
  <c r="I28" i="10"/>
  <c r="K28" i="10" s="1"/>
  <c r="J28" i="10"/>
  <c r="G4" i="9"/>
  <c r="H4" i="9"/>
  <c r="I4" i="9"/>
  <c r="K4" i="9" s="1"/>
  <c r="J4" i="9"/>
  <c r="G5" i="9"/>
  <c r="H5" i="9"/>
  <c r="I5" i="9"/>
  <c r="K5" i="9" s="1"/>
  <c r="J5" i="9"/>
  <c r="G6" i="9"/>
  <c r="H6" i="9"/>
  <c r="I6" i="9"/>
  <c r="K6" i="9" s="1"/>
  <c r="J6" i="9"/>
  <c r="G7" i="9"/>
  <c r="H7" i="9"/>
  <c r="I7" i="9"/>
  <c r="J7" i="9"/>
  <c r="K7" i="9"/>
  <c r="G8" i="9"/>
  <c r="H8" i="9"/>
  <c r="I8" i="9"/>
  <c r="K8" i="9" s="1"/>
  <c r="J8" i="9"/>
  <c r="G9" i="9"/>
  <c r="H9" i="9"/>
  <c r="I9" i="9"/>
  <c r="J9" i="9"/>
  <c r="K9" i="9"/>
  <c r="G10" i="9"/>
  <c r="H10" i="9"/>
  <c r="I10" i="9"/>
  <c r="K10" i="9" s="1"/>
  <c r="J10" i="9"/>
  <c r="G11" i="9"/>
  <c r="H11" i="9"/>
  <c r="I11" i="9"/>
  <c r="J11" i="9"/>
  <c r="K11" i="9"/>
  <c r="G12" i="9"/>
  <c r="H12" i="9"/>
  <c r="I12" i="9"/>
  <c r="K12" i="9" s="1"/>
  <c r="J12" i="9"/>
  <c r="G13" i="9"/>
  <c r="H13" i="9"/>
  <c r="I13" i="9"/>
  <c r="J13" i="9"/>
  <c r="K13" i="9"/>
  <c r="G14" i="9"/>
  <c r="H14" i="9"/>
  <c r="I14" i="9"/>
  <c r="K14" i="9" s="1"/>
  <c r="J14" i="9"/>
  <c r="G15" i="9"/>
  <c r="H15" i="9"/>
  <c r="I15" i="9"/>
  <c r="J15" i="9"/>
  <c r="K15" i="9"/>
  <c r="G16" i="9"/>
  <c r="H16" i="9"/>
  <c r="I16" i="9"/>
  <c r="K16" i="9" s="1"/>
  <c r="J16" i="9"/>
  <c r="G17" i="9"/>
  <c r="H17" i="9"/>
  <c r="I17" i="9"/>
  <c r="J17" i="9"/>
  <c r="K17" i="9"/>
  <c r="G18" i="9"/>
  <c r="H18" i="9"/>
  <c r="I18" i="9"/>
  <c r="K18" i="9" s="1"/>
  <c r="J18" i="9"/>
  <c r="G19" i="9"/>
  <c r="H19" i="9"/>
  <c r="I19" i="9"/>
  <c r="J19" i="9"/>
  <c r="K19" i="9"/>
  <c r="G20" i="9"/>
  <c r="H20" i="9"/>
  <c r="I20" i="9"/>
  <c r="K20" i="9" s="1"/>
  <c r="J20" i="9"/>
  <c r="G21" i="9"/>
  <c r="H21" i="9"/>
  <c r="I21" i="9"/>
  <c r="J21" i="9"/>
  <c r="K21" i="9"/>
  <c r="G22" i="9"/>
  <c r="H22" i="9"/>
  <c r="I22" i="9"/>
  <c r="K22" i="9" s="1"/>
  <c r="J22" i="9"/>
  <c r="G23" i="9"/>
  <c r="H23" i="9"/>
  <c r="I23" i="9"/>
  <c r="J23" i="9"/>
  <c r="K23" i="9"/>
  <c r="G24" i="9"/>
  <c r="H24" i="9"/>
  <c r="I24" i="9"/>
  <c r="K24" i="9" s="1"/>
  <c r="J24" i="9"/>
  <c r="G25" i="9"/>
  <c r="H25" i="9"/>
  <c r="I25" i="9"/>
  <c r="J25" i="9"/>
  <c r="K25" i="9"/>
  <c r="G26" i="9"/>
  <c r="H26" i="9"/>
  <c r="I26" i="9"/>
  <c r="K26" i="9" s="1"/>
  <c r="J26" i="9"/>
  <c r="G27" i="9"/>
  <c r="H27" i="9"/>
  <c r="I27" i="9"/>
  <c r="J27" i="9"/>
  <c r="K27" i="9"/>
  <c r="G28" i="9"/>
  <c r="H28" i="9"/>
  <c r="I28" i="9"/>
  <c r="K28" i="9" s="1"/>
  <c r="J28" i="9"/>
  <c r="G29" i="9"/>
  <c r="H29" i="9"/>
  <c r="I29" i="9"/>
  <c r="J29" i="9"/>
  <c r="K29" i="9"/>
  <c r="G30" i="9"/>
  <c r="H30" i="9"/>
  <c r="I30" i="9"/>
  <c r="K30" i="9" s="1"/>
  <c r="J30" i="9"/>
  <c r="G31" i="9"/>
  <c r="H31" i="9"/>
  <c r="I31" i="9"/>
  <c r="J31" i="9"/>
  <c r="K31" i="9"/>
  <c r="G4" i="8"/>
  <c r="H4" i="8"/>
  <c r="I4" i="8"/>
  <c r="J4" i="8"/>
  <c r="K4" i="8"/>
  <c r="G5" i="8"/>
  <c r="H5" i="8"/>
  <c r="I5" i="8"/>
  <c r="J5" i="8"/>
  <c r="K5" i="8"/>
  <c r="G6" i="8"/>
  <c r="H6" i="8"/>
  <c r="I6" i="8"/>
  <c r="J6" i="8"/>
  <c r="K6" i="8"/>
  <c r="G7" i="8"/>
  <c r="H7" i="8"/>
  <c r="I7" i="8"/>
  <c r="J7" i="8"/>
  <c r="K7" i="8"/>
  <c r="G8" i="8"/>
  <c r="H8" i="8"/>
  <c r="I8" i="8"/>
  <c r="J8" i="8"/>
  <c r="K8" i="8"/>
  <c r="G9" i="8"/>
  <c r="H9" i="8"/>
  <c r="I9" i="8"/>
  <c r="J9" i="8"/>
  <c r="K9" i="8"/>
  <c r="G10" i="8"/>
  <c r="H10" i="8"/>
  <c r="I10" i="8"/>
  <c r="J10" i="8"/>
  <c r="K10" i="8"/>
  <c r="G11" i="8"/>
  <c r="H11" i="8"/>
  <c r="I11" i="8"/>
  <c r="J11" i="8"/>
  <c r="K11" i="8"/>
  <c r="G12" i="8"/>
  <c r="H12" i="8"/>
  <c r="I12" i="8"/>
  <c r="J12" i="8"/>
  <c r="K12" i="8"/>
  <c r="G13" i="8"/>
  <c r="H13" i="8"/>
  <c r="I13" i="8"/>
  <c r="J13" i="8"/>
  <c r="K13" i="8"/>
  <c r="G14" i="8"/>
  <c r="H14" i="8"/>
  <c r="I14" i="8"/>
  <c r="J14" i="8"/>
  <c r="K14" i="8"/>
  <c r="G15" i="8"/>
  <c r="H15" i="8"/>
  <c r="I15" i="8"/>
  <c r="J15" i="8"/>
  <c r="K15" i="8"/>
  <c r="G16" i="8"/>
  <c r="H16" i="8"/>
  <c r="I16" i="8"/>
  <c r="J16" i="8"/>
  <c r="K16" i="8"/>
  <c r="G17" i="8"/>
  <c r="H17" i="8"/>
  <c r="I17" i="8"/>
  <c r="J17" i="8"/>
  <c r="K17" i="8"/>
  <c r="G18" i="8"/>
  <c r="H18" i="8"/>
  <c r="I18" i="8"/>
  <c r="J18" i="8"/>
  <c r="K18" i="8"/>
  <c r="G19" i="8"/>
  <c r="H19" i="8"/>
  <c r="I19" i="8"/>
  <c r="J19" i="8"/>
  <c r="K19" i="8"/>
  <c r="G20" i="8"/>
  <c r="H20" i="8"/>
  <c r="I20" i="8"/>
  <c r="J20" i="8"/>
  <c r="K20" i="8"/>
  <c r="G21" i="8"/>
  <c r="H21" i="8"/>
  <c r="I21" i="8"/>
  <c r="J21" i="8"/>
  <c r="K21" i="8"/>
  <c r="G22" i="8"/>
  <c r="H22" i="8"/>
  <c r="I22" i="8"/>
  <c r="J22" i="8"/>
  <c r="K22" i="8"/>
  <c r="G23" i="8"/>
  <c r="H23" i="8"/>
  <c r="I23" i="8"/>
  <c r="J23" i="8"/>
  <c r="K23" i="8"/>
  <c r="G4" i="7"/>
  <c r="H4" i="7"/>
  <c r="I4" i="7"/>
  <c r="J4" i="7"/>
  <c r="K4" i="7"/>
  <c r="G5" i="7"/>
  <c r="H5" i="7"/>
  <c r="I5" i="7"/>
  <c r="J5" i="7"/>
  <c r="K5" i="7"/>
  <c r="G6" i="7"/>
  <c r="H6" i="7"/>
  <c r="I6" i="7"/>
  <c r="J6" i="7"/>
  <c r="K6" i="7"/>
  <c r="G7" i="7"/>
  <c r="H7" i="7"/>
  <c r="I7" i="7"/>
  <c r="J7" i="7"/>
  <c r="K7" i="7"/>
  <c r="G8" i="7"/>
  <c r="H8" i="7"/>
  <c r="I8" i="7"/>
  <c r="J8" i="7"/>
  <c r="K8" i="7"/>
  <c r="G9" i="7"/>
  <c r="H9" i="7"/>
  <c r="I9" i="7"/>
  <c r="J9" i="7"/>
  <c r="K9" i="7"/>
  <c r="G10" i="7"/>
  <c r="H10" i="7"/>
  <c r="I10" i="7"/>
  <c r="J10" i="7"/>
  <c r="K10" i="7"/>
  <c r="G11" i="7"/>
  <c r="H11" i="7"/>
  <c r="I11" i="7"/>
  <c r="J11" i="7"/>
  <c r="K11" i="7"/>
  <c r="G12" i="7"/>
  <c r="H12" i="7"/>
  <c r="I12" i="7"/>
  <c r="J12" i="7"/>
  <c r="K12" i="7"/>
  <c r="G13" i="7"/>
  <c r="H13" i="7"/>
  <c r="I13" i="7"/>
  <c r="J13" i="7"/>
  <c r="K13" i="7"/>
  <c r="G14" i="7"/>
  <c r="H14" i="7"/>
  <c r="I14" i="7"/>
  <c r="J14" i="7"/>
  <c r="K14" i="7"/>
  <c r="G15" i="7"/>
  <c r="H15" i="7"/>
  <c r="I15" i="7"/>
  <c r="J15" i="7"/>
  <c r="K15" i="7"/>
  <c r="G16" i="7"/>
  <c r="H16" i="7"/>
  <c r="I16" i="7"/>
  <c r="K16" i="7" s="1"/>
  <c r="J16" i="7"/>
  <c r="G17" i="7"/>
  <c r="H17" i="7"/>
  <c r="I17" i="7"/>
  <c r="J17" i="7"/>
  <c r="K17" i="7"/>
  <c r="G18" i="7"/>
  <c r="H18" i="7"/>
  <c r="I18" i="7"/>
  <c r="J18" i="7"/>
  <c r="K18" i="7"/>
  <c r="G19" i="7"/>
  <c r="H19" i="7"/>
  <c r="I19" i="7"/>
  <c r="J19" i="7"/>
  <c r="K19" i="7"/>
  <c r="G20" i="7"/>
  <c r="H20" i="7"/>
  <c r="I20" i="7"/>
  <c r="J20" i="7"/>
  <c r="K20" i="7"/>
  <c r="G21" i="7"/>
  <c r="H21" i="7"/>
  <c r="I21" i="7"/>
  <c r="J21" i="7"/>
  <c r="K21" i="7"/>
  <c r="G22" i="7"/>
  <c r="H22" i="7"/>
  <c r="I22" i="7"/>
  <c r="J22" i="7"/>
  <c r="K22" i="7"/>
  <c r="G23" i="7"/>
  <c r="H23" i="7"/>
  <c r="I23" i="7"/>
  <c r="J23" i="7"/>
  <c r="K23" i="7"/>
  <c r="G24" i="7"/>
  <c r="H24" i="7"/>
  <c r="I24" i="7"/>
  <c r="J24" i="7"/>
  <c r="K24" i="7"/>
  <c r="G25" i="7"/>
  <c r="H25" i="7"/>
  <c r="I25" i="7"/>
  <c r="J25" i="7"/>
  <c r="K25" i="7"/>
  <c r="G26" i="7"/>
  <c r="H26" i="7"/>
  <c r="I26" i="7"/>
  <c r="J26" i="7"/>
  <c r="K26" i="7"/>
  <c r="G27" i="7"/>
  <c r="H27" i="7"/>
  <c r="I27" i="7"/>
  <c r="J27" i="7"/>
  <c r="K27" i="7"/>
  <c r="G28" i="7"/>
  <c r="H28" i="7"/>
  <c r="I28" i="7"/>
  <c r="J28" i="7"/>
  <c r="K28" i="7"/>
  <c r="G29" i="7"/>
  <c r="H29" i="7"/>
  <c r="I29" i="7"/>
  <c r="J29" i="7"/>
  <c r="K29" i="7"/>
  <c r="G30" i="7"/>
  <c r="H30" i="7"/>
  <c r="I30" i="7"/>
  <c r="J30" i="7"/>
  <c r="K30" i="7"/>
  <c r="G31" i="7"/>
  <c r="H31" i="7"/>
  <c r="I31" i="7"/>
  <c r="J31" i="7"/>
  <c r="K31" i="7"/>
  <c r="G4" i="6"/>
  <c r="H4" i="6"/>
  <c r="I4" i="6"/>
  <c r="J4" i="6"/>
  <c r="K4" i="6"/>
  <c r="G5" i="6"/>
  <c r="H5" i="6"/>
  <c r="I5" i="6"/>
  <c r="J5" i="6"/>
  <c r="K5" i="6"/>
  <c r="G6" i="6"/>
  <c r="H6" i="6"/>
  <c r="I6" i="6"/>
  <c r="J6" i="6"/>
  <c r="K6" i="6"/>
  <c r="G7" i="6"/>
  <c r="H7" i="6"/>
  <c r="I7" i="6"/>
  <c r="J7" i="6"/>
  <c r="K7" i="6"/>
  <c r="G8" i="6"/>
  <c r="H8" i="6"/>
  <c r="I8" i="6"/>
  <c r="J8" i="6"/>
  <c r="K8" i="6"/>
  <c r="G9" i="6"/>
  <c r="H9" i="6"/>
  <c r="I9" i="6"/>
  <c r="J9" i="6"/>
  <c r="K9" i="6"/>
  <c r="G10" i="6"/>
  <c r="H10" i="6"/>
  <c r="I10" i="6"/>
  <c r="J10" i="6"/>
  <c r="K10" i="6"/>
  <c r="G11" i="6"/>
  <c r="H11" i="6"/>
  <c r="I11" i="6"/>
  <c r="J11" i="6"/>
  <c r="K11" i="6"/>
  <c r="G12" i="6"/>
  <c r="H12" i="6"/>
  <c r="I12" i="6"/>
  <c r="J12" i="6"/>
  <c r="K12" i="6"/>
  <c r="G13" i="6"/>
  <c r="H13" i="6"/>
  <c r="I13" i="6"/>
  <c r="J13" i="6"/>
  <c r="K13" i="6"/>
  <c r="G14" i="6"/>
  <c r="H14" i="6"/>
  <c r="I14" i="6"/>
  <c r="J14" i="6"/>
  <c r="K14" i="6"/>
  <c r="G15" i="6"/>
  <c r="H15" i="6"/>
  <c r="I15" i="6"/>
  <c r="J15" i="6"/>
  <c r="K15" i="6"/>
  <c r="G16" i="6"/>
  <c r="H16" i="6"/>
  <c r="I16" i="6"/>
  <c r="J16" i="6"/>
  <c r="K16" i="6"/>
  <c r="G17" i="6"/>
  <c r="H17" i="6"/>
  <c r="I17" i="6"/>
  <c r="J17" i="6"/>
  <c r="K17" i="6"/>
  <c r="G18" i="6"/>
  <c r="H18" i="6"/>
  <c r="I18" i="6"/>
  <c r="J18" i="6"/>
  <c r="K18" i="6"/>
  <c r="G19" i="6"/>
  <c r="H19" i="6"/>
  <c r="I19" i="6"/>
  <c r="J19" i="6"/>
  <c r="K19" i="6"/>
  <c r="G20" i="6"/>
  <c r="H20" i="6"/>
  <c r="I20" i="6"/>
  <c r="J20" i="6"/>
  <c r="K20" i="6"/>
  <c r="G21" i="6"/>
  <c r="H21" i="6"/>
  <c r="I21" i="6"/>
  <c r="J21" i="6"/>
  <c r="K21" i="6"/>
  <c r="G22" i="6"/>
  <c r="H22" i="6"/>
  <c r="I22" i="6"/>
  <c r="J22" i="6"/>
  <c r="K22" i="6"/>
  <c r="G23" i="6"/>
  <c r="H23" i="6"/>
  <c r="I23" i="6"/>
  <c r="J23" i="6"/>
  <c r="K23" i="6"/>
  <c r="G24" i="6"/>
  <c r="H24" i="6"/>
  <c r="I24" i="6"/>
  <c r="J24" i="6"/>
  <c r="K24" i="6"/>
  <c r="G25" i="6"/>
  <c r="H25" i="6"/>
  <c r="I25" i="6"/>
  <c r="J25" i="6"/>
  <c r="K25" i="6"/>
  <c r="G26" i="6"/>
  <c r="H26" i="6"/>
  <c r="I26" i="6"/>
  <c r="J26" i="6"/>
  <c r="K26" i="6"/>
  <c r="G27" i="6"/>
  <c r="H27" i="6"/>
  <c r="I27" i="6"/>
  <c r="J27" i="6"/>
  <c r="K27" i="6"/>
  <c r="G28" i="6"/>
  <c r="H28" i="6"/>
  <c r="I28" i="6"/>
  <c r="J28" i="6"/>
  <c r="K28" i="6"/>
  <c r="G29" i="6"/>
  <c r="H29" i="6"/>
  <c r="I29" i="6"/>
  <c r="J29" i="6"/>
  <c r="K29" i="6"/>
  <c r="G30" i="6"/>
  <c r="H30" i="6"/>
  <c r="I30" i="6"/>
  <c r="J30" i="6"/>
  <c r="K30" i="6"/>
  <c r="G31" i="6"/>
  <c r="H31" i="6"/>
  <c r="I31" i="6"/>
  <c r="J31" i="6"/>
  <c r="K31" i="6"/>
  <c r="G32" i="6"/>
  <c r="H32" i="6"/>
  <c r="I32" i="6"/>
  <c r="J32" i="6"/>
  <c r="K32" i="6"/>
  <c r="G4" i="5"/>
  <c r="H4" i="5"/>
  <c r="I4" i="5"/>
  <c r="J4" i="5"/>
  <c r="K4" i="5"/>
  <c r="G5" i="5"/>
  <c r="H5" i="5"/>
  <c r="I5" i="5"/>
  <c r="K5" i="5" s="1"/>
  <c r="J5" i="5"/>
  <c r="G6" i="5"/>
  <c r="H6" i="5"/>
  <c r="I6" i="5"/>
  <c r="J6" i="5"/>
  <c r="K6" i="5"/>
  <c r="G7" i="5"/>
  <c r="H7" i="5"/>
  <c r="I7" i="5"/>
  <c r="K7" i="5" s="1"/>
  <c r="J7" i="5"/>
  <c r="G8" i="5"/>
  <c r="H8" i="5"/>
  <c r="I8" i="5"/>
  <c r="J8" i="5"/>
  <c r="K8" i="5"/>
  <c r="G9" i="5"/>
  <c r="H9" i="5"/>
  <c r="I9" i="5"/>
  <c r="K9" i="5" s="1"/>
  <c r="J9" i="5"/>
  <c r="G10" i="5"/>
  <c r="H10" i="5"/>
  <c r="I10" i="5"/>
  <c r="J10" i="5"/>
  <c r="K10" i="5"/>
  <c r="G11" i="5"/>
  <c r="H11" i="5"/>
  <c r="I11" i="5"/>
  <c r="K11" i="5" s="1"/>
  <c r="J11" i="5"/>
  <c r="G12" i="5"/>
  <c r="H12" i="5"/>
  <c r="I12" i="5"/>
  <c r="J12" i="5"/>
  <c r="K12" i="5"/>
  <c r="G13" i="5"/>
  <c r="H13" i="5"/>
  <c r="I13" i="5"/>
  <c r="K13" i="5" s="1"/>
  <c r="J13" i="5"/>
  <c r="G14" i="5"/>
  <c r="H14" i="5"/>
  <c r="I14" i="5"/>
  <c r="J14" i="5"/>
  <c r="K14" i="5"/>
  <c r="G15" i="5"/>
  <c r="H15" i="5"/>
  <c r="I15" i="5"/>
  <c r="K15" i="5" s="1"/>
  <c r="J15" i="5"/>
  <c r="G16" i="5"/>
  <c r="H16" i="5"/>
  <c r="I16" i="5"/>
  <c r="J16" i="5"/>
  <c r="K16" i="5"/>
  <c r="G17" i="5"/>
  <c r="H17" i="5"/>
  <c r="I17" i="5"/>
  <c r="K17" i="5" s="1"/>
  <c r="J17" i="5"/>
  <c r="G18" i="5"/>
  <c r="H18" i="5"/>
  <c r="I18" i="5"/>
  <c r="J18" i="5"/>
  <c r="K18" i="5"/>
  <c r="G19" i="5"/>
  <c r="H19" i="5"/>
  <c r="I19" i="5"/>
  <c r="K19" i="5" s="1"/>
  <c r="J19" i="5"/>
  <c r="G20" i="5"/>
  <c r="H20" i="5"/>
  <c r="I20" i="5"/>
  <c r="J20" i="5"/>
  <c r="K20" i="5"/>
  <c r="G21" i="5"/>
  <c r="H21" i="5"/>
  <c r="I21" i="5"/>
  <c r="K21" i="5" s="1"/>
  <c r="J21" i="5"/>
  <c r="G22" i="5"/>
  <c r="H22" i="5"/>
  <c r="I22" i="5"/>
  <c r="J22" i="5"/>
  <c r="K22" i="5"/>
  <c r="G23" i="5"/>
  <c r="H23" i="5"/>
  <c r="I23" i="5"/>
  <c r="K23" i="5" s="1"/>
  <c r="J23" i="5"/>
  <c r="G24" i="5"/>
  <c r="H24" i="5"/>
  <c r="I24" i="5"/>
  <c r="J24" i="5"/>
  <c r="K24" i="5"/>
  <c r="G25" i="5"/>
  <c r="H25" i="5"/>
  <c r="I25" i="5"/>
  <c r="K25" i="5" s="1"/>
  <c r="J25" i="5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G11" i="4"/>
  <c r="H11" i="4"/>
  <c r="I11" i="4"/>
  <c r="J11" i="4"/>
  <c r="K11" i="4"/>
  <c r="G12" i="4"/>
  <c r="H12" i="4"/>
  <c r="I12" i="4"/>
  <c r="J12" i="4"/>
  <c r="K12" i="4"/>
  <c r="G13" i="4"/>
  <c r="H13" i="4"/>
  <c r="I13" i="4"/>
  <c r="J13" i="4"/>
  <c r="K13" i="4"/>
  <c r="G14" i="4"/>
  <c r="H14" i="4"/>
  <c r="I14" i="4"/>
  <c r="J14" i="4"/>
  <c r="K14" i="4"/>
  <c r="G15" i="4"/>
  <c r="H15" i="4"/>
  <c r="I15" i="4"/>
  <c r="J15" i="4"/>
  <c r="K15" i="4"/>
  <c r="G16" i="4"/>
  <c r="H16" i="4"/>
  <c r="I16" i="4"/>
  <c r="J16" i="4"/>
  <c r="K16" i="4"/>
  <c r="G17" i="4"/>
  <c r="H17" i="4"/>
  <c r="I17" i="4"/>
  <c r="J17" i="4"/>
  <c r="K17" i="4"/>
  <c r="G18" i="4"/>
  <c r="H18" i="4"/>
  <c r="I18" i="4"/>
  <c r="J18" i="4"/>
  <c r="K18" i="4"/>
  <c r="G19" i="4"/>
  <c r="H19" i="4"/>
  <c r="I19" i="4"/>
  <c r="J19" i="4"/>
  <c r="K19" i="4"/>
  <c r="G20" i="4"/>
  <c r="H20" i="4"/>
  <c r="I20" i="4"/>
  <c r="J20" i="4"/>
  <c r="K20" i="4"/>
  <c r="G21" i="4"/>
  <c r="H21" i="4"/>
  <c r="I21" i="4"/>
  <c r="J21" i="4"/>
  <c r="K21" i="4"/>
  <c r="G22" i="4"/>
  <c r="H22" i="4"/>
  <c r="I22" i="4"/>
  <c r="J22" i="4"/>
  <c r="K22" i="4"/>
  <c r="G4" i="3"/>
  <c r="H4" i="3"/>
  <c r="I4" i="3"/>
  <c r="K4" i="3" s="1"/>
  <c r="J4" i="3"/>
  <c r="G5" i="3"/>
  <c r="H5" i="3"/>
  <c r="I5" i="3"/>
  <c r="J5" i="3"/>
  <c r="K5" i="3"/>
  <c r="G6" i="3"/>
  <c r="H6" i="3"/>
  <c r="I6" i="3"/>
  <c r="K6" i="3" s="1"/>
  <c r="J6" i="3"/>
  <c r="G7" i="3"/>
  <c r="H7" i="3"/>
  <c r="I7" i="3"/>
  <c r="J7" i="3"/>
  <c r="K7" i="3"/>
  <c r="G8" i="3"/>
  <c r="H8" i="3"/>
  <c r="I8" i="3"/>
  <c r="K8" i="3" s="1"/>
  <c r="J8" i="3"/>
  <c r="G9" i="3"/>
  <c r="H9" i="3"/>
  <c r="I9" i="3"/>
  <c r="J9" i="3"/>
  <c r="K9" i="3"/>
  <c r="G10" i="3"/>
  <c r="H10" i="3"/>
  <c r="I10" i="3"/>
  <c r="K10" i="3" s="1"/>
  <c r="J10" i="3"/>
  <c r="G11" i="3"/>
  <c r="H11" i="3"/>
  <c r="I11" i="3"/>
  <c r="J11" i="3"/>
  <c r="K11" i="3"/>
  <c r="G12" i="3"/>
  <c r="H12" i="3"/>
  <c r="I12" i="3"/>
  <c r="K12" i="3" s="1"/>
  <c r="J12" i="3"/>
  <c r="G13" i="3"/>
  <c r="H13" i="3"/>
  <c r="I13" i="3"/>
  <c r="J13" i="3"/>
  <c r="K13" i="3"/>
  <c r="G14" i="3"/>
  <c r="H14" i="3"/>
  <c r="I14" i="3"/>
  <c r="K14" i="3" s="1"/>
  <c r="J14" i="3"/>
  <c r="G15" i="3"/>
  <c r="H15" i="3"/>
  <c r="I15" i="3"/>
  <c r="J15" i="3"/>
  <c r="K15" i="3"/>
  <c r="G16" i="3"/>
  <c r="H16" i="3"/>
  <c r="I16" i="3"/>
  <c r="K16" i="3" s="1"/>
  <c r="J16" i="3"/>
  <c r="G17" i="3"/>
  <c r="H17" i="3"/>
  <c r="I17" i="3"/>
  <c r="J17" i="3"/>
  <c r="K17" i="3"/>
  <c r="G18" i="3"/>
  <c r="H18" i="3"/>
  <c r="I18" i="3"/>
  <c r="K18" i="3" s="1"/>
  <c r="J18" i="3"/>
  <c r="G19" i="3"/>
  <c r="H19" i="3"/>
  <c r="I19" i="3"/>
  <c r="J19" i="3"/>
  <c r="K19" i="3"/>
  <c r="G20" i="3"/>
  <c r="H20" i="3"/>
  <c r="I20" i="3"/>
  <c r="J20" i="3"/>
  <c r="K20" i="3"/>
  <c r="G21" i="3"/>
  <c r="H21" i="3"/>
  <c r="I21" i="3"/>
  <c r="J21" i="3"/>
  <c r="K21" i="3"/>
  <c r="G22" i="3"/>
  <c r="H22" i="3"/>
  <c r="I22" i="3"/>
  <c r="K22" i="3" s="1"/>
  <c r="J22" i="3"/>
  <c r="G23" i="3"/>
  <c r="H23" i="3"/>
  <c r="I23" i="3"/>
  <c r="J23" i="3"/>
  <c r="K23" i="3"/>
  <c r="G4" i="2"/>
  <c r="H4" i="2"/>
  <c r="I4" i="2"/>
  <c r="J4" i="2"/>
  <c r="K4" i="2"/>
  <c r="G5" i="2"/>
  <c r="H5" i="2"/>
  <c r="I5" i="2"/>
  <c r="J5" i="2"/>
  <c r="K5" i="2"/>
  <c r="G6" i="2"/>
  <c r="H6" i="2"/>
  <c r="I6" i="2"/>
  <c r="J6" i="2"/>
  <c r="K6" i="2"/>
  <c r="G7" i="2"/>
  <c r="H7" i="2"/>
  <c r="I7" i="2"/>
  <c r="J7" i="2"/>
  <c r="K7" i="2"/>
  <c r="G8" i="2"/>
  <c r="H8" i="2"/>
  <c r="I8" i="2"/>
  <c r="J8" i="2"/>
  <c r="K8" i="2"/>
  <c r="G9" i="2"/>
  <c r="H9" i="2"/>
  <c r="I9" i="2"/>
  <c r="J9" i="2"/>
  <c r="K9" i="2"/>
  <c r="G10" i="2"/>
  <c r="H10" i="2"/>
  <c r="I10" i="2"/>
  <c r="J10" i="2"/>
  <c r="K10" i="2"/>
  <c r="G11" i="2"/>
  <c r="H11" i="2"/>
  <c r="I11" i="2"/>
  <c r="J11" i="2"/>
  <c r="K11" i="2"/>
  <c r="G12" i="2"/>
  <c r="H12" i="2"/>
  <c r="I12" i="2"/>
  <c r="J12" i="2"/>
  <c r="K12" i="2"/>
  <c r="G13" i="2"/>
  <c r="H13" i="2"/>
  <c r="I13" i="2"/>
  <c r="J13" i="2"/>
  <c r="K13" i="2"/>
  <c r="G14" i="2"/>
  <c r="H14" i="2"/>
  <c r="I14" i="2"/>
  <c r="J14" i="2"/>
  <c r="K14" i="2"/>
  <c r="G15" i="2"/>
  <c r="H15" i="2"/>
  <c r="I15" i="2"/>
  <c r="J15" i="2"/>
  <c r="K15" i="2"/>
  <c r="G16" i="2"/>
  <c r="H16" i="2"/>
  <c r="I16" i="2"/>
  <c r="J16" i="2"/>
  <c r="K16" i="2"/>
  <c r="G17" i="2"/>
  <c r="H17" i="2"/>
  <c r="I17" i="2"/>
  <c r="J17" i="2"/>
  <c r="K17" i="2"/>
  <c r="G18" i="2"/>
  <c r="H18" i="2"/>
  <c r="I18" i="2"/>
  <c r="J18" i="2"/>
  <c r="K18" i="2"/>
  <c r="G19" i="2"/>
  <c r="H19" i="2"/>
  <c r="I19" i="2"/>
  <c r="J19" i="2"/>
  <c r="K19" i="2"/>
  <c r="G20" i="2"/>
  <c r="H20" i="2"/>
  <c r="I20" i="2"/>
  <c r="J20" i="2"/>
  <c r="K20" i="2"/>
  <c r="G21" i="2"/>
  <c r="H21" i="2"/>
  <c r="I21" i="2"/>
  <c r="J21" i="2"/>
  <c r="K21" i="2"/>
  <c r="G22" i="2"/>
  <c r="H22" i="2"/>
  <c r="I22" i="2"/>
  <c r="J22" i="2"/>
  <c r="K22" i="2"/>
  <c r="G23" i="2"/>
  <c r="H23" i="2"/>
  <c r="I23" i="2"/>
  <c r="J23" i="2"/>
  <c r="K23" i="2"/>
  <c r="J3" i="13"/>
  <c r="H3" i="13"/>
  <c r="G3" i="13"/>
  <c r="I3" i="13" s="1"/>
  <c r="K3" i="13" s="1"/>
  <c r="J3" i="12"/>
  <c r="H3" i="12"/>
  <c r="G3" i="12"/>
  <c r="I3" i="12" s="1"/>
  <c r="K3" i="12" s="1"/>
  <c r="J3" i="11"/>
  <c r="H3" i="11"/>
  <c r="G3" i="11"/>
  <c r="I3" i="11" s="1"/>
  <c r="K3" i="11" s="1"/>
  <c r="J3" i="10"/>
  <c r="H3" i="10"/>
  <c r="G3" i="10"/>
  <c r="I3" i="10" s="1"/>
  <c r="K3" i="10" s="1"/>
  <c r="J3" i="9"/>
  <c r="H3" i="9"/>
  <c r="G3" i="9"/>
  <c r="I3" i="9" s="1"/>
  <c r="K3" i="9" s="1"/>
  <c r="J3" i="8"/>
  <c r="H3" i="8"/>
  <c r="G3" i="8"/>
  <c r="I3" i="8" s="1"/>
  <c r="K3" i="8" s="1"/>
  <c r="J3" i="7"/>
  <c r="H3" i="7"/>
  <c r="G3" i="7"/>
  <c r="I3" i="7" s="1"/>
  <c r="K3" i="7" s="1"/>
  <c r="J3" i="6"/>
  <c r="H3" i="6"/>
  <c r="G3" i="6"/>
  <c r="I3" i="6" s="1"/>
  <c r="K3" i="6" s="1"/>
  <c r="J3" i="5"/>
  <c r="H3" i="5"/>
  <c r="G3" i="5"/>
  <c r="I3" i="5" s="1"/>
  <c r="K3" i="5" s="1"/>
  <c r="J3" i="4"/>
  <c r="H3" i="4"/>
  <c r="G3" i="4"/>
  <c r="I3" i="4" s="1"/>
  <c r="K3" i="4" s="1"/>
  <c r="J3" i="3"/>
  <c r="H3" i="3"/>
  <c r="G3" i="3"/>
  <c r="I3" i="3" s="1"/>
  <c r="K3" i="3" s="1"/>
  <c r="K3" i="2"/>
  <c r="J3" i="2"/>
  <c r="I3" i="2"/>
  <c r="H3" i="2"/>
  <c r="G3" i="2"/>
  <c r="L35" i="13"/>
  <c r="F35" i="13"/>
  <c r="E35" i="13"/>
  <c r="H38" i="13" s="1"/>
  <c r="D35" i="13"/>
  <c r="C35" i="13"/>
  <c r="L46" i="12"/>
  <c r="F46" i="12"/>
  <c r="E46" i="12"/>
  <c r="H49" i="12" s="1"/>
  <c r="D46" i="12"/>
  <c r="C46" i="12"/>
  <c r="L35" i="11"/>
  <c r="K12" i="1" s="1"/>
  <c r="F35" i="11"/>
  <c r="E35" i="11"/>
  <c r="H38" i="11" s="1"/>
  <c r="D35" i="11"/>
  <c r="C35" i="11"/>
  <c r="G32" i="10"/>
  <c r="L29" i="10"/>
  <c r="K11" i="1" s="1"/>
  <c r="F29" i="10"/>
  <c r="E29" i="10"/>
  <c r="H32" i="10" s="1"/>
  <c r="D29" i="10"/>
  <c r="C29" i="10"/>
  <c r="H35" i="9"/>
  <c r="L32" i="9"/>
  <c r="F32" i="9"/>
  <c r="E32" i="9"/>
  <c r="G35" i="9" s="1"/>
  <c r="D32" i="9"/>
  <c r="C32" i="9"/>
  <c r="L24" i="8"/>
  <c r="K9" i="1" s="1"/>
  <c r="F24" i="8"/>
  <c r="E24" i="8"/>
  <c r="H27" i="8" s="1"/>
  <c r="D24" i="8"/>
  <c r="C24" i="8"/>
  <c r="L32" i="7"/>
  <c r="K8" i="1" s="1"/>
  <c r="F32" i="7"/>
  <c r="E8" i="1" s="1"/>
  <c r="V8" i="1" s="1"/>
  <c r="E32" i="7"/>
  <c r="H35" i="7" s="1"/>
  <c r="D32" i="7"/>
  <c r="C32" i="7"/>
  <c r="G36" i="6"/>
  <c r="L33" i="6"/>
  <c r="K7" i="1" s="1"/>
  <c r="F33" i="6"/>
  <c r="E33" i="6"/>
  <c r="H36" i="6" s="1"/>
  <c r="D33" i="6"/>
  <c r="C33" i="6"/>
  <c r="H29" i="5"/>
  <c r="L26" i="5"/>
  <c r="K6" i="1" s="1"/>
  <c r="F26" i="5"/>
  <c r="E26" i="5"/>
  <c r="D26" i="5"/>
  <c r="C26" i="5"/>
  <c r="G29" i="5" s="1"/>
  <c r="G26" i="4"/>
  <c r="L23" i="4"/>
  <c r="K5" i="1" s="1"/>
  <c r="F23" i="4"/>
  <c r="E23" i="4"/>
  <c r="D23" i="4"/>
  <c r="H26" i="4" s="1"/>
  <c r="C23" i="4"/>
  <c r="H27" i="3"/>
  <c r="L24" i="3"/>
  <c r="K4" i="1" s="1"/>
  <c r="F24" i="3"/>
  <c r="E24" i="3"/>
  <c r="G27" i="3" s="1"/>
  <c r="D24" i="3"/>
  <c r="C24" i="3"/>
  <c r="L24" i="2"/>
  <c r="K3" i="1" s="1"/>
  <c r="F24" i="2"/>
  <c r="E3" i="1" s="1"/>
  <c r="E24" i="2"/>
  <c r="H27" i="2" s="1"/>
  <c r="D24" i="2"/>
  <c r="C24" i="2"/>
  <c r="K14" i="1"/>
  <c r="E14" i="1"/>
  <c r="V14" i="1" s="1"/>
  <c r="D14" i="1"/>
  <c r="U14" i="1" s="1"/>
  <c r="C14" i="1"/>
  <c r="B14" i="1"/>
  <c r="K13" i="1"/>
  <c r="E13" i="1"/>
  <c r="V13" i="1" s="1"/>
  <c r="D13" i="1"/>
  <c r="U13" i="1" s="1"/>
  <c r="C13" i="1"/>
  <c r="B13" i="1"/>
  <c r="E12" i="1"/>
  <c r="V12" i="1" s="1"/>
  <c r="D12" i="1"/>
  <c r="U12" i="1" s="1"/>
  <c r="C12" i="1"/>
  <c r="B12" i="1"/>
  <c r="E11" i="1"/>
  <c r="V11" i="1" s="1"/>
  <c r="D11" i="1"/>
  <c r="U11" i="1" s="1"/>
  <c r="C11" i="1"/>
  <c r="B11" i="1"/>
  <c r="K10" i="1"/>
  <c r="E10" i="1"/>
  <c r="V10" i="1" s="1"/>
  <c r="D10" i="1"/>
  <c r="U10" i="1" s="1"/>
  <c r="C10" i="1"/>
  <c r="B10" i="1"/>
  <c r="E9" i="1"/>
  <c r="V9" i="1" s="1"/>
  <c r="C9" i="1"/>
  <c r="B9" i="1"/>
  <c r="C8" i="1"/>
  <c r="B8" i="1"/>
  <c r="E7" i="1"/>
  <c r="V7" i="1" s="1"/>
  <c r="D7" i="1"/>
  <c r="U7" i="1" s="1"/>
  <c r="C7" i="1"/>
  <c r="B7" i="1"/>
  <c r="E6" i="1"/>
  <c r="V6" i="1" s="1"/>
  <c r="D6" i="1"/>
  <c r="U6" i="1" s="1"/>
  <c r="C6" i="1"/>
  <c r="B6" i="1"/>
  <c r="E5" i="1"/>
  <c r="V5" i="1" s="1"/>
  <c r="D5" i="1"/>
  <c r="U5" i="1" s="1"/>
  <c r="C5" i="1"/>
  <c r="B5" i="1"/>
  <c r="E4" i="1"/>
  <c r="V4" i="1" s="1"/>
  <c r="C4" i="1"/>
  <c r="B4" i="1"/>
  <c r="C3" i="1"/>
  <c r="C15" i="1" s="1"/>
  <c r="B3" i="1"/>
  <c r="B15" i="1" s="1"/>
  <c r="K46" i="12" l="1"/>
  <c r="K47" i="12" s="1"/>
  <c r="J35" i="11"/>
  <c r="K35" i="11"/>
  <c r="J12" i="1" s="1"/>
  <c r="I35" i="11"/>
  <c r="H12" i="1" s="1"/>
  <c r="I46" i="12"/>
  <c r="H13" i="1" s="1"/>
  <c r="H24" i="8"/>
  <c r="G9" i="1" s="1"/>
  <c r="G29" i="10"/>
  <c r="G30" i="10" s="1"/>
  <c r="H32" i="9"/>
  <c r="H33" i="9" s="1"/>
  <c r="H24" i="3"/>
  <c r="H25" i="3" s="1"/>
  <c r="J24" i="3"/>
  <c r="I4" i="1" s="1"/>
  <c r="I24" i="3"/>
  <c r="I25" i="3" s="1"/>
  <c r="H32" i="7"/>
  <c r="H33" i="7" s="1"/>
  <c r="H24" i="2"/>
  <c r="G3" i="1" s="1"/>
  <c r="K24" i="3"/>
  <c r="J4" i="1" s="1"/>
  <c r="K24" i="2"/>
  <c r="J3" i="1" s="1"/>
  <c r="G46" i="12"/>
  <c r="G47" i="12" s="1"/>
  <c r="G35" i="13"/>
  <c r="G36" i="13" s="1"/>
  <c r="I32" i="9"/>
  <c r="H10" i="1" s="1"/>
  <c r="O10" i="1" s="1"/>
  <c r="G26" i="5"/>
  <c r="G27" i="5" s="1"/>
  <c r="J24" i="2"/>
  <c r="I3" i="1" s="1"/>
  <c r="I23" i="4"/>
  <c r="H5" i="1" s="1"/>
  <c r="O5" i="1" s="1"/>
  <c r="H26" i="5"/>
  <c r="G6" i="1" s="1"/>
  <c r="G33" i="6"/>
  <c r="F7" i="1" s="1"/>
  <c r="M7" i="1" s="1"/>
  <c r="K32" i="7"/>
  <c r="J8" i="1" s="1"/>
  <c r="J32" i="7"/>
  <c r="I8" i="1" s="1"/>
  <c r="J23" i="4"/>
  <c r="I5" i="1" s="1"/>
  <c r="H33" i="6"/>
  <c r="G7" i="1" s="1"/>
  <c r="K23" i="4"/>
  <c r="K24" i="4" s="1"/>
  <c r="J26" i="5"/>
  <c r="I6" i="1" s="1"/>
  <c r="K26" i="5"/>
  <c r="J6" i="1" s="1"/>
  <c r="I33" i="6"/>
  <c r="I34" i="6" s="1"/>
  <c r="J33" i="6"/>
  <c r="I7" i="1" s="1"/>
  <c r="G24" i="8"/>
  <c r="F9" i="1" s="1"/>
  <c r="M9" i="1" s="1"/>
  <c r="G32" i="9"/>
  <c r="G33" i="9" s="1"/>
  <c r="H35" i="13"/>
  <c r="G14" i="1" s="1"/>
  <c r="I29" i="10"/>
  <c r="I30" i="10" s="1"/>
  <c r="J29" i="10"/>
  <c r="H46" i="12"/>
  <c r="G13" i="1" s="1"/>
  <c r="K33" i="6"/>
  <c r="J7" i="1" s="1"/>
  <c r="I32" i="7"/>
  <c r="I33" i="7" s="1"/>
  <c r="K24" i="8"/>
  <c r="K25" i="8" s="1"/>
  <c r="G24" i="3"/>
  <c r="K29" i="10"/>
  <c r="K30" i="10" s="1"/>
  <c r="I35" i="13"/>
  <c r="H14" i="1" s="1"/>
  <c r="I26" i="5"/>
  <c r="I27" i="5" s="1"/>
  <c r="I24" i="8"/>
  <c r="H9" i="1" s="1"/>
  <c r="J46" i="12"/>
  <c r="J47" i="12" s="1"/>
  <c r="J35" i="13"/>
  <c r="J36" i="13" s="1"/>
  <c r="G23" i="4"/>
  <c r="H29" i="10"/>
  <c r="G11" i="1" s="1"/>
  <c r="I24" i="2"/>
  <c r="I25" i="2" s="1"/>
  <c r="J24" i="8"/>
  <c r="J25" i="8" s="1"/>
  <c r="J32" i="9"/>
  <c r="K35" i="13"/>
  <c r="J14" i="1" s="1"/>
  <c r="G35" i="11"/>
  <c r="G24" i="2"/>
  <c r="H23" i="4"/>
  <c r="H24" i="4" s="1"/>
  <c r="G32" i="7"/>
  <c r="K32" i="9"/>
  <c r="J10" i="1" s="1"/>
  <c r="H35" i="11"/>
  <c r="H36" i="11" s="1"/>
  <c r="J13" i="1"/>
  <c r="I12" i="1"/>
  <c r="J36" i="11"/>
  <c r="V3" i="1"/>
  <c r="E15" i="1"/>
  <c r="V15" i="1" s="1"/>
  <c r="K15" i="1"/>
  <c r="G38" i="11"/>
  <c r="D3" i="1"/>
  <c r="D4" i="1"/>
  <c r="D8" i="1"/>
  <c r="D9" i="1"/>
  <c r="H27" i="5"/>
  <c r="G27" i="8"/>
  <c r="T6" i="1"/>
  <c r="T7" i="1"/>
  <c r="T10" i="1"/>
  <c r="T11" i="1"/>
  <c r="T12" i="1"/>
  <c r="T13" i="1"/>
  <c r="T14" i="1"/>
  <c r="G49" i="12"/>
  <c r="G27" i="2"/>
  <c r="G35" i="7"/>
  <c r="G38" i="13"/>
  <c r="T5" i="1"/>
  <c r="I47" i="12" l="1"/>
  <c r="I37" i="11"/>
  <c r="I36" i="11"/>
  <c r="G10" i="1"/>
  <c r="K36" i="11"/>
  <c r="I48" i="12"/>
  <c r="H25" i="8"/>
  <c r="G8" i="1"/>
  <c r="N8" i="1" s="1"/>
  <c r="G4" i="1"/>
  <c r="F11" i="1"/>
  <c r="M11" i="1" s="1"/>
  <c r="J25" i="3"/>
  <c r="J25" i="2"/>
  <c r="I33" i="9"/>
  <c r="J24" i="4"/>
  <c r="F13" i="1"/>
  <c r="M13" i="1" s="1"/>
  <c r="H25" i="2"/>
  <c r="H28" i="5"/>
  <c r="K31" i="10"/>
  <c r="H34" i="7"/>
  <c r="I24" i="4"/>
  <c r="K26" i="2"/>
  <c r="K33" i="9"/>
  <c r="K34" i="6"/>
  <c r="J31" i="10"/>
  <c r="K35" i="6"/>
  <c r="I13" i="1"/>
  <c r="J30" i="10"/>
  <c r="K36" i="13"/>
  <c r="K27" i="5"/>
  <c r="H36" i="13"/>
  <c r="H6" i="1"/>
  <c r="O6" i="1" s="1"/>
  <c r="J5" i="1"/>
  <c r="K37" i="11"/>
  <c r="I28" i="5"/>
  <c r="H26" i="2"/>
  <c r="I31" i="10"/>
  <c r="G25" i="2"/>
  <c r="S7" i="1"/>
  <c r="H35" i="6"/>
  <c r="H8" i="1"/>
  <c r="O8" i="1" s="1"/>
  <c r="I34" i="9"/>
  <c r="K26" i="3"/>
  <c r="F10" i="1"/>
  <c r="M10" i="1" s="1"/>
  <c r="G12" i="1"/>
  <c r="N12" i="1" s="1"/>
  <c r="K25" i="2"/>
  <c r="I36" i="13"/>
  <c r="K25" i="3"/>
  <c r="I37" i="13"/>
  <c r="K37" i="13"/>
  <c r="J11" i="1"/>
  <c r="H11" i="1"/>
  <c r="O11" i="1" s="1"/>
  <c r="F6" i="1"/>
  <c r="M6" i="1" s="1"/>
  <c r="H34" i="6"/>
  <c r="J34" i="9"/>
  <c r="K33" i="7"/>
  <c r="F4" i="1"/>
  <c r="M4" i="1" s="1"/>
  <c r="H37" i="13"/>
  <c r="K34" i="9"/>
  <c r="H47" i="12"/>
  <c r="H34" i="9"/>
  <c r="H3" i="1"/>
  <c r="O3" i="1" s="1"/>
  <c r="J33" i="7"/>
  <c r="H4" i="1"/>
  <c r="O4" i="1" s="1"/>
  <c r="I26" i="8"/>
  <c r="J26" i="2"/>
  <c r="J33" i="9"/>
  <c r="I10" i="1"/>
  <c r="G36" i="11"/>
  <c r="I25" i="8"/>
  <c r="H26" i="8"/>
  <c r="F3" i="1"/>
  <c r="R3" i="1" s="1"/>
  <c r="G34" i="6"/>
  <c r="J26" i="8"/>
  <c r="F12" i="1"/>
  <c r="M12" i="1" s="1"/>
  <c r="I9" i="1"/>
  <c r="R9" i="1" s="1"/>
  <c r="I35" i="6"/>
  <c r="G25" i="8"/>
  <c r="K48" i="12"/>
  <c r="H37" i="11"/>
  <c r="K28" i="5"/>
  <c r="J37" i="11"/>
  <c r="K26" i="8"/>
  <c r="J26" i="3"/>
  <c r="J48" i="12"/>
  <c r="H31" i="10"/>
  <c r="I25" i="4"/>
  <c r="J28" i="5"/>
  <c r="H30" i="10"/>
  <c r="J37" i="13"/>
  <c r="F14" i="1"/>
  <c r="M14" i="1" s="1"/>
  <c r="J34" i="6"/>
  <c r="I26" i="3"/>
  <c r="J35" i="6"/>
  <c r="F5" i="1"/>
  <c r="G5" i="1"/>
  <c r="N5" i="1" s="1"/>
  <c r="K25" i="4"/>
  <c r="H25" i="4"/>
  <c r="H7" i="1"/>
  <c r="Q7" i="1" s="1"/>
  <c r="H48" i="12"/>
  <c r="R7" i="1"/>
  <c r="I14" i="1"/>
  <c r="J25" i="4"/>
  <c r="I26" i="2"/>
  <c r="F8" i="1"/>
  <c r="M8" i="1" s="1"/>
  <c r="K34" i="7"/>
  <c r="G33" i="7"/>
  <c r="H26" i="3"/>
  <c r="G24" i="4"/>
  <c r="J34" i="7"/>
  <c r="J9" i="1"/>
  <c r="S9" i="1" s="1"/>
  <c r="G25" i="3"/>
  <c r="J27" i="5"/>
  <c r="I11" i="1"/>
  <c r="I34" i="7"/>
  <c r="N14" i="1"/>
  <c r="N9" i="1"/>
  <c r="P9" i="1"/>
  <c r="P7" i="1"/>
  <c r="N7" i="1"/>
  <c r="T9" i="1"/>
  <c r="U9" i="1"/>
  <c r="U3" i="1"/>
  <c r="T3" i="1"/>
  <c r="D15" i="1"/>
  <c r="O14" i="1"/>
  <c r="Q9" i="1"/>
  <c r="O9" i="1"/>
  <c r="N13" i="1"/>
  <c r="O13" i="1"/>
  <c r="N4" i="1"/>
  <c r="N3" i="1"/>
  <c r="O12" i="1"/>
  <c r="U8" i="1"/>
  <c r="T8" i="1"/>
  <c r="N10" i="1"/>
  <c r="N6" i="1"/>
  <c r="U4" i="1"/>
  <c r="T4" i="1"/>
  <c r="V17" i="1"/>
  <c r="N11" i="1"/>
  <c r="S13" i="1" l="1"/>
  <c r="S11" i="1"/>
  <c r="R13" i="1"/>
  <c r="P11" i="1"/>
  <c r="R11" i="1"/>
  <c r="Q11" i="1"/>
  <c r="Q13" i="1"/>
  <c r="P13" i="1"/>
  <c r="M3" i="1"/>
  <c r="P3" i="1"/>
  <c r="S5" i="1"/>
  <c r="R6" i="1"/>
  <c r="P10" i="1"/>
  <c r="Q6" i="1"/>
  <c r="P8" i="1"/>
  <c r="Q10" i="1"/>
  <c r="S10" i="1"/>
  <c r="S6" i="1"/>
  <c r="S14" i="1"/>
  <c r="P6" i="1"/>
  <c r="Q3" i="1"/>
  <c r="R10" i="1"/>
  <c r="Q4" i="1"/>
  <c r="Q14" i="1"/>
  <c r="R4" i="1"/>
  <c r="P4" i="1"/>
  <c r="Q8" i="1"/>
  <c r="S4" i="1"/>
  <c r="P14" i="1"/>
  <c r="P5" i="1"/>
  <c r="S8" i="1"/>
  <c r="S3" i="1"/>
  <c r="R14" i="1"/>
  <c r="G15" i="1"/>
  <c r="N15" i="1" s="1"/>
  <c r="S12" i="1"/>
  <c r="R12" i="1"/>
  <c r="P12" i="1"/>
  <c r="Q12" i="1"/>
  <c r="I15" i="1"/>
  <c r="R8" i="1"/>
  <c r="H15" i="1"/>
  <c r="O15" i="1" s="1"/>
  <c r="O7" i="1"/>
  <c r="M5" i="1"/>
  <c r="Q5" i="1"/>
  <c r="F15" i="1"/>
  <c r="M15" i="1" s="1"/>
  <c r="R5" i="1"/>
  <c r="J15" i="1"/>
  <c r="U15" i="1"/>
  <c r="T15" i="1"/>
  <c r="U17" i="1"/>
  <c r="S15" i="1" l="1"/>
  <c r="R15" i="1"/>
  <c r="Q15" i="1"/>
  <c r="P15" i="1"/>
</calcChain>
</file>

<file path=xl/sharedStrings.xml><?xml version="1.0" encoding="utf-8"?>
<sst xmlns="http://schemas.openxmlformats.org/spreadsheetml/2006/main" count="573" uniqueCount="386">
  <si>
    <t>Figures</t>
  </si>
  <si>
    <t>Papers</t>
  </si>
  <si>
    <t>% of all papers</t>
  </si>
  <si>
    <t>% of SBOL possible papers</t>
  </si>
  <si>
    <t>Year</t>
  </si>
  <si>
    <t>Total</t>
  </si>
  <si>
    <t>SBOL possible</t>
  </si>
  <si>
    <t>SBOL compliant</t>
  </si>
  <si>
    <t>Best Practices</t>
  </si>
  <si>
    <t>Partial Compliant</t>
  </si>
  <si>
    <t>Fully Compliant</t>
  </si>
  <si>
    <t>Partial Best</t>
  </si>
  <si>
    <t>Fully Best</t>
  </si>
  <si>
    <t>Part Best</t>
  </si>
  <si>
    <t>Full Best</t>
  </si>
  <si>
    <t>% of Figures</t>
  </si>
  <si>
    <t>% Possible Figures</t>
  </si>
  <si>
    <t>% Best Practices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</si>
  <si>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</si>
  <si>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</si>
  <si>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</si>
  <si>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</si>
  <si>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</si>
  <si>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</si>
  <si>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</si>
  <si>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</si>
  <si>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</si>
  <si>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</si>
  <si>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</si>
  <si>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</si>
  <si>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Analyzed</t>
  </si>
  <si>
    <t>January 2021 Issue (vol 10, #1)</t>
  </si>
  <si>
    <t xml:space="preserve">Compliance rubric: </t>
  </si>
  <si>
    <t>https://docs.google.com/document/d/1vK8DdeN5QbFqKy0h2uLIuuB89hU_Zlj_o41NX1BVtAY/edit?usp=sharing</t>
  </si>
  <si>
    <t>Article</t>
  </si>
  <si>
    <t># Figures</t>
  </si>
  <si>
    <t># Appropriate for SBOL Visual</t>
  </si>
  <si>
    <t># Compliant with SBOL Visual</t>
  </si>
  <si>
    <t>SBOL Possible</t>
  </si>
  <si>
    <t>SBOL Used</t>
  </si>
  <si>
    <t>SBOL Uniformly Used</t>
  </si>
  <si>
    <t>Best Practices Used</t>
  </si>
  <si>
    <t>Best Practices Uniformly Used</t>
  </si>
  <si>
    <t>Statistical Design of Experiments for Synthetic Biology</t>
  </si>
  <si>
    <t>Transcriptional Regulatory Networks Involved in C3–C4 Alcohol Stress Response and Tolerance in Yeast</t>
  </si>
  <si>
    <t>Escherichia coli Cas1/2 Endonuclease Complex Modifies Self-Targeting CRISPR/Cascade Spacers Reducing Silencing Guide Stability</t>
  </si>
  <si>
    <t>Fine-Tuning Multi-Gene Clusters via Well-Characterized Gene Expression Regulatory Elements: Case Study of the Arginine Synthesis Pathway in C. glutamicum</t>
  </si>
  <si>
    <t>Improving the Level of the Tyrosine Biosynthesis Pathway in Saccharomyces cerevisiae through HTZ1 Knockout and Atmospheric and Room Temperature Plasma (ARTP) Mutagenesis</t>
  </si>
  <si>
    <t>YESS 2.0, a Tunable Platform for Enzyme Evolution, Yields Highly Active TEV Protease Variants</t>
  </si>
  <si>
    <t>Rational Design of a Split Flavin-Based Fluorescent Reporter</t>
  </si>
  <si>
    <t>Repurposing the Endogenous Type I-E CRISPR/Cas System for Gene Repression in Gluconobacter oxydans WSH-003</t>
  </si>
  <si>
    <t>Plasmid Vectors for in Vivo Selection-Free Use with the Probiotic E. coli Nissle 1917</t>
  </si>
  <si>
    <t>Engineering Bacteria to Produce Pure Phage-like Particles for Gene Delivery</t>
  </si>
  <si>
    <t>A Golden-Gate Based Cloning Toolkit to Build Violacein Pathway Libraries in Yarrowia lipolytica</t>
  </si>
  <si>
    <t>Engineering an Optogenetic CRISPRi Platform for Improved Chemical Production</t>
  </si>
  <si>
    <t>Optimization of a p-Coumaric Acid Biosensor System for Versatile Dynamic Performance</t>
  </si>
  <si>
    <t>Rational Design of Single Copy Expression Cassettes in Defined Chromosomal Sites Overcomes Intraclonal Cell-to-Cell Expression Heterogeneity and Ensures Robust Antibody Production</t>
  </si>
  <si>
    <t>High-Level Production of Sesquiterpene Patchoulol in Saccharomyces cerevisiae</t>
  </si>
  <si>
    <t>An Aspergillus nidulans Platform for the Complete Cluster Refactoring and Total Biosynthesis of Fungal Natural Products</t>
  </si>
  <si>
    <t>Flapjack: Data Management and Analysis for Genetic Circuit Characterization</t>
  </si>
  <si>
    <t>Metabolic Engineering of Escherichia coli for De Novo Production of 1,5-Pentanediol from Glucose</t>
  </si>
  <si>
    <t>Engineered Bacterial Production of Volatile Methyl Salicylate</t>
  </si>
  <si>
    <t>Direct Comparison of d-DNA and l-DNA Strand-Displacement Reactions in Living Mammalian Cells</t>
  </si>
  <si>
    <t>A Standardized Inverter Package Borne by Broad Host Range Plasmids for Genetic Circuit Design in Gram-Negative Bacteria</t>
  </si>
  <si>
    <t>Totals:</t>
  </si>
  <si>
    <t>% of SBOL-possible papers</t>
  </si>
  <si>
    <t>% of all / possible figures</t>
  </si>
  <si>
    <t>February 2021 Issue (vol 10, #2)</t>
  </si>
  <si>
    <t>Dynamical Modeling of Optogenetic Circuits in Yeast for Metabolic Engineering Applications</t>
  </si>
  <si>
    <t>A Biological Route to Conjugated Alkenes: Microbial Production of Hepta-1,3,5-triene</t>
  </si>
  <si>
    <t>Promiscuous Installation of d-Amino Acids in Gene-Encoded Peptides</t>
  </si>
  <si>
    <t>Biosynthesis of Diverse Type II Polyketide Core Structures in Streptomyces coelicolor M1152</t>
  </si>
  <si>
    <t>Cell-free Directed Evolution of a Protease in Microdroplets at Ultrahigh Throughput</t>
  </si>
  <si>
    <t>Macrolide Biosensor Optimization through Cellular Substrate Sequestration</t>
  </si>
  <si>
    <t>Rational Design of the N-Terminal Coding Sequence for Regulating Enzyme Expression in Bacillus subtilis</t>
  </si>
  <si>
    <t>Synthetic Lateral Inhibition in Periodic Pattern Forming Microbial Colonies</t>
  </si>
  <si>
    <t>Exploiting Spermidine N-Hydroxycinnamoyltransferase Diversity and Substrate Promiscuity to Produce Various Trihydroxycinnamoyl Spermidines and Analogues in Engineered Yeast</t>
  </si>
  <si>
    <t>CRISPR/Cas9-Mediated Genome Engineering Reveals the Contribution of the 26S Proteasome to the Extremophilic Nature of the Yeast Debaryomyces hansenii</t>
  </si>
  <si>
    <t>PABPC1 Enables Cells with the Suspension Cultivation Feature</t>
  </si>
  <si>
    <t>Systematic Quantification of Sequence and Structural Determinants Controlling mRNA stability in Bacterial Operons</t>
  </si>
  <si>
    <t>A Whole-Cell Biosensor for Point-of-Care Detection of Waterborne Bacterial Pathogens</t>
  </si>
  <si>
    <t>Optogenetics in Sinorhizobium meliloti Enables Spatial Control of Exopolysaccharide Production and Biofilm Structure</t>
  </si>
  <si>
    <t>Mutation Maker, An Open Source Oligo Design Platform for Protein Engineering</t>
  </si>
  <si>
    <t>Allosteric Regulation of DNA Circuits Enables Minimal and Rapid Biosensors of Small Molecules</t>
  </si>
  <si>
    <t>Toolkit for Quickly Generating and Characterizing Molecular Probes Specific for SARS-CoV-2 Nucleocapsid as a Primer for Future Coronavirus Pandemic Preparedness</t>
  </si>
  <si>
    <t>Potential Landscapes, Bifurcations, and Robustness of Tristable Networks</t>
  </si>
  <si>
    <t>A Streptomyces venezuelae Cell-Free Toolkit for Synthetic Biology</t>
  </si>
  <si>
    <t>CRISPRi-Mediated NIMPLY Logic Gate for Fine-Tuning the Whole-Cell Sensing toward Simple Urine Glucose Detection</t>
  </si>
  <si>
    <t>Prime Editing Guide RNA Design Automation Using PINE-CONE</t>
  </si>
  <si>
    <t>March 2021 Issue (vol 10, #3)</t>
  </si>
  <si>
    <t>Expanding the Potential of Mammalian Genome Engineering via Targeted DNA Integration</t>
  </si>
  <si>
    <t>Biotechnological Production of 2′-Fucosyllactose: A Prevalent Fucosylated Human Milk Oligosaccharide</t>
  </si>
  <si>
    <t>Small Antisense DNA-Based Gene Silencing Enables Cell-Free Bacteriophage Manipulation and Genome Replication</t>
  </si>
  <si>
    <t>A Reporter System for Cytosolic Protein Aggregates in Yeast</t>
  </si>
  <si>
    <t>Efficient Production of 1,3-Propanediol from Diverse Carbohydrates via a Non-natural Pathway Using 3-Hydroxypropionic Acid as an Intermediate</t>
  </si>
  <si>
    <t>Genetically Engineered Methanotroph as a Platform for Bioaugmentation of Chemical Pesticide Contaminated Soil</t>
  </si>
  <si>
    <t>Metabolic Engineering of Saccharomyces cerevisiae for Ethyl Acetate Biosynthesis</t>
  </si>
  <si>
    <t>Quantitative Yeast–Yeast Two Hybrid for the Discovery and Binding Affinity Estimation of Protein–Protein Interactions</t>
  </si>
  <si>
    <t>A Set of Active Promoters with Different Activity Profiles for Superexpressing Rhodococcus Strain</t>
  </si>
  <si>
    <t>Optogenetic Modification of Pseudomonas aeruginosa Enables Controllable Twitching Motility and Host Infection</t>
  </si>
  <si>
    <t>Structural Determinants for Light-Dependent Membrane Binding of a Photoswitchable Polybasic Domain</t>
  </si>
  <si>
    <t>Engineering Alternate Ligand Recognition in the PurR Topology: A System of Novel Caffeine Biosensing Transcriptional Antirepressors</t>
  </si>
  <si>
    <t>Guanidine Biosensors Enable Comparison of Cellular Turn-on Kinetics of Riboswitch-Based Biosensor and Reporter</t>
  </si>
  <si>
    <t>DIVERSIFY: A Fungal Multispecies Gene Expression Platform</t>
  </si>
  <si>
    <t>Automated Rational Strain Construction Based on High-Throughput Conjugation</t>
  </si>
  <si>
    <t>Heterologous Expression of Mersacidin in Escherichia coli Elucidates the Mode of Leader Processing</t>
  </si>
  <si>
    <t>Boundary-Free Ribosome Compartmentalization by Gene Expression on a Surface</t>
  </si>
  <si>
    <t>Application of Cell-Free Protein Synthesis System for the Biosynthesis of l-Theanine</t>
  </si>
  <si>
    <t>Engineering the Reductive TCA Pathway to Dynamically Regulate the Biosynthesis of Adipic Acid in Escherichia coli</t>
  </si>
  <si>
    <t>Evaluating Capture Sequence Performance for Single-Cell CRISPR Activation Experiments</t>
  </si>
  <si>
    <t>April 2021 Issue (vol 10, #4)</t>
  </si>
  <si>
    <t>Efflux Transporters’ Engineering and Their Application in Microbial Production of Heterologous Metabolites</t>
  </si>
  <si>
    <t>Membrane Augmented Cell-Free Systems: A New Frontier in Biotechnology</t>
  </si>
  <si>
    <t>Engineered Regulon to Enable Autonomous Azide Ion Biosensing, Recombinant Protein Production, and in Vivo Glycoengineering</t>
  </si>
  <si>
    <t>Refactoring the Conjugation Machinery of Promiscuous Plasmid RP4 into a Device for Conversion of Gram-Negative Isolates to Hfr Strains</t>
  </si>
  <si>
    <t>A Cell Factory of a Fungicolous Fungus Calcarisporium arbuscula for Efficient Production of Natural Products</t>
  </si>
  <si>
    <t>Auxiliary Module Promotes the Synthesis of Carboxysomes in E. coli to Achieve High-Efficiency CO2 Assimilation</t>
  </si>
  <si>
    <t>Anaerobic Conditioning of E. coli Cell Lysate for Enhanced In Vitro Protein Synthesis</t>
  </si>
  <si>
    <t>Prospecting Biochemical Pathways to Implement Microbe-Based Production of the New-to-Nature Platform Chemical Levulinic Acid</t>
  </si>
  <si>
    <t>Engineering Transcriptional Interference through RNA Polymerase Processivity Control</t>
  </si>
  <si>
    <t>Immobilization of Proteins of Cell Extract to Hydrogel Networks Enhances the Longevity of Cell-Free Protein Synthesis and Supports Gene Networks</t>
  </si>
  <si>
    <t>Highly Efficient Production of Menaquinone-7 from Glucose by Metabolically Engineered Escherichia coli</t>
  </si>
  <si>
    <t>An Automated Tabletop Continuous Culturing System with Multicolor Fluorescence Monitoring for Microbial Gene Expression and Long-Term Population Dynamics</t>
  </si>
  <si>
    <t>Genetically Intact Bioengineered Spores of Bacillus subtilis</t>
  </si>
  <si>
    <t>An Improved CRISPR Interference Tool to Engineer Rhodococcus opacus</t>
  </si>
  <si>
    <t>An Aldolase-Based New Pathway for Bioconversion of Formaldehyde and Ethanol into 1,3-Propanediol in Escherichia coli</t>
  </si>
  <si>
    <t>Recombinant Protein Stability in Cyanobacteria</t>
  </si>
  <si>
    <t>Identification and Characterization of the Mitochondrial Replication Origin for Stable and Episomal Expression in Yarrowia lipolytica</t>
  </si>
  <si>
    <t>Engineering a Central Carbon Metabolism Pathway to Increase the Intracellular Acetyl-CoA Pool in Synechocystis sp. PCC 6803 Grown under Photomixotrophic Conditions</t>
  </si>
  <si>
    <t>Rational Promoter Engineering Enables Robust Terpene Production in Microalgae</t>
  </si>
  <si>
    <t>Encapsulin Nanocontainers as Versatile Scaffolds for the Development of Artificial Metabolons</t>
  </si>
  <si>
    <t>Saccharomyces cerevisiae Synthetic Transcriptional Networks Harnessing dCas12a and Type V-A anti-CRISPR Proteins</t>
  </si>
  <si>
    <t>Simultaneous Improvement of Limonene Production and Tolerance in Yarrowia lipolytica through Tolerance Engineering and Evolutionary Engineering</t>
  </si>
  <si>
    <t>LyGo: A Platform for Rapid Screening of Lytic Polysaccharide Monooxygenase Production</t>
  </si>
  <si>
    <t>May 2021 Issue (vol 10, #5)</t>
  </si>
  <si>
    <t>Transcription-Factor-based Biosensor Engineering for Applications in Synthetic Biology</t>
  </si>
  <si>
    <t>Engineered Microbial Routes for Human Milk Oligosaccharides Synthesis</t>
  </si>
  <si>
    <t>Increasing MinD’s Membrane Affinity Yields Standing Wave Oscillations and Functional Gradients on Flat Membranes</t>
  </si>
  <si>
    <t>CRISPR-Mediated Strand Displacement Logic Circuits with Toehold-Free DNA</t>
  </si>
  <si>
    <t>Engineering Nootkatone Biosynthesis in Artemisia annua</t>
  </si>
  <si>
    <t>High-Performance Allosteric Conditional Guide RNAs for Mammalian Cell-Selective Regulation of CRISPR/Cas</t>
  </si>
  <si>
    <t>Encounters between Cas9/dCas9 and G-Quadruplexes: Implications for Transcription Regulation and Cas9-Mediated DNA Cleavage</t>
  </si>
  <si>
    <t>Cheetah: A Computational Toolkit for Cybergenetic Control</t>
  </si>
  <si>
    <t>A Novel Cell-Based Intracellular Protein–Protein Interaction Detection Platform (SOLIS) for Multimodality Screening</t>
  </si>
  <si>
    <t>Genetically Engineered Oleaginous Yeast Lipomyces starkeyi for Sesquiterpene α-Zingiberene Production</t>
  </si>
  <si>
    <t>Optimized iLID Membrane Anchors for Local Optogenetic Protein Recruitment</t>
  </si>
  <si>
    <t>The Tryptophan-Induced tnaC Ribosome Stalling Sequence Exposes High Amino Acid Cross-Talk That Can Be Mitigated by Removal of NusB for Higher Orthogonality</t>
  </si>
  <si>
    <t>In Situ Biomanufacturing of Small Molecules in the Mammalian Gut by Probiotic Saccharomyces boulardii</t>
  </si>
  <si>
    <t>Antisense RNA Interference-Enhanced CRISPR/Cas9 Base Editing Method for Improving Base Editing Efficiency in Streptomyces lividans 66</t>
  </si>
  <si>
    <t>Computationally Prospecting Potential Pathways from Lignin Monomers and Dimers toward Aromatic Compounds</t>
  </si>
  <si>
    <t>High-Throughput Screening of an Octanoic Acid Producer Strain Library Enables Detection of New Targets for Increasing Titers in Saccharomyces cerevisiae</t>
  </si>
  <si>
    <t>Improve the Biosynthesis of Baicalein and Scutellarein via Manufacturing Self-Assembly Enzyme Reactor In Vivo</t>
  </si>
  <si>
    <t>Engineering L7Ae for RNA-Only Delivery Kill Switch Targeting CMS2 Type Colorectal Cancer Cells</t>
  </si>
  <si>
    <t>Creating RNA Specific C-to-U Editase from APOBEC3A by Separation of Its Activities on DNA and RNA Substrates</t>
  </si>
  <si>
    <t>Impact of Porous Matrices and Concentration by Lyophilization on Cell-Free Expression</t>
  </si>
  <si>
    <t>A Whole-Cell Bacterial Biosensor for Blood Markers Detection in Urine</t>
  </si>
  <si>
    <t>Optogenetic Amplification Circuits for Light-Induced Metabolic Control</t>
  </si>
  <si>
    <t>Control of Multigene Expression Stoichiometry in Mammalian Cells Using Synthetic Promoters</t>
  </si>
  <si>
    <t>Systematically Engineered Fatty Acid Catabolite Pathway for the Production of (2S)-Naringenin in Saccharomyces cerevisiae</t>
  </si>
  <si>
    <t>Switchable CAR-T Cells Outperformed Traditional Antibody-Redirected Therapeutics Targeting Breast Cancers</t>
  </si>
  <si>
    <t>Directed Evolution of Stabilized Monomeric CD19 for Monovalent CAR Interaction Studies and Monitoring of CAR-T Cell Patients</t>
  </si>
  <si>
    <t>Dynamic Control of Gene Expression with Riboregulated Switchable Feedback Promoters</t>
  </si>
  <si>
    <t>Spatiotemporal Manipulation of the Mismatch Repair System of Pseudomonas putida Accelerates Phenotype Emergence</t>
  </si>
  <si>
    <t>Emergent Damped Oscillation Induced by Nutrient-Modulating Growth Feedback</t>
  </si>
  <si>
    <t>In Vitro Protein Synthesis in Semipermeable Artificial Cells</t>
  </si>
  <si>
    <t># Papers</t>
  </si>
  <si>
    <t>June 2021 Issue (vol 10, #6)</t>
  </si>
  <si>
    <t>CRISPR-Cas13 System as a Promising and Versatile Tool for Cancer Diagnosis, Therapy, and Research</t>
  </si>
  <si>
    <t>Programmable Aggregation of Artificial Cells with DNA Signals</t>
  </si>
  <si>
    <t>Minimizing Leakage in Stacked Strand Exchange Amplification Circuits</t>
  </si>
  <si>
    <t>Production and Characterization of Motile and Chemotactic Bacterial Minicells</t>
  </si>
  <si>
    <t>A Tail Fiber Engineering Platform for Improved Bacterial Transduction-Based Diagnostic Reagents</t>
  </si>
  <si>
    <t>Cell-Free Transcription-Coupled CRISPR/Cas12a Assay for Prototyping Cyanobacterial Promoters</t>
  </si>
  <si>
    <t>(Optochemical) Control of Synthetic Microbial Coculture Interactions on a Microcolony Level</t>
  </si>
  <si>
    <t>Precise Regulation of Cas9-Mediated Genome Engineering by Anti-CRISPR-Based Inducible CRISPR Controllers</t>
  </si>
  <si>
    <t>GTR 2.0: gRNA-tRNA Array and Cas9-NG Based Genome Disruption and Single-Nucleotide Conversion in Saccharomyces cerevisiae</t>
  </si>
  <si>
    <t>Patterning Microtubule Network Organization Reshapes Cell-Like Compartments</t>
  </si>
  <si>
    <t>Genetically Programmable Microbial Assembly</t>
  </si>
  <si>
    <t>Improving the Heterologous Production of Fungal Peroxygenases through an Episomal Pichia pastoris Promoter and Signal Peptide Shuffling System</t>
  </si>
  <si>
    <t>Establishment of a Biosensor-based High-Throughput Screening Platform for Tryptophan Overproduction</t>
  </si>
  <si>
    <t>Design of Synthetic Quorum Sensing Achieving Induction Timing-Independent Signal Stabilization for Dynamic Metabolic Engineering of E. coli</t>
  </si>
  <si>
    <t>A Computational Framework for Identifying Promoter Sequences in Nonmodel Organisms Using RNA-seq Data Sets</t>
  </si>
  <si>
    <t>Cell-Free Characterization of Coherent Feed-Forward Loop-Based Synthetic Genetic Circuits</t>
  </si>
  <si>
    <t>Improved Bioproduction of 1-Octanol Using Engineered Synechocystis sp. PCC 6803</t>
  </si>
  <si>
    <t>Functional Comparison of Laboratory-Evolved XNA Polymerases for Synthetic Biology</t>
  </si>
  <si>
    <t>Data-Driven and in Silico-Assisted Design of Broad Host-Range Minimal Intrinsic Terminators Adapted for Bacteria</t>
  </si>
  <si>
    <t>Accurate Detection of Rare Mutant Alleles by Target Base-Specific Cleavage with the CRISPR/Cas9 System</t>
  </si>
  <si>
    <t>Bioengineering Self-Organizing Signaling Centers to Control Embryoid Body Pattern Elaboration</t>
  </si>
  <si>
    <t>A Cascade Signal Amplification Based on Dynamic DNA Nanodevices and CRISPR/Cas12a Trans-cleavage for Highly Sensitive MicroRNA Sensing</t>
  </si>
  <si>
    <t>Light-Powered Reactivation of Flagella and Contraction of Microtubule Networks: Toward Building an Artificial Cell</t>
  </si>
  <si>
    <t>Microbially Guided Discovery and Biosynthesis of Biologically Active Natural Products</t>
  </si>
  <si>
    <t>Engineering Gac/Rsm Signaling Cascade for Optogenetic Induction of the Pathogenicity Switch in Pseudomonas aeruginosa</t>
  </si>
  <si>
    <t>Combining Metabolic and Monoterpene Synthase Engineering for de Novo Production of Monoterpene Alcohols in Escherichia coli</t>
  </si>
  <si>
    <t>High-Yielding Terpene-Based Biofuel Production in Rhodobacter capsulatus</t>
  </si>
  <si>
    <t>Ecofriendly Synthesis of l-Carnosine in Metabolically Engineered Corynebacterium glutamicum by Reinforcing Precursor Accumulation</t>
  </si>
  <si>
    <t>Dual Regulation of Cytoplasm and Peroxisomes for Improved Α-Farnesene Production in Recombinant Pichia pastoris</t>
  </si>
  <si>
    <t>July 2021 Issue (vol 10, #7)</t>
  </si>
  <si>
    <t>Genetic Diversity for Accelerating Microbial Adaptive Laboratory Evolution</t>
  </si>
  <si>
    <t>Multilayer Genetic Circuits for Dynamic Regulation of Metabolic Pathways</t>
  </si>
  <si>
    <t>Testing Theoretical Minimal Genomes Using Whole-Cell Models</t>
  </si>
  <si>
    <t>A Biosensor for Detection of Indole Metabolites</t>
  </si>
  <si>
    <t>High-Efficiency Protection of Linear DNA in Cell-Free Extracts from Escherichia coli and Vibrio natriegens</t>
  </si>
  <si>
    <t>Enzymatic Synthesis of Chimeric DNA Oligonucleotides by in Vitro Transcription with dTTP, dCTP, dATP, and 2′-Fluoro Modified dGTP</t>
  </si>
  <si>
    <t>The pIT5 Plasmid Series, an Improved Toolkit for Repeated Genome Integration in E. coli</t>
  </si>
  <si>
    <t>Yeast Synthetic Minimal Biosensors for Evaluating Protein Production</t>
  </si>
  <si>
    <t>Construction of DNA Tools for Hyperexpression in Marchantia Chloroplasts</t>
  </si>
  <si>
    <t>Orthogonal Degron System for Controlled Protein Degradation in Cyanobacteria</t>
  </si>
  <si>
    <t>DNA Computing: NOT Logic Gates See the Light</t>
  </si>
  <si>
    <t>Optimized cDICE for Efficient Reconstitution of Biological Systems in Giant Unilamellar Vesicles</t>
  </si>
  <si>
    <t>Nisin- and Ripcin-Derived Hybrid Lanthipeptides Display Selective Antimicrobial Activity against Staphylococcus aureus</t>
  </si>
  <si>
    <t>Streamlined Human Cell-Based Recombinase-Mediated Cassette Exchange Platform Enables Multigene Expression for the Production of Therapeutic Proteins</t>
  </si>
  <si>
    <t>Optimization of Electrotransformation Parameters and Engineered Promoters for Lactobacillus plantarum from Wine</t>
  </si>
  <si>
    <t>Development of a Suite of Tools for Genome Editing in Parageobacillus thermoglucosidasius and Their Use to Identify the Potential of a Native Plasmid in the Generation of Stable Engineered Strains</t>
  </si>
  <si>
    <t>Sequence Preference and Initiator Promiscuity for De Novo DNA Synthesis by Terminal Deoxynucleotidyl Transferase</t>
  </si>
  <si>
    <t>Engineering a Bifunctional ComQXPA-PsrfA Quorum-Sensing Circuit for Dynamic Control of Gene Expression in Corynebacterium glutamicum</t>
  </si>
  <si>
    <t>Engineering of a Biosensor in Response to Malate in Bacillus licheniformis</t>
  </si>
  <si>
    <t>Recognition of DNA Target Formulations by CRISPR-Cas12a Using a dsDNA Reporter</t>
  </si>
  <si>
    <t>SBOLCanvas: A Visual Editor for Genetic Designs</t>
  </si>
  <si>
    <t>August 2021 Issue (vol 10, #8)</t>
  </si>
  <si>
    <t>Genetically Encoding Ultrastable Virus-like Particles Encapsulating Functional DNA Nanostructures in Living Bacteria</t>
  </si>
  <si>
    <t>An Oligo-Library-Based Approach for Mapping DNA–DNA Triplex Interactions In Vitro</t>
  </si>
  <si>
    <t>Characterizing and Improving Reaction Times for E. coli-Based Cell-Free Protein Synthesis</t>
  </si>
  <si>
    <t>Localized Proteolysis for the Construction of Intracellular Asymmetry in Escherichia coli</t>
  </si>
  <si>
    <t>Formation of Giant Lipid Vesicle Containing Dual Functions Facilitates Outer Membrane Phospholipase</t>
  </si>
  <si>
    <t>Reprogramming Gene Expression by Targeting RNA-Based Interactions: A Novel Pipeline Utilizing RNA Array Technology</t>
  </si>
  <si>
    <t>High-Throughput Transcriptional Characterization of Regulatory Sequences from Bacterial Biosynthetic Gene Clusters</t>
  </si>
  <si>
    <t>De Novo Biosynthesis of the Oleanane-Type Triterpenoids of Tunicosaponins in Yeast</t>
  </si>
  <si>
    <t>A Titratable Cell Lysis-on-Demand System for Droplet-Compartmentalized Ultrahigh-Throughput Screening in Functional Metagenomics and Directed Evolution</t>
  </si>
  <si>
    <t>Resveratrol Production from Hydrothermally Pretreated Eucalyptus Wood Using Recombinant Industrial Saccharomyces cerevisiae Strains</t>
  </si>
  <si>
    <t>The Marburg Collection: A Golden Gate DNA Assembly Framework for Synthetic Biology Applications in Vibrio natriegens</t>
  </si>
  <si>
    <t>Development of a N-Acetylneuraminic Acid-Based Sensing and Responding Switch for Orthogonal Gene Regulation in Cyanobacterial Synechococcus Strains</t>
  </si>
  <si>
    <t>Toward Full-Stack In Silico Synthetic Biology: Integrating Model Specification, Simulation, Verification, and Biological Compilation</t>
  </si>
  <si>
    <t>Metabolic Engineering of Escherichia coli for High-Yield Production of (R)-1,3-Butanediol</t>
  </si>
  <si>
    <t>Synthetic Cellobiose-Inducible Regulatory Systems Allow Tight and Dynamic Controls of Gene Expression in Streptomyces</t>
  </si>
  <si>
    <t>Reprogramming Escherichia coli Metabolism for Bioplastics Synthesis from Waste Cooking Oil</t>
  </si>
  <si>
    <t>Semisynthetic Macrocyclic Lipo-lanthipeptides Display Antimicrobial Activity Against Bacterial Pathogens</t>
  </si>
  <si>
    <t>A Computational Metabolic Model for Engineered Production of Resveratrol in Escherichia coli</t>
  </si>
  <si>
    <t>Development of a Biosensor Platform for Phenolic Compounds Using a Transition Ligand Strategy</t>
  </si>
  <si>
    <t>Optogenetic Control of Microbial Consortia Populations for Chemical Production</t>
  </si>
  <si>
    <t>Activation of Naringenin and Kaempferol through Pathway Refactoring in the Endophyte Phomopsis Liquidambaris</t>
  </si>
  <si>
    <t>Circularly-Permuted Pistol Ribozyme: A Synthetic Ribozyme Scaffold for Mammalian Riboswitches</t>
  </si>
  <si>
    <t>Engineering Tropism of Pseudomonas putida toward Target Surfaces through Ectopic Display of Recombinant Nanobodies</t>
  </si>
  <si>
    <t>The Neurospora crassa Inducible Q System Enables Simultaneous Optogenetic Amplification and Inversion in Saccharomyces cerevisiae for Bidirectional Control of Gene Expression</t>
  </si>
  <si>
    <t>Exploring the Tunability and Dynamic Properties of MarR-PmarO Sensor System in Escherichia coli</t>
  </si>
  <si>
    <t>Development of a Novel Cytokine Vehicle Using Filamentous Phage Display for Colorectal Cancer Treatment</t>
  </si>
  <si>
    <t>A System for the Evolution of Protein–Protein Interaction Inducers</t>
  </si>
  <si>
    <t>VisBOL2—Improving Web-Based Visualization for Synthetic Biology Designs</t>
  </si>
  <si>
    <t>In Vivo Assembly of a Genetically Encoded Artificial Metalloenzyme for Hydrogen Production</t>
  </si>
  <si>
    <t>September 2021 Issue (vol 10, #9)</t>
  </si>
  <si>
    <t>Advances in Genome-Scale Metabolic Modeling toward Microbial Community Analysis of the Human Microbiome</t>
  </si>
  <si>
    <t>Functionalizing Cell-Free Systems with CRISPR-Associated Proteins: Application to RNA-Based Circuit Engineering</t>
  </si>
  <si>
    <t>An E. coli-Based Biosynthetic Platform Expands the Structural Diversity of Natural Benzoxazoles</t>
  </si>
  <si>
    <t>High-Titer Production of Olivetolic Acid and Analogs in Engineered Fungal Host Using a Nonplant Biosynthetic Pathway</t>
  </si>
  <si>
    <t>Expression of Alternative Nitrogenases in Rhodopseudomonas palustris Is Enhanced Using an Optimized Genetic Toolset for Rapid, Markerless Modifications</t>
  </si>
  <si>
    <t>Amplification of over 100 kbp DNA from Single Template Molecules in Femtoliter Droplets</t>
  </si>
  <si>
    <t>Four-Step Pathway from Phenylpyruvate to Benzylamine, an Intermediate to the High-Energy Propellant CL-20</t>
  </si>
  <si>
    <t>Inducible Population Quality Control of Engineered Bacillus subtilis for Improved N-Acetylneuraminic Acid Biosynthesis</t>
  </si>
  <si>
    <t>Adaptive Optimization Boosted the Production of Moenomycin A in the Microbial Chassis Streptomyces albus J1074</t>
  </si>
  <si>
    <t>A DNA Inversion System in Eukaryotes Established via Laboratory Evolution</t>
  </si>
  <si>
    <t>Synthetic Circuit-Driven Expression of Heterologous Enzymes for Disease Detection</t>
  </si>
  <si>
    <t>Metabolic Engineering of Aspartic Acid Supply Modules for Enhanced Production of Bacitracin in Bacillus licheniformis</t>
  </si>
  <si>
    <t>Metabolic Dynamics in Escherichia coli-Based Cell-Free Systems</t>
  </si>
  <si>
    <t>Metabolic Engineering of E. coli for Xylose Production from Glucose as the Sole Carbon Source</t>
  </si>
  <si>
    <t>Synthetic Biology Knowledge System</t>
  </si>
  <si>
    <t>Cowpea NAC Transcription Factors Positively Regulate Cellular Stress Response and Balance Energy Metabolism in Yeast via Reprogramming of Biosynthetic Pathways</t>
  </si>
  <si>
    <t>History-Driven Genetic Modification Design Technique Using a Domain-Specific Lexical Model for the Acceleration of DBTL Cycles for Microbial Cell Factories</t>
  </si>
  <si>
    <t>Solving 0–1 Integer Programming Problem Based on DNA Strand Displacement Reaction Network</t>
  </si>
  <si>
    <t>Construction and Characterization of a Gradient Strength Promoter Library for Fine-Tuned Gene Expression in Bacillus licheniformis</t>
  </si>
  <si>
    <t>Modular and Single-Cell Sensors of Bacterial Ser/Thr Kinase Activity</t>
  </si>
  <si>
    <t>De Novo Biosynthesis of the Anticancer Compound Euphol in Saccharomyces cerevisiae</t>
  </si>
  <si>
    <t>Growth-Based, High-Throughput Selection for NADH Preference in an Oxygen-Dependent Biocatalyst</t>
  </si>
  <si>
    <t>Exploiting Polyploidy for Markerless and Plasmid-Free Genome Engineering in Cyanobacteria</t>
  </si>
  <si>
    <t>An Integrative Toolbox for Synthetic Biology in Rhodococcus</t>
  </si>
  <si>
    <t>Engineering Single Pan-Specific Ubiquibodies for Targeted Degradation of All Forms of Endogenous ERK Protein Kinase</t>
  </si>
  <si>
    <t>Accurate Identification and Early Diagnosis of Osteosarcoma through CRISPR-Cas12a-Based Average Telomerase Activity Detection</t>
  </si>
  <si>
    <t>October 2021 Issue (vol 10, #10)</t>
  </si>
  <si>
    <t>Cell-Free Biosynthesis System: Methodology and Perspective of in Vitro Efficient Platform for Pyruvate Biosynthesis and Transformation</t>
  </si>
  <si>
    <t>Combinatorial Biosynthesis of Oxidized Combamides Using Cytochrome P450 Enzymes from Different Polycyclic Tetramate Macrolactam Pathways</t>
  </si>
  <si>
    <t>Random Base Editing for Genome Evolution in Saccharomyces cerevisiae</t>
  </si>
  <si>
    <t>Shaping Liposomes by Cell-Free Expressed Bacterial Microtubules</t>
  </si>
  <si>
    <t>Distributed Computing with Engineered Bacteria and Its Application in Solving Chemically Generated 2 × 2 Maze Problems</t>
  </si>
  <si>
    <t>Minicells from Highly Genome Reduced Escherichia coli: Cytoplasmic and Surface Expression of Recombinant Proteins and Incorporation in the Minicells</t>
  </si>
  <si>
    <t>Engineered Attenuated Salmonella typhimurium Expressing Neoantigen Has Anticancer Effects</t>
  </si>
  <si>
    <t>Efficient Production of 2′-Fucosyllactose from l-Fucose via Self-Assembling Multienzyme Complexes in Engineered Escherichia coli</t>
  </si>
  <si>
    <t>Highly Sensitive CRISPR/Cas12a-Based Fluorescence Detection of Porcine Reproductive and Respiratory Syndrome Virus</t>
  </si>
  <si>
    <t>Tuning Cell-Free Composition Controls the Time Delay, Dynamics, and Productivity of TX-TL Expression</t>
  </si>
  <si>
    <t>Development of Genetically Encoded Biosensors for Reporting the Methyltransferase-Dependent Biosynthesis of Semisynthetic Macrolide Antibiotics</t>
  </si>
  <si>
    <t>Stochastic Hazard Analysis of Genetic Circuits in iBioSim and STAMINA</t>
  </si>
  <si>
    <t>A Novel Miniature CRISPR-Cas13 System for SARS-CoV-2 Diagnostics</t>
  </si>
  <si>
    <t>Targetron-Assisted Delivery of Exogenous DNA Sequences into Pseudomonas putida through CRISPR-Aided Counterselection</t>
  </si>
  <si>
    <t>Rational Design and Characterization of Nitric Oxide Biosensors in E. coli Nissle 1917 and Mini SimCells</t>
  </si>
  <si>
    <t>Functional Expression and Characterization of the Highly Promiscuous Lanthipeptide Synthetase SyncM, Enabling the Production of Lanthipeptides with a Broad Range of Ring Topologies</t>
  </si>
  <si>
    <t>Curation Principles Derived from the Analysis of the SBOL iGEM Data Set</t>
  </si>
  <si>
    <t>Visualized Multigene Editing System for Aspergillus niger</t>
  </si>
  <si>
    <t>Construction of a Fusellovirus with a Minimal Set of Genes</t>
  </si>
  <si>
    <t>Metabolic Engineering of Gas-Fermenting Clostridium ljungdahlii for Efficient Co-production of Isopropanol, 3-Hydroxybutyrate, and Ethanol</t>
  </si>
  <si>
    <t>Engineering T4 Bacteriophage for In Vivo Display by Type V CRISPR-Cas Genome Editing</t>
  </si>
  <si>
    <t>BioParts—A Biological Parts Search Portal and Updates to the ICE Parts Registry Software Platform</t>
  </si>
  <si>
    <t>Engineering a CRISPRi Circuit for Autonomous Control of Metabolic Flux in Escherichia coli</t>
  </si>
  <si>
    <t>ReScribe: An Unrestrained Tool Combining Multiplex Recombineering and Minimal-PAM ScCas9 for Genome Recoding Pseudomonas putida</t>
  </si>
  <si>
    <t>A Platform for Deep Sequence–Activity Mapping and Engineering Antimicrobial Peptides</t>
  </si>
  <si>
    <t>Evolving Small-Molecule Biosensors with Improved Performance and Reprogrammed Ligand Preference Using OrthoRep</t>
  </si>
  <si>
    <t>Development of a Cell-Based Biosensor for Residual Detergent Detection in Decellularized Scaffolds</t>
  </si>
  <si>
    <t>A Methylation-Directed, Synthetic Pap Switch Based on Self-Complementary Regulatory DNA Reconstituted in an All E. coli Cell-Free Expression System</t>
  </si>
  <si>
    <t>Flaviolin-Like Gene Cluster Deletion Optimized the Butenyl-Spinosyn Biosynthesis Route in Saccharopolyspora pogona</t>
  </si>
  <si>
    <t>Tailoring Genetic Elements of the Plasmid-Driven T7 System for Stable and Robust One-Step Cloning and Protein Expression in Broad Escherichia coli</t>
  </si>
  <si>
    <t>A Ratiometric Dual Color Luciferase Reporter for Fast Characterization of Transcriptional Regulatory Elements in Plants</t>
  </si>
  <si>
    <t>The Bacillus subtilis Minimal Genome Compendium</t>
  </si>
  <si>
    <t>November 2021 Issue (vol 10, #11)</t>
  </si>
  <si>
    <t>Directed Evolution in Drops: Molecular Aspects and Applications</t>
  </si>
  <si>
    <t>Toward the Heterologous Biosynthesis of Plant Natural Products: Gene Discovery and Characterization</t>
  </si>
  <si>
    <t>Improving the Intensity of Integrated Expression for Microbial Production</t>
  </si>
  <si>
    <t>Engineering Wired Life: Synthetic Biology for Electroactive Bacteria</t>
  </si>
  <si>
    <t>Advances in Field Detection Based on CRISPR/Cas System</t>
  </si>
  <si>
    <t>Fine-Tuning Cas9 Activity with a Cognate Inhibitor AcrIIA4 to Improve Genome Editing in Streptomyces</t>
  </si>
  <si>
    <t>Exploring Selective Pressure Trade-Offs for Synthetic Addiction to Extend Metabolite Productive Lifetimes in Yeast</t>
  </si>
  <si>
    <t>Modular Synthetic Biology Toolkit for Filamentous Fungi</t>
  </si>
  <si>
    <t>Point-of-Care Analyte Quantification and Digital Readout via Lysate-Based Cell-Free Biosensors Interfaced with Personal Glucose Monitors</t>
  </si>
  <si>
    <t>CRISPR-Cas-Mediated Tethering Recruits the Yeast HMR Mating-Type Locus to the Nuclear Periphery but Fails to Silence Gene Expression</t>
  </si>
  <si>
    <t>A Loser-Take-All DNA Circuit</t>
  </si>
  <si>
    <t>Optical Control of Phosphoinositide Binding: Rapid Activation of Subcellular Protein Translocation and Cell Signaling</t>
  </si>
  <si>
    <t>Engineering Yeast for De Novo Synthesis of the Insect Repellent Nepetalactone</t>
  </si>
  <si>
    <t>Characterization of Constitutive Promoters for the Elicitation of Secondary Metabolites in Myxobacteria</t>
  </si>
  <si>
    <t>Multiomics Study of Bacterial Growth Arrest in a Synthetic Biology Application</t>
  </si>
  <si>
    <t>A Novel and Efficient Genome Editing Tool Assisted by CRISPR-Cas12a/Cpf1 for Pichia pastoris</t>
  </si>
  <si>
    <t>Yeast Surface Display for In Vitro Biosynthetic Pathway Reconstruction</t>
  </si>
  <si>
    <t>Engineering a Supersecreting Strain of Escherichia coli by Directed Coevolution of the Multiprotein Tat Translocation Machinery</t>
  </si>
  <si>
    <t>Novel RNA Viral Vectors for Chemically Regulated Gene Expression in Embryonic Stem Cells</t>
  </si>
  <si>
    <t>Bayesian Inference for Integrating Yarrowia lipolytica Multiomics Datasets with Metabolic Modeling</t>
  </si>
  <si>
    <t>Improved Stability of Engineered Ammonia Production in the Plant-Symbiont Azospirillum brasilense</t>
  </si>
  <si>
    <t>Emergent Biological Endurance Depends on Extracellular Matrix Composition of Three-Dimensionally Printed Escherichia coli Biofilms</t>
  </si>
  <si>
    <t>Strategy for Producing the High-Quality Glycopeptide Antibiotic A82846B in Amycolatopsis orientalis Based on the CRISPR-Cas12a System</t>
  </si>
  <si>
    <t>Cell Catalysis of Citrate to Itaconate by Engineered Halomonas bluephagenesis</t>
  </si>
  <si>
    <t>Tuning Gene Expression by Phosphate in the Methanogenic Archaeon Methanococcus maripaludis</t>
  </si>
  <si>
    <t>Optimization of Heavy Metal Sensors Based on Transcription Factors and Cell-Free Expression Systems</t>
  </si>
  <si>
    <t>Biosynthesis of a Therapeutically Important Nicotinamide Mononucleotide through a Phosphoribosyl Pyrophosphate Synthetase 1 and 2 Engineered Strain of Escherichia coli</t>
  </si>
  <si>
    <t>Kinetics of RNA and RNA:DNA Hybrid Strand Displacement</t>
  </si>
  <si>
    <t>Development of a Transcription Factor-Based Diamine Biosensor in Corynebacterium glutamicum</t>
  </si>
  <si>
    <t>Efficient, Flexible Autoinduction Expression Systems with Broad Initiation in Bacillus subtilis</t>
  </si>
  <si>
    <t>Broadening the Toolkit for Quantitatively Evaluating Noncanonical Amino Acid Incorporation in Yeast</t>
  </si>
  <si>
    <t>A Microfluidic Platform for Sequential Assembly and Separation of Synthetic Cell Models</t>
  </si>
  <si>
    <t>Emergent Bistable Switches from the Incoherent Feed-Forward Signaling of a Positive Feedback Loop</t>
  </si>
  <si>
    <t>Increased Lipid Production in Yarrowia lipolytica from Acetate through Metabolic Engineering and Cosubstrate Fermentation</t>
  </si>
  <si>
    <t>RNA Polymerase-Mediated Stepwise RNA-Primed RNA Polymerization for Site-Specific Multiple Labeling into RNA: A Fluorescence Resonance Energy Transfer Probe Detects the Structural Change of an RNA G-Quadruplex</t>
  </si>
  <si>
    <t>CRISPR-Powered DNA Computing and Digital Display</t>
  </si>
  <si>
    <t>An in Vitro Reconstitution System Defines the Defective Step in the Biogenesis of Mutated β-Actin Proteins</t>
  </si>
  <si>
    <t>Targeting glmS Ribozyme with Chimeric Antisense Oligonucleotides for Antibacterial Drug Development</t>
  </si>
  <si>
    <t>Regulating Expression of Mistranslating tRNAs by Readthrough RNA Polymerase II Transcription</t>
  </si>
  <si>
    <t>Evolution of Functionally Enhanced α-l-Threofuranosyl Nucleic Acid Aptamers</t>
  </si>
  <si>
    <t>Synthetic Biology Curation Tools (SYNBICT)</t>
  </si>
  <si>
    <t>Assessment of Colorimetric Reporter Enzymes in the PURE System</t>
  </si>
  <si>
    <t>In Silico End-to-End Protein–Ligand Interaction Characterization Pipeline: The Case of SARS-CoV-2</t>
  </si>
  <si>
    <t>December 2021 Issue (vol 10, #12)</t>
  </si>
  <si>
    <t>Synthetic Biology Toolkits and Metabolic Engineering Applied in Corynebacterium glutamicum for Biomanufacturing</t>
  </si>
  <si>
    <t>Artificial Self-assembling Nanocompartment for Organizing Metabolic Pathways in Yeast</t>
  </si>
  <si>
    <t>Enabling Biological Nitrogen Fixation for Cereal Crops in Fertilized Fields</t>
  </si>
  <si>
    <t>The ProUSER2.0 Toolbox: Genetic Parts and Highly Customizable Plasmids for Synthetic Biology in Bacillus subtilis</t>
  </si>
  <si>
    <t>RBS and Promoter Strengths Determine the Cell-Growth-Dependent Protein Mass Fractions and Their Optimal Synthesis Rates</t>
  </si>
  <si>
    <t>Virtual Parts Repository 2: Model-Driven Design of Genetic Regulatory Circuits</t>
  </si>
  <si>
    <t>Automated Design of Robust Genetic Circuits: Structural Variants and Parameter Uncertainty</t>
  </si>
  <si>
    <t>Predicting Composition of Genetic Circuits with Resource Competition: Demand and Sensitivity</t>
  </si>
  <si>
    <t>Biosynthesis of Poly(3HB-co-3HP) with Variable Monomer Composition in Recombinant Cupriavidus necator H16</t>
  </si>
  <si>
    <t>Molecular Mechanism of the Cytosine CRISPR Base Editing Process and the Roles of Translesion DNA Polymerases</t>
  </si>
  <si>
    <t>Escherichia coli Promoters with Consistent Expression throughout the Murine Gut</t>
  </si>
  <si>
    <t>Comprehensive Genome Engineering Toolbox for Microalgae Nannochloropsis oceanica Based on CRISPR-Cas Systems</t>
  </si>
  <si>
    <t>Escherichia coli Data-Driven Strain Design Using Aggregated Adaptive Laboratory Evolution Mutational Data</t>
  </si>
  <si>
    <t>Exploiting Noise, Non-Linearity, and Feedback for Differential Control of Multiple Synthetic Cells with a Single Optogenetic Input</t>
  </si>
  <si>
    <t>An Optogenetic Toolbox for Synergistic Regulation of Protein Abundance</t>
  </si>
  <si>
    <t>Komagataeibacter Tool Kit (KTK): A Modular Cloning System for Multigene Constructs and Programmed Protein Secretion from Cellulose Producing Bacteria</t>
  </si>
  <si>
    <t>Development of a Highly Efficient Copper-Inducible GAL Regulation System (CuIGR) in Saccharomyces cerevisiae</t>
  </si>
  <si>
    <t>A Protein-Engineered, Enhanced Yeast Display Platform for Rapid Evolution of Challenging Targets</t>
  </si>
  <si>
    <t>Expansion of the Yeast Modular Cloning Toolkit for CRISPR-Based Applications, Genomic Integrations and Combinatorial Libraries</t>
  </si>
  <si>
    <t>Simulations to Aid in the Design of Microbes for Synthesis of Metallic Nanomaterials</t>
  </si>
  <si>
    <t>Accelerating Whole-Cell Simulations of mRNA Translation Using a Dedicated Hardware</t>
  </si>
  <si>
    <t>Continuous Cell-Free Replication and Evolution of Artificial Genomic DNA in a Compartmentalized Gene Expression System</t>
  </si>
  <si>
    <t>Channeling Anabolic Side Products toward the Production of Nonessential Metabolites: Stable Malate Production in Synechocystis sp. PCC6803</t>
  </si>
  <si>
    <t>Engineered l-Lactate Responding Promoter System Operating in Glucose-Rich and Anoxic Environments</t>
  </si>
  <si>
    <t>Engineering Yeast Yarrowia lipolytica for Methanol Assimilation</t>
  </si>
  <si>
    <t>Morphological and Metabolic Engineering of Yarrowia lipolytica to Increase β-Carotene Production</t>
  </si>
  <si>
    <t>Systematic Engineering of Synechococcus elongatus UTEX 2973 for Photosynthetic Production of l-Lysine, Cadaverine, and Glutarate</t>
  </si>
  <si>
    <t>Gold-Specific Biosensor for Monitoring Wastewater Using Genetically Engineered Cupriavidus metallidurans CH34</t>
  </si>
  <si>
    <t>Glycodiversifying Testosterone with a Promiscuous Glycosyltransferase OsSGT2 from Ornithogalum saundersiae</t>
  </si>
  <si>
    <t>CRISPR-Cas12a-Based Detection of SARS-CoV-2 Harboring the E484K Mutation</t>
  </si>
  <si>
    <t>Plant-Based Biosensors for Detecting CRISPR-Mediated Genome Engineering</t>
  </si>
  <si>
    <t>Cell-Free Protein Systems from Yersinia pestis are Functional and Growth-Temperature Dependent</t>
  </si>
  <si>
    <t>Year: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</si>
</sst>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color rgb="FF000000"/>
      <name val="&quot;Google Sans Mono&quot;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vK8DdeN5QbFqKy0h2uLIuuB89hU_Zlj_o41NX1BVtA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7"/>
  <sheetViews>
    <sheetView tabSelected="1" workbookViewId="0">
      <selection activeCell="A2" sqref="A2"/>
    </sheetView>
  </sheetViews>
  <sheetFormatPr defaultColWidth="12.7109375" defaultRowHeight="15.75" customHeight="1"/>
  <cols>
    <col min="2" max="2" width="8.85546875" customWidth="1"/>
    <col min="3" max="3" width="15" customWidth="1"/>
    <col min="4" max="4" width="12.7109375" customWidth="1"/>
    <col min="5" max="5" width="13" customWidth="1"/>
    <col min="6" max="6" width="14.7109375" customWidth="1"/>
    <col min="7" max="7" width="17.7109375" customWidth="1"/>
    <col min="8" max="8" width="17.140625" customWidth="1"/>
    <col min="9" max="9" width="15.28515625" customWidth="1"/>
    <col min="10" max="10" width="14.85546875" customWidth="1"/>
    <col min="11" max="11" width="8.85546875" customWidth="1"/>
    <col min="12" max="12" width="5.7109375" customWidth="1"/>
    <col min="13" max="13" width="15.85546875" customWidth="1"/>
    <col min="14" max="14" width="15.7109375" customWidth="1"/>
    <col min="15" max="15" width="18.85546875" customWidth="1"/>
    <col min="16" max="16" width="15.85546875" customWidth="1"/>
    <col min="17" max="17" width="12.7109375" customWidth="1"/>
    <col min="18" max="18" width="13.140625" customWidth="1"/>
    <col min="19" max="19" width="10.28515625" customWidth="1"/>
    <col min="20" max="20" width="10.7109375" customWidth="1"/>
    <col min="21" max="21" width="14.7109375" customWidth="1"/>
    <col min="22" max="22" width="9" customWidth="1"/>
  </cols>
  <sheetData>
    <row r="1" spans="1:22" ht="15.75" customHeight="1">
      <c r="A1" s="1" t="s">
        <v>385</v>
      </c>
      <c r="B1" s="8" t="s">
        <v>0</v>
      </c>
      <c r="C1" s="9"/>
      <c r="D1" s="9"/>
      <c r="E1" s="9"/>
      <c r="F1" s="8" t="s">
        <v>1</v>
      </c>
      <c r="G1" s="9"/>
      <c r="H1" s="9"/>
      <c r="I1" s="9"/>
      <c r="J1" s="9"/>
      <c r="K1" s="9"/>
      <c r="M1" s="8" t="s">
        <v>2</v>
      </c>
      <c r="N1" s="9"/>
      <c r="O1" s="9"/>
      <c r="P1" s="8" t="s">
        <v>3</v>
      </c>
      <c r="Q1" s="9"/>
    </row>
    <row r="2" spans="1:22" ht="15.75" customHeight="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6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5</v>
      </c>
      <c r="M2" s="1" t="s">
        <v>6</v>
      </c>
      <c r="N2" s="1" t="s">
        <v>9</v>
      </c>
      <c r="O2" s="1" t="s">
        <v>10</v>
      </c>
      <c r="P2" s="1" t="s">
        <v>9</v>
      </c>
      <c r="Q2" s="1" t="s">
        <v>10</v>
      </c>
      <c r="R2" s="1" t="s">
        <v>13</v>
      </c>
      <c r="S2" s="1" t="s">
        <v>14</v>
      </c>
      <c r="T2" s="1" t="s">
        <v>15</v>
      </c>
      <c r="U2" s="1" t="s">
        <v>16</v>
      </c>
      <c r="V2" s="1" t="s">
        <v>17</v>
      </c>
    </row>
    <row r="3" spans="1:22" ht="15.75" customHeight="1">
      <c r="A3" s="1" t="s">
        <v>18</v>
      </c>
      <c r="B3" s="1">
        <f>January!C24</f>
        <v>115</v>
      </c>
      <c r="C3" s="1">
        <f>January!D24</f>
        <v>40</v>
      </c>
      <c r="D3" s="1">
        <f>January!E24</f>
        <v>35</v>
      </c>
      <c r="E3" s="1">
        <f>January!F24</f>
        <v>15</v>
      </c>
      <c r="F3" s="1">
        <f>January!G24</f>
        <v>16</v>
      </c>
      <c r="G3" s="1">
        <f>January!H24</f>
        <v>14</v>
      </c>
      <c r="H3" s="1">
        <f>January!I24</f>
        <v>14</v>
      </c>
      <c r="I3" s="1">
        <f>January!J24</f>
        <v>8</v>
      </c>
      <c r="J3" s="1">
        <f>January!K24</f>
        <v>5</v>
      </c>
      <c r="K3" s="1">
        <f>January!L24</f>
        <v>21</v>
      </c>
      <c r="M3" s="2">
        <f t="shared" ref="M3:O3" si="0">F3/$K3</f>
        <v>0.76190476190476186</v>
      </c>
      <c r="N3" s="2">
        <f t="shared" si="0"/>
        <v>0.66666666666666663</v>
      </c>
      <c r="O3" s="2">
        <f t="shared" si="0"/>
        <v>0.66666666666666663</v>
      </c>
      <c r="P3" s="2">
        <f t="shared" ref="P3:Q3" si="1">G3/$F3</f>
        <v>0.875</v>
      </c>
      <c r="Q3" s="2">
        <f t="shared" si="1"/>
        <v>0.875</v>
      </c>
      <c r="R3" s="2">
        <f t="shared" ref="R3:R15" si="2">I3/F3</f>
        <v>0.5</v>
      </c>
      <c r="S3" s="2">
        <f t="shared" ref="S3:S15" si="3">J3/F3</f>
        <v>0.3125</v>
      </c>
      <c r="T3" s="3">
        <f t="shared" ref="T3:T15" si="4">D3/$B3</f>
        <v>0.30434782608695654</v>
      </c>
      <c r="U3" s="3">
        <f t="shared" ref="U3:U15" si="5">D3/C3</f>
        <v>0.875</v>
      </c>
      <c r="V3" s="2">
        <f t="shared" ref="V3:V15" si="6">E3/C3</f>
        <v>0.375</v>
      </c>
    </row>
    <row r="4" spans="1:22" ht="15.75" customHeight="1">
      <c r="A4" s="1" t="s">
        <v>19</v>
      </c>
      <c r="B4" s="1">
        <f>February!C24</f>
        <v>103</v>
      </c>
      <c r="C4" s="1">
        <f>February!D24</f>
        <v>29</v>
      </c>
      <c r="D4" s="1">
        <f>February!E24</f>
        <v>22</v>
      </c>
      <c r="E4" s="1">
        <f>February!F24</f>
        <v>20</v>
      </c>
      <c r="F4" s="1">
        <f>February!G24</f>
        <v>10</v>
      </c>
      <c r="G4" s="1">
        <f>February!H24</f>
        <v>8</v>
      </c>
      <c r="H4" s="1">
        <f>February!I24</f>
        <v>8</v>
      </c>
      <c r="I4" s="1">
        <f>February!J24</f>
        <v>6</v>
      </c>
      <c r="J4" s="1">
        <f>February!K24</f>
        <v>6</v>
      </c>
      <c r="K4" s="1">
        <f>February!L24</f>
        <v>21</v>
      </c>
      <c r="M4" s="2">
        <f t="shared" ref="M4:O4" si="7">F4/$K4</f>
        <v>0.47619047619047616</v>
      </c>
      <c r="N4" s="2">
        <f t="shared" si="7"/>
        <v>0.38095238095238093</v>
      </c>
      <c r="O4" s="2">
        <f t="shared" si="7"/>
        <v>0.38095238095238093</v>
      </c>
      <c r="P4" s="2">
        <f t="shared" ref="P4:Q4" si="8">G4/$F4</f>
        <v>0.8</v>
      </c>
      <c r="Q4" s="2">
        <f t="shared" si="8"/>
        <v>0.8</v>
      </c>
      <c r="R4" s="2">
        <f t="shared" si="2"/>
        <v>0.6</v>
      </c>
      <c r="S4" s="2">
        <f t="shared" si="3"/>
        <v>0.6</v>
      </c>
      <c r="T4" s="3">
        <f t="shared" si="4"/>
        <v>0.21359223300970873</v>
      </c>
      <c r="U4" s="3">
        <f t="shared" si="5"/>
        <v>0.75862068965517238</v>
      </c>
      <c r="V4" s="2">
        <f t="shared" si="6"/>
        <v>0.68965517241379315</v>
      </c>
    </row>
    <row r="5" spans="1:22" ht="15.75" customHeight="1">
      <c r="A5" s="1" t="s">
        <v>20</v>
      </c>
      <c r="B5" s="1">
        <f>March!C23</f>
        <v>110</v>
      </c>
      <c r="C5" s="1">
        <f>March!D23</f>
        <v>23</v>
      </c>
      <c r="D5" s="1">
        <f>March!E23</f>
        <v>19</v>
      </c>
      <c r="E5" s="1">
        <f>March!F23</f>
        <v>17</v>
      </c>
      <c r="F5" s="1">
        <f>March!G23</f>
        <v>12</v>
      </c>
      <c r="G5" s="1">
        <f>March!H23</f>
        <v>11</v>
      </c>
      <c r="H5" s="1">
        <f>March!I23</f>
        <v>10</v>
      </c>
      <c r="I5" s="1">
        <f>March!J23</f>
        <v>10</v>
      </c>
      <c r="J5" s="1">
        <f>March!K23</f>
        <v>8</v>
      </c>
      <c r="K5" s="1">
        <f>March!L23</f>
        <v>20</v>
      </c>
      <c r="M5" s="2">
        <f t="shared" ref="M5:O5" si="9">F5/$K5</f>
        <v>0.6</v>
      </c>
      <c r="N5" s="2">
        <f t="shared" si="9"/>
        <v>0.55000000000000004</v>
      </c>
      <c r="O5" s="2">
        <f t="shared" si="9"/>
        <v>0.5</v>
      </c>
      <c r="P5" s="2">
        <f t="shared" ref="P5:Q5" si="10">G5/$F5</f>
        <v>0.91666666666666663</v>
      </c>
      <c r="Q5" s="2">
        <f t="shared" si="10"/>
        <v>0.83333333333333337</v>
      </c>
      <c r="R5" s="2">
        <f t="shared" si="2"/>
        <v>0.83333333333333337</v>
      </c>
      <c r="S5" s="2">
        <f t="shared" si="3"/>
        <v>0.66666666666666663</v>
      </c>
      <c r="T5" s="3">
        <f t="shared" si="4"/>
        <v>0.17272727272727273</v>
      </c>
      <c r="U5" s="3">
        <f t="shared" si="5"/>
        <v>0.82608695652173914</v>
      </c>
      <c r="V5" s="2">
        <f t="shared" si="6"/>
        <v>0.73913043478260865</v>
      </c>
    </row>
    <row r="6" spans="1:22" ht="15.75" customHeight="1">
      <c r="A6" s="1" t="s">
        <v>21</v>
      </c>
      <c r="B6" s="1">
        <f>April!C26</f>
        <v>136</v>
      </c>
      <c r="C6" s="1">
        <f>April!D26</f>
        <v>39</v>
      </c>
      <c r="D6" s="1">
        <f>April!E26</f>
        <v>35</v>
      </c>
      <c r="E6" s="1">
        <f>April!F26</f>
        <v>22</v>
      </c>
      <c r="F6" s="1">
        <f>April!G26</f>
        <v>16</v>
      </c>
      <c r="G6" s="1">
        <f>April!H26</f>
        <v>13</v>
      </c>
      <c r="H6" s="1">
        <f>April!I26</f>
        <v>13</v>
      </c>
      <c r="I6" s="1">
        <f>April!J26</f>
        <v>8</v>
      </c>
      <c r="J6" s="1">
        <f>April!K26</f>
        <v>8</v>
      </c>
      <c r="K6" s="1">
        <f>April!L26</f>
        <v>23</v>
      </c>
      <c r="M6" s="2">
        <f t="shared" ref="M6:O6" si="11">F6/$K6</f>
        <v>0.69565217391304346</v>
      </c>
      <c r="N6" s="2">
        <f t="shared" si="11"/>
        <v>0.56521739130434778</v>
      </c>
      <c r="O6" s="2">
        <f t="shared" si="11"/>
        <v>0.56521739130434778</v>
      </c>
      <c r="P6" s="2">
        <f t="shared" ref="P6:Q6" si="12">G6/$F6</f>
        <v>0.8125</v>
      </c>
      <c r="Q6" s="2">
        <f t="shared" si="12"/>
        <v>0.8125</v>
      </c>
      <c r="R6" s="2">
        <f t="shared" si="2"/>
        <v>0.5</v>
      </c>
      <c r="S6" s="2">
        <f t="shared" si="3"/>
        <v>0.5</v>
      </c>
      <c r="T6" s="3">
        <f t="shared" si="4"/>
        <v>0.25735294117647056</v>
      </c>
      <c r="U6" s="3">
        <f t="shared" si="5"/>
        <v>0.89743589743589747</v>
      </c>
      <c r="V6" s="2">
        <f t="shared" si="6"/>
        <v>0.5641025641025641</v>
      </c>
    </row>
    <row r="7" spans="1:22" ht="15.75" customHeight="1">
      <c r="A7" s="1" t="s">
        <v>22</v>
      </c>
      <c r="B7" s="1">
        <f>May!C33</f>
        <v>163</v>
      </c>
      <c r="C7" s="1">
        <f>May!D33</f>
        <v>44</v>
      </c>
      <c r="D7" s="1">
        <f>May!E33</f>
        <v>35</v>
      </c>
      <c r="E7" s="1">
        <f>May!F33</f>
        <v>10</v>
      </c>
      <c r="F7" s="1">
        <f>May!G33</f>
        <v>18</v>
      </c>
      <c r="G7" s="1">
        <f>May!H33</f>
        <v>14</v>
      </c>
      <c r="H7" s="1">
        <f>May!I33</f>
        <v>14</v>
      </c>
      <c r="I7" s="1">
        <f>May!J33</f>
        <v>6</v>
      </c>
      <c r="J7" s="1">
        <f>May!K33</f>
        <v>6</v>
      </c>
      <c r="K7" s="1">
        <f>May!L33</f>
        <v>30</v>
      </c>
      <c r="M7" s="2">
        <f t="shared" ref="M7:O7" si="13">F7/$K7</f>
        <v>0.6</v>
      </c>
      <c r="N7" s="2">
        <f t="shared" si="13"/>
        <v>0.46666666666666667</v>
      </c>
      <c r="O7" s="2">
        <f t="shared" si="13"/>
        <v>0.46666666666666667</v>
      </c>
      <c r="P7" s="2">
        <f t="shared" ref="P7:Q7" si="14">G7/$F7</f>
        <v>0.77777777777777779</v>
      </c>
      <c r="Q7" s="2">
        <f t="shared" si="14"/>
        <v>0.77777777777777779</v>
      </c>
      <c r="R7" s="2">
        <f t="shared" si="2"/>
        <v>0.33333333333333331</v>
      </c>
      <c r="S7" s="2">
        <f t="shared" si="3"/>
        <v>0.33333333333333331</v>
      </c>
      <c r="T7" s="3">
        <f t="shared" si="4"/>
        <v>0.21472392638036811</v>
      </c>
      <c r="U7" s="3">
        <f t="shared" si="5"/>
        <v>0.79545454545454541</v>
      </c>
      <c r="V7" s="2">
        <f t="shared" si="6"/>
        <v>0.22727272727272727</v>
      </c>
    </row>
    <row r="8" spans="1:22" ht="15.75" customHeight="1">
      <c r="A8" s="1" t="s">
        <v>23</v>
      </c>
      <c r="B8" s="1">
        <f>June!C32</f>
        <v>148</v>
      </c>
      <c r="C8" s="1">
        <f>June!D32</f>
        <v>31</v>
      </c>
      <c r="D8" s="1">
        <f>June!E32</f>
        <v>25</v>
      </c>
      <c r="E8" s="1">
        <f>June!F32</f>
        <v>15</v>
      </c>
      <c r="F8" s="1">
        <f>June!G32</f>
        <v>19</v>
      </c>
      <c r="G8" s="1">
        <f>June!H32</f>
        <v>15</v>
      </c>
      <c r="H8" s="1">
        <f>June!I32</f>
        <v>15</v>
      </c>
      <c r="I8" s="1">
        <f>June!J32</f>
        <v>8</v>
      </c>
      <c r="J8" s="1">
        <f>June!K32</f>
        <v>8</v>
      </c>
      <c r="K8" s="1">
        <f>June!L32</f>
        <v>29</v>
      </c>
      <c r="M8" s="2">
        <f t="shared" ref="M8:O8" si="15">F8/$K8</f>
        <v>0.65517241379310343</v>
      </c>
      <c r="N8" s="2">
        <f t="shared" si="15"/>
        <v>0.51724137931034486</v>
      </c>
      <c r="O8" s="2">
        <f t="shared" si="15"/>
        <v>0.51724137931034486</v>
      </c>
      <c r="P8" s="2">
        <f t="shared" ref="P8:Q8" si="16">G8/$F8</f>
        <v>0.78947368421052633</v>
      </c>
      <c r="Q8" s="2">
        <f t="shared" si="16"/>
        <v>0.78947368421052633</v>
      </c>
      <c r="R8" s="2">
        <f t="shared" si="2"/>
        <v>0.42105263157894735</v>
      </c>
      <c r="S8" s="2">
        <f t="shared" si="3"/>
        <v>0.42105263157894735</v>
      </c>
      <c r="T8" s="3">
        <f t="shared" si="4"/>
        <v>0.16891891891891891</v>
      </c>
      <c r="U8" s="3">
        <f t="shared" si="5"/>
        <v>0.80645161290322576</v>
      </c>
      <c r="V8" s="2">
        <f t="shared" si="6"/>
        <v>0.4838709677419355</v>
      </c>
    </row>
    <row r="9" spans="1:22" ht="15.75" customHeight="1">
      <c r="A9" s="1" t="s">
        <v>24</v>
      </c>
      <c r="B9" s="1">
        <f>July!C24</f>
        <v>108</v>
      </c>
      <c r="C9" s="1">
        <f>July!D24</f>
        <v>31</v>
      </c>
      <c r="D9" s="1">
        <f>July!E24</f>
        <v>24</v>
      </c>
      <c r="E9" s="1">
        <f>July!F24</f>
        <v>19</v>
      </c>
      <c r="F9" s="1">
        <f>July!G24</f>
        <v>12</v>
      </c>
      <c r="G9" s="1">
        <f>July!H24</f>
        <v>9</v>
      </c>
      <c r="H9" s="1">
        <f>July!I24</f>
        <v>8</v>
      </c>
      <c r="I9" s="1">
        <f>July!J24</f>
        <v>7</v>
      </c>
      <c r="J9" s="1">
        <f>July!K24</f>
        <v>5</v>
      </c>
      <c r="K9" s="1">
        <f>July!L24</f>
        <v>21</v>
      </c>
      <c r="M9" s="2">
        <f t="shared" ref="M9:O9" si="17">F9/$K9</f>
        <v>0.5714285714285714</v>
      </c>
      <c r="N9" s="2">
        <f t="shared" si="17"/>
        <v>0.42857142857142855</v>
      </c>
      <c r="O9" s="2">
        <f t="shared" si="17"/>
        <v>0.38095238095238093</v>
      </c>
      <c r="P9" s="2">
        <f t="shared" ref="P9:Q9" si="18">G9/$F9</f>
        <v>0.75</v>
      </c>
      <c r="Q9" s="2">
        <f t="shared" si="18"/>
        <v>0.66666666666666663</v>
      </c>
      <c r="R9" s="2">
        <f t="shared" si="2"/>
        <v>0.58333333333333337</v>
      </c>
      <c r="S9" s="2">
        <f t="shared" si="3"/>
        <v>0.41666666666666669</v>
      </c>
      <c r="T9" s="3">
        <f t="shared" si="4"/>
        <v>0.22222222222222221</v>
      </c>
      <c r="U9" s="3">
        <f t="shared" si="5"/>
        <v>0.77419354838709675</v>
      </c>
      <c r="V9" s="2">
        <f t="shared" si="6"/>
        <v>0.61290322580645162</v>
      </c>
    </row>
    <row r="10" spans="1:22" ht="15.75" customHeight="1">
      <c r="A10" s="1" t="s">
        <v>25</v>
      </c>
      <c r="B10" s="1">
        <f>August!C32</f>
        <v>154</v>
      </c>
      <c r="C10" s="1">
        <f>August!D32</f>
        <v>48</v>
      </c>
      <c r="D10" s="1">
        <f>August!E32</f>
        <v>40</v>
      </c>
      <c r="E10" s="1">
        <f>August!F32</f>
        <v>33</v>
      </c>
      <c r="F10" s="1">
        <f>August!G32</f>
        <v>20</v>
      </c>
      <c r="G10" s="1">
        <f>August!H32</f>
        <v>18</v>
      </c>
      <c r="H10" s="1">
        <f>August!I32</f>
        <v>16</v>
      </c>
      <c r="I10" s="1">
        <f>August!J32</f>
        <v>14</v>
      </c>
      <c r="J10" s="1">
        <f>August!K32</f>
        <v>12</v>
      </c>
      <c r="K10" s="1">
        <f>August!L32</f>
        <v>29</v>
      </c>
      <c r="M10" s="2">
        <f t="shared" ref="M10:O10" si="19">F10/$K10</f>
        <v>0.68965517241379315</v>
      </c>
      <c r="N10" s="2">
        <f t="shared" si="19"/>
        <v>0.62068965517241381</v>
      </c>
      <c r="O10" s="2">
        <f t="shared" si="19"/>
        <v>0.55172413793103448</v>
      </c>
      <c r="P10" s="2">
        <f t="shared" ref="P10:Q10" si="20">G10/$F10</f>
        <v>0.9</v>
      </c>
      <c r="Q10" s="2">
        <f t="shared" si="20"/>
        <v>0.8</v>
      </c>
      <c r="R10" s="2">
        <f t="shared" si="2"/>
        <v>0.7</v>
      </c>
      <c r="S10" s="2">
        <f t="shared" si="3"/>
        <v>0.6</v>
      </c>
      <c r="T10" s="3">
        <f t="shared" si="4"/>
        <v>0.25974025974025972</v>
      </c>
      <c r="U10" s="3">
        <f t="shared" si="5"/>
        <v>0.83333333333333337</v>
      </c>
      <c r="V10" s="2">
        <f t="shared" si="6"/>
        <v>0.6875</v>
      </c>
    </row>
    <row r="11" spans="1:22" ht="15.75" customHeight="1">
      <c r="A11" s="1" t="s">
        <v>26</v>
      </c>
      <c r="B11" s="1">
        <f>September!C29</f>
        <v>153</v>
      </c>
      <c r="C11" s="1">
        <f>September!D29</f>
        <v>37</v>
      </c>
      <c r="D11" s="1">
        <f>September!E29</f>
        <v>35</v>
      </c>
      <c r="E11" s="1">
        <f>September!F29</f>
        <v>28</v>
      </c>
      <c r="F11" s="1">
        <f>September!G29</f>
        <v>14</v>
      </c>
      <c r="G11" s="1">
        <f>September!H29</f>
        <v>13</v>
      </c>
      <c r="H11" s="1">
        <f>September!I29</f>
        <v>13</v>
      </c>
      <c r="I11" s="1">
        <f>September!J29</f>
        <v>12</v>
      </c>
      <c r="J11" s="1">
        <f>September!K29</f>
        <v>12</v>
      </c>
      <c r="K11" s="1">
        <f>September!L29</f>
        <v>26</v>
      </c>
      <c r="M11" s="2">
        <f t="shared" ref="M11:O11" si="21">F11/$K11</f>
        <v>0.53846153846153844</v>
      </c>
      <c r="N11" s="2">
        <f t="shared" si="21"/>
        <v>0.5</v>
      </c>
      <c r="O11" s="2">
        <f t="shared" si="21"/>
        <v>0.5</v>
      </c>
      <c r="P11" s="2">
        <f t="shared" ref="P11:Q11" si="22">G11/$F11</f>
        <v>0.9285714285714286</v>
      </c>
      <c r="Q11" s="2">
        <f t="shared" si="22"/>
        <v>0.9285714285714286</v>
      </c>
      <c r="R11" s="2">
        <f t="shared" si="2"/>
        <v>0.8571428571428571</v>
      </c>
      <c r="S11" s="2">
        <f t="shared" si="3"/>
        <v>0.8571428571428571</v>
      </c>
      <c r="T11" s="3">
        <f t="shared" si="4"/>
        <v>0.22875816993464052</v>
      </c>
      <c r="U11" s="3">
        <f t="shared" si="5"/>
        <v>0.94594594594594594</v>
      </c>
      <c r="V11" s="2">
        <f t="shared" si="6"/>
        <v>0.7567567567567568</v>
      </c>
    </row>
    <row r="12" spans="1:22" ht="15.75" customHeight="1">
      <c r="A12" s="1" t="s">
        <v>27</v>
      </c>
      <c r="B12" s="1">
        <f>October!C35</f>
        <v>172</v>
      </c>
      <c r="C12" s="1">
        <f>October!D35</f>
        <v>51</v>
      </c>
      <c r="D12" s="1">
        <f>October!E35</f>
        <v>40</v>
      </c>
      <c r="E12" s="1">
        <f>October!F35</f>
        <v>33</v>
      </c>
      <c r="F12" s="1">
        <f>October!G35</f>
        <v>19</v>
      </c>
      <c r="G12" s="1">
        <f>October!H35</f>
        <v>14</v>
      </c>
      <c r="H12" s="1">
        <f>October!I35</f>
        <v>14</v>
      </c>
      <c r="I12" s="1">
        <f>October!J35</f>
        <v>13</v>
      </c>
      <c r="J12" s="1">
        <f>October!K35</f>
        <v>12</v>
      </c>
      <c r="K12" s="1">
        <f>October!L35</f>
        <v>32</v>
      </c>
      <c r="M12" s="2">
        <f t="shared" ref="M12:O12" si="23">F12/$K12</f>
        <v>0.59375</v>
      </c>
      <c r="N12" s="2">
        <f t="shared" si="23"/>
        <v>0.4375</v>
      </c>
      <c r="O12" s="2">
        <f t="shared" si="23"/>
        <v>0.4375</v>
      </c>
      <c r="P12" s="2">
        <f t="shared" ref="P12:Q12" si="24">G12/$F12</f>
        <v>0.73684210526315785</v>
      </c>
      <c r="Q12" s="2">
        <f t="shared" si="24"/>
        <v>0.73684210526315785</v>
      </c>
      <c r="R12" s="2">
        <f t="shared" si="2"/>
        <v>0.68421052631578949</v>
      </c>
      <c r="S12" s="2">
        <f t="shared" si="3"/>
        <v>0.63157894736842102</v>
      </c>
      <c r="T12" s="3">
        <f t="shared" si="4"/>
        <v>0.23255813953488372</v>
      </c>
      <c r="U12" s="3">
        <f t="shared" si="5"/>
        <v>0.78431372549019607</v>
      </c>
      <c r="V12" s="2">
        <f t="shared" si="6"/>
        <v>0.6470588235294118</v>
      </c>
    </row>
    <row r="13" spans="1:22" ht="15.75" customHeight="1">
      <c r="A13" s="1" t="s">
        <v>28</v>
      </c>
      <c r="B13" s="1">
        <f>November!C46</f>
        <v>150</v>
      </c>
      <c r="C13" s="1">
        <f>November!D46</f>
        <v>36</v>
      </c>
      <c r="D13" s="1">
        <f>November!E46</f>
        <v>31</v>
      </c>
      <c r="E13" s="1">
        <f>November!F46</f>
        <v>25</v>
      </c>
      <c r="F13" s="1">
        <f>November!G46</f>
        <v>17</v>
      </c>
      <c r="G13" s="1">
        <f>November!H46</f>
        <v>16</v>
      </c>
      <c r="H13" s="1">
        <f>November!I46</f>
        <v>15</v>
      </c>
      <c r="I13" s="1">
        <f>November!J46</f>
        <v>12</v>
      </c>
      <c r="J13" s="1">
        <f>November!K46</f>
        <v>11</v>
      </c>
      <c r="K13" s="1">
        <f>November!L46</f>
        <v>30</v>
      </c>
      <c r="M13" s="2">
        <f t="shared" ref="M13:O13" si="25">F13/$K13</f>
        <v>0.56666666666666665</v>
      </c>
      <c r="N13" s="2">
        <f t="shared" si="25"/>
        <v>0.53333333333333333</v>
      </c>
      <c r="O13" s="2">
        <f t="shared" si="25"/>
        <v>0.5</v>
      </c>
      <c r="P13" s="2">
        <f t="shared" ref="P13:Q13" si="26">G13/$F13</f>
        <v>0.94117647058823528</v>
      </c>
      <c r="Q13" s="2">
        <f t="shared" si="26"/>
        <v>0.88235294117647056</v>
      </c>
      <c r="R13" s="2">
        <f t="shared" si="2"/>
        <v>0.70588235294117652</v>
      </c>
      <c r="S13" s="2">
        <f t="shared" si="3"/>
        <v>0.6470588235294118</v>
      </c>
      <c r="T13" s="3">
        <f t="shared" si="4"/>
        <v>0.20666666666666667</v>
      </c>
      <c r="U13" s="3">
        <f t="shared" si="5"/>
        <v>0.86111111111111116</v>
      </c>
      <c r="V13" s="2">
        <f t="shared" si="6"/>
        <v>0.69444444444444442</v>
      </c>
    </row>
    <row r="14" spans="1:22" ht="15.75" customHeight="1">
      <c r="A14" s="1" t="s">
        <v>29</v>
      </c>
      <c r="B14" s="1">
        <f>December!C35</f>
        <v>167</v>
      </c>
      <c r="C14" s="1">
        <f>December!D35</f>
        <v>43</v>
      </c>
      <c r="D14" s="1">
        <f>December!E35</f>
        <v>36</v>
      </c>
      <c r="E14" s="1">
        <f>December!F35</f>
        <v>23</v>
      </c>
      <c r="F14" s="1">
        <f>December!G35</f>
        <v>18</v>
      </c>
      <c r="G14" s="1">
        <f>December!H35</f>
        <v>15</v>
      </c>
      <c r="H14" s="1">
        <f>December!I35</f>
        <v>12</v>
      </c>
      <c r="I14" s="1">
        <f>December!J35</f>
        <v>8</v>
      </c>
      <c r="J14" s="1">
        <f>December!K35</f>
        <v>6</v>
      </c>
      <c r="K14" s="1">
        <f>December!L35</f>
        <v>32</v>
      </c>
      <c r="M14" s="2">
        <f t="shared" ref="M14:O14" si="27">F14/$K14</f>
        <v>0.5625</v>
      </c>
      <c r="N14" s="2">
        <f t="shared" si="27"/>
        <v>0.46875</v>
      </c>
      <c r="O14" s="2">
        <f t="shared" si="27"/>
        <v>0.375</v>
      </c>
      <c r="P14" s="2">
        <f t="shared" ref="P14:Q14" si="28">G14/$F14</f>
        <v>0.83333333333333337</v>
      </c>
      <c r="Q14" s="2">
        <f t="shared" si="28"/>
        <v>0.66666666666666663</v>
      </c>
      <c r="R14" s="2">
        <f t="shared" si="2"/>
        <v>0.44444444444444442</v>
      </c>
      <c r="S14" s="2">
        <f t="shared" si="3"/>
        <v>0.33333333333333331</v>
      </c>
      <c r="T14" s="3">
        <f t="shared" si="4"/>
        <v>0.21556886227544911</v>
      </c>
      <c r="U14" s="3">
        <f t="shared" si="5"/>
        <v>0.83720930232558144</v>
      </c>
      <c r="V14" s="2">
        <f t="shared" si="6"/>
        <v>0.53488372093023251</v>
      </c>
    </row>
    <row r="15" spans="1:22" ht="15.75" customHeight="1">
      <c r="A15" s="1" t="s">
        <v>30</v>
      </c>
      <c r="B15" s="1">
        <f t="shared" ref="B15:K15" si="29">SUM(B3:B14)</f>
        <v>1679</v>
      </c>
      <c r="C15" s="1">
        <f t="shared" si="29"/>
        <v>452</v>
      </c>
      <c r="D15" s="1">
        <f t="shared" si="29"/>
        <v>377</v>
      </c>
      <c r="E15" s="1">
        <f t="shared" si="29"/>
        <v>260</v>
      </c>
      <c r="F15" s="1">
        <f t="shared" si="29"/>
        <v>191</v>
      </c>
      <c r="G15" s="1">
        <f t="shared" si="29"/>
        <v>160</v>
      </c>
      <c r="H15" s="1">
        <f t="shared" si="29"/>
        <v>152</v>
      </c>
      <c r="I15" s="1">
        <f t="shared" si="29"/>
        <v>112</v>
      </c>
      <c r="J15" s="1">
        <f t="shared" si="29"/>
        <v>99</v>
      </c>
      <c r="K15" s="1">
        <f t="shared" si="29"/>
        <v>314</v>
      </c>
      <c r="M15" s="2">
        <f t="shared" ref="M15:O15" si="30">F15/$K15</f>
        <v>0.60828025477707004</v>
      </c>
      <c r="N15" s="2">
        <f t="shared" si="30"/>
        <v>0.50955414012738853</v>
      </c>
      <c r="O15" s="2">
        <f t="shared" si="30"/>
        <v>0.48407643312101911</v>
      </c>
      <c r="P15" s="2">
        <f t="shared" ref="P15:Q15" si="31">G15/$F15</f>
        <v>0.83769633507853403</v>
      </c>
      <c r="Q15" s="2">
        <f t="shared" si="31"/>
        <v>0.79581151832460728</v>
      </c>
      <c r="R15" s="2">
        <f t="shared" si="2"/>
        <v>0.58638743455497377</v>
      </c>
      <c r="S15" s="2">
        <f t="shared" si="3"/>
        <v>0.51832460732984298</v>
      </c>
      <c r="T15" s="3">
        <f t="shared" si="4"/>
        <v>0.22453841572364502</v>
      </c>
      <c r="U15" s="3">
        <f t="shared" si="5"/>
        <v>0.83407079646017701</v>
      </c>
      <c r="V15" s="2">
        <f t="shared" si="6"/>
        <v>0.5752212389380531</v>
      </c>
    </row>
    <row r="17" spans="2:22" ht="15.75" customHeight="1">
      <c r="B17" s="1"/>
      <c r="U17" s="3">
        <f t="shared" ref="U17:V17" si="32">STDEV(U3:U15)</f>
        <v>5.2444478723552582E-2</v>
      </c>
      <c r="V17" s="3">
        <f t="shared" si="32"/>
        <v>0.15183340598056813</v>
      </c>
    </row>
  </sheetData>
  <mergeCells count="4">
    <mergeCell ref="B1:E1"/>
    <mergeCell ref="F1:K1"/>
    <mergeCell ref="M1:O1"/>
    <mergeCell ref="P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7"/>
  <sheetViews>
    <sheetView workbookViewId="0">
      <selection activeCell="G3" sqref="G3:K23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31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43</v>
      </c>
      <c r="B3" s="1"/>
      <c r="C3" s="1">
        <v>3</v>
      </c>
      <c r="D3" s="1">
        <v>1</v>
      </c>
      <c r="E3" s="1">
        <v>1</v>
      </c>
      <c r="F3" s="1">
        <v>1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1</v>
      </c>
      <c r="K3" s="1" t="b">
        <f>AND(I3,(E3=F3))</f>
        <v>1</v>
      </c>
    </row>
    <row r="4" spans="1:11" ht="15.75" customHeight="1">
      <c r="A4" s="1" t="s">
        <v>44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23" si="0">(D4&gt;0)</f>
        <v>0</v>
      </c>
      <c r="H4" s="1" t="b">
        <f t="shared" ref="H4:H23" si="1">(E4&gt;0)</f>
        <v>0</v>
      </c>
      <c r="I4" s="1" t="b">
        <f t="shared" ref="I4:I23" si="2">AND(G4,(D4=E4))</f>
        <v>0</v>
      </c>
      <c r="J4" s="1" t="b">
        <f t="shared" ref="J4:J23" si="3">(F4&gt;0)</f>
        <v>0</v>
      </c>
      <c r="K4" s="1" t="b">
        <f t="shared" ref="K4:K23" si="4">AND(I4,(E4=F4))</f>
        <v>0</v>
      </c>
    </row>
    <row r="5" spans="1:11" ht="15.75" customHeight="1">
      <c r="A5" s="1" t="s">
        <v>45</v>
      </c>
      <c r="B5" s="1"/>
      <c r="C5" s="1">
        <v>7</v>
      </c>
      <c r="D5" s="1">
        <v>3</v>
      </c>
      <c r="E5" s="1">
        <v>0</v>
      </c>
      <c r="F5" s="1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46</v>
      </c>
      <c r="B6" s="1"/>
      <c r="C6" s="1">
        <v>5</v>
      </c>
      <c r="D6" s="1">
        <v>3</v>
      </c>
      <c r="E6" s="1">
        <v>3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0</v>
      </c>
    </row>
    <row r="7" spans="1:11" ht="15.75" customHeight="1">
      <c r="A7" s="1" t="s">
        <v>47</v>
      </c>
      <c r="B7" s="1"/>
      <c r="C7" s="1">
        <v>10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48</v>
      </c>
      <c r="B8" s="1"/>
      <c r="C8" s="1">
        <v>4</v>
      </c>
      <c r="D8" s="1">
        <v>2</v>
      </c>
      <c r="E8" s="1">
        <v>2</v>
      </c>
      <c r="F8" s="1">
        <v>2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1" t="s">
        <v>49</v>
      </c>
      <c r="B9" s="1"/>
      <c r="C9" s="1">
        <v>7</v>
      </c>
      <c r="D9" s="1">
        <v>2</v>
      </c>
      <c r="E9" s="1">
        <v>0</v>
      </c>
      <c r="F9" s="1">
        <v>0</v>
      </c>
      <c r="G9" s="1" t="b">
        <f t="shared" si="0"/>
        <v>1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50</v>
      </c>
      <c r="B10" s="1"/>
      <c r="C10" s="1">
        <v>5</v>
      </c>
      <c r="D10" s="1">
        <v>3</v>
      </c>
      <c r="E10" s="1">
        <v>3</v>
      </c>
      <c r="F10" s="1">
        <v>2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0</v>
      </c>
    </row>
    <row r="11" spans="1:11" ht="15.75" customHeight="1">
      <c r="A11" s="1" t="s">
        <v>51</v>
      </c>
      <c r="B11" s="1"/>
      <c r="C11" s="1">
        <v>6</v>
      </c>
      <c r="D11" s="1">
        <v>4</v>
      </c>
      <c r="E11" s="1">
        <v>4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52</v>
      </c>
      <c r="B12" s="1"/>
      <c r="C12" s="1">
        <v>7</v>
      </c>
      <c r="D12" s="1">
        <v>1</v>
      </c>
      <c r="E12" s="1">
        <v>1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53</v>
      </c>
      <c r="B13" s="1"/>
      <c r="C13" s="1">
        <v>7</v>
      </c>
      <c r="D13" s="1">
        <v>2</v>
      </c>
      <c r="E13" s="1">
        <v>2</v>
      </c>
      <c r="F13" s="1">
        <v>0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54</v>
      </c>
      <c r="B14" s="1"/>
      <c r="C14" s="1">
        <v>3</v>
      </c>
      <c r="D14" s="1">
        <v>2</v>
      </c>
      <c r="E14" s="1">
        <v>2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0</v>
      </c>
    </row>
    <row r="15" spans="1:11" ht="15.75" customHeight="1">
      <c r="A15" s="1" t="s">
        <v>55</v>
      </c>
      <c r="B15" s="1"/>
      <c r="C15" s="1">
        <v>9</v>
      </c>
      <c r="D15" s="1">
        <v>3</v>
      </c>
      <c r="E15" s="1">
        <v>3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56</v>
      </c>
      <c r="B16" s="1"/>
      <c r="C16" s="1">
        <v>5</v>
      </c>
      <c r="D16" s="1">
        <v>1</v>
      </c>
      <c r="E16" s="1">
        <v>1</v>
      </c>
      <c r="F16" s="1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57</v>
      </c>
      <c r="B17" s="1"/>
      <c r="C17" s="1">
        <v>8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58</v>
      </c>
      <c r="B18" s="1"/>
      <c r="C18" s="1">
        <v>6</v>
      </c>
      <c r="D18" s="1">
        <v>5</v>
      </c>
      <c r="E18" s="1">
        <v>5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59</v>
      </c>
      <c r="B19" s="1"/>
      <c r="C19" s="1">
        <v>4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60</v>
      </c>
      <c r="B20" s="1"/>
      <c r="C20" s="1">
        <v>8</v>
      </c>
      <c r="D20" s="1">
        <v>6</v>
      </c>
      <c r="E20" s="1">
        <v>6</v>
      </c>
      <c r="F20" s="1">
        <v>6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61</v>
      </c>
      <c r="B21" s="1"/>
      <c r="C21" s="1">
        <v>1</v>
      </c>
      <c r="D21" s="1">
        <v>1</v>
      </c>
      <c r="E21" s="1">
        <v>1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62</v>
      </c>
      <c r="B22" s="1"/>
      <c r="C22" s="1">
        <v>2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63</v>
      </c>
      <c r="B23" s="1"/>
      <c r="C23" s="1">
        <v>3</v>
      </c>
      <c r="D23" s="1">
        <v>1</v>
      </c>
      <c r="E23" s="1">
        <v>1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B24" s="1" t="s">
        <v>64</v>
      </c>
      <c r="C24" s="1">
        <f t="shared" ref="C24:F24" si="5">SUM(C2:C23)</f>
        <v>115</v>
      </c>
      <c r="D24" s="1">
        <f t="shared" si="5"/>
        <v>40</v>
      </c>
      <c r="E24" s="1">
        <f t="shared" si="5"/>
        <v>35</v>
      </c>
      <c r="F24" s="1">
        <f t="shared" si="5"/>
        <v>15</v>
      </c>
      <c r="G24" s="1">
        <f t="shared" ref="G24:K24" si="6">COUNTIF(G3:G23,"TRUE")</f>
        <v>16</v>
      </c>
      <c r="H24" s="1">
        <f t="shared" si="6"/>
        <v>14</v>
      </c>
      <c r="I24" s="1">
        <f t="shared" si="6"/>
        <v>14</v>
      </c>
      <c r="J24" s="1">
        <f t="shared" si="6"/>
        <v>8</v>
      </c>
      <c r="K24" s="1">
        <f t="shared" si="6"/>
        <v>5</v>
      </c>
      <c r="L24" s="5">
        <f>COUNTA(E3:E23)</f>
        <v>21</v>
      </c>
    </row>
    <row r="25" spans="1:12" ht="15.75" customHeight="1">
      <c r="E25" s="1" t="s">
        <v>2</v>
      </c>
      <c r="F25" s="2"/>
      <c r="G25" s="2">
        <f>G24/L24</f>
        <v>0.76190476190476186</v>
      </c>
      <c r="H25" s="2">
        <f>H24/L24</f>
        <v>0.66666666666666663</v>
      </c>
      <c r="I25" s="2">
        <f>I24/L24</f>
        <v>0.66666666666666663</v>
      </c>
      <c r="J25" s="2">
        <f>J24/L24</f>
        <v>0.38095238095238093</v>
      </c>
      <c r="K25" s="2">
        <f>K24/L24</f>
        <v>0.23809523809523808</v>
      </c>
    </row>
    <row r="26" spans="1:12" ht="15.75" customHeight="1">
      <c r="E26" s="1" t="s">
        <v>65</v>
      </c>
      <c r="F26" s="2"/>
      <c r="G26" s="2"/>
      <c r="H26" s="2">
        <f>H24/G24</f>
        <v>0.875</v>
      </c>
      <c r="I26" s="2">
        <f>I24/G24</f>
        <v>0.875</v>
      </c>
      <c r="J26" s="2">
        <f>J24/G24</f>
        <v>0.5</v>
      </c>
      <c r="K26" s="2">
        <f>K24/G24</f>
        <v>0.3125</v>
      </c>
    </row>
    <row r="27" spans="1:12" ht="15.75" customHeight="1">
      <c r="E27" s="1" t="s">
        <v>66</v>
      </c>
      <c r="F27" s="2"/>
      <c r="G27" s="2">
        <f>E24/C24</f>
        <v>0.30434782608695654</v>
      </c>
      <c r="H27" s="2">
        <f>E24/D24</f>
        <v>0.875</v>
      </c>
    </row>
  </sheetData>
  <hyperlinks>
    <hyperlink ref="E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7"/>
  <sheetViews>
    <sheetView workbookViewId="0">
      <selection activeCell="G3" sqref="G3:K23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67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68</v>
      </c>
      <c r="B3" s="1"/>
      <c r="C3" s="1">
        <v>3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69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23" si="0">(D4&gt;0)</f>
        <v>0</v>
      </c>
      <c r="H4" s="1" t="b">
        <f t="shared" ref="H4:H23" si="1">(E4&gt;0)</f>
        <v>0</v>
      </c>
      <c r="I4" s="1" t="b">
        <f t="shared" ref="I4:I23" si="2">AND(G4,(D4=E4))</f>
        <v>0</v>
      </c>
      <c r="J4" s="1" t="b">
        <f t="shared" ref="J4:J23" si="3">(F4&gt;0)</f>
        <v>0</v>
      </c>
      <c r="K4" s="1" t="b">
        <f t="shared" ref="K4:K23" si="4">AND(I4,(E4=F4))</f>
        <v>0</v>
      </c>
    </row>
    <row r="5" spans="1:11" ht="15.75" customHeight="1">
      <c r="A5" s="1" t="s">
        <v>70</v>
      </c>
      <c r="B5" s="1"/>
      <c r="C5" s="1">
        <v>4</v>
      </c>
      <c r="D5" s="1">
        <v>1</v>
      </c>
      <c r="E5" s="1">
        <v>1</v>
      </c>
      <c r="F5" s="1">
        <v>1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1" t="s">
        <v>71</v>
      </c>
      <c r="B6" s="1"/>
      <c r="C6" s="1">
        <v>5</v>
      </c>
      <c r="D6" s="1">
        <v>3</v>
      </c>
      <c r="E6" s="1">
        <v>3</v>
      </c>
      <c r="F6" s="1">
        <v>3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72</v>
      </c>
      <c r="B7" s="1"/>
      <c r="C7" s="1">
        <v>3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73</v>
      </c>
      <c r="B8" s="1"/>
      <c r="C8" s="1">
        <v>4</v>
      </c>
      <c r="D8" s="1">
        <v>1</v>
      </c>
      <c r="E8" s="1">
        <v>1</v>
      </c>
      <c r="F8" s="1">
        <v>0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74</v>
      </c>
      <c r="B9" s="1"/>
      <c r="C9" s="1">
        <v>8</v>
      </c>
      <c r="D9" s="1">
        <v>4</v>
      </c>
      <c r="E9" s="1">
        <v>4</v>
      </c>
      <c r="F9" s="1">
        <v>4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75</v>
      </c>
      <c r="B10" s="1"/>
      <c r="C10" s="1">
        <v>6</v>
      </c>
      <c r="D10" s="1">
        <v>1</v>
      </c>
      <c r="E10" s="1">
        <v>0</v>
      </c>
      <c r="F10" s="1">
        <v>0</v>
      </c>
      <c r="G10" s="1" t="b">
        <f t="shared" si="0"/>
        <v>1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76</v>
      </c>
      <c r="B11" s="1"/>
      <c r="C11" s="1">
        <v>8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77</v>
      </c>
      <c r="B12" s="1"/>
      <c r="C12" s="1">
        <v>6</v>
      </c>
      <c r="D12" s="1">
        <v>6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78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79</v>
      </c>
      <c r="B14" s="1"/>
      <c r="C14" s="1">
        <v>6</v>
      </c>
      <c r="D14" s="1">
        <v>5</v>
      </c>
      <c r="E14" s="1">
        <v>5</v>
      </c>
      <c r="F14" s="1">
        <v>5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80</v>
      </c>
      <c r="B15" s="1"/>
      <c r="C15" s="1">
        <v>7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81</v>
      </c>
      <c r="B16" s="1"/>
      <c r="C16" s="1">
        <v>5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82</v>
      </c>
      <c r="B17" s="1"/>
      <c r="C17" s="1">
        <v>3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83</v>
      </c>
      <c r="B18" s="1"/>
      <c r="C18" s="1">
        <v>3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84</v>
      </c>
      <c r="B19" s="1"/>
      <c r="C19" s="1">
        <v>6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85</v>
      </c>
      <c r="B20" s="1"/>
      <c r="C20" s="1">
        <v>7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86</v>
      </c>
      <c r="B21" s="1"/>
      <c r="C21" s="1">
        <v>4</v>
      </c>
      <c r="D21" s="1">
        <v>3</v>
      </c>
      <c r="E21" s="1">
        <v>3</v>
      </c>
      <c r="F21" s="1">
        <v>3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87</v>
      </c>
      <c r="B22" s="1"/>
      <c r="C22" s="1">
        <v>4</v>
      </c>
      <c r="D22" s="1">
        <v>4</v>
      </c>
      <c r="E22" s="1">
        <v>4</v>
      </c>
      <c r="F22" s="1">
        <v>4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88</v>
      </c>
      <c r="B23" s="1"/>
      <c r="C23" s="1">
        <v>2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B24" s="1" t="s">
        <v>64</v>
      </c>
      <c r="C24" s="1">
        <f t="shared" ref="C24:F24" si="5">SUM(C2:C23)</f>
        <v>103</v>
      </c>
      <c r="D24" s="1">
        <f t="shared" si="5"/>
        <v>29</v>
      </c>
      <c r="E24" s="1">
        <f t="shared" si="5"/>
        <v>22</v>
      </c>
      <c r="F24" s="1">
        <f t="shared" si="5"/>
        <v>20</v>
      </c>
      <c r="G24" s="1">
        <f t="shared" ref="G24:K24" si="6">COUNTIF(G3:G23,"TRUE")</f>
        <v>10</v>
      </c>
      <c r="H24" s="1">
        <f t="shared" si="6"/>
        <v>8</v>
      </c>
      <c r="I24" s="1">
        <f t="shared" si="6"/>
        <v>8</v>
      </c>
      <c r="J24" s="1">
        <f t="shared" si="6"/>
        <v>6</v>
      </c>
      <c r="K24" s="1">
        <f t="shared" si="6"/>
        <v>6</v>
      </c>
      <c r="L24" s="5">
        <f>COUNTA(E3:E23)</f>
        <v>21</v>
      </c>
    </row>
    <row r="25" spans="1:12" ht="15.75" customHeight="1">
      <c r="E25" s="1" t="s">
        <v>2</v>
      </c>
      <c r="F25" s="2"/>
      <c r="G25" s="2">
        <f>G24/L24</f>
        <v>0.47619047619047616</v>
      </c>
      <c r="H25" s="2">
        <f>H24/L24</f>
        <v>0.38095238095238093</v>
      </c>
      <c r="I25" s="2">
        <f>I24/L24</f>
        <v>0.38095238095238093</v>
      </c>
      <c r="J25" s="2">
        <f>J24/L24</f>
        <v>0.2857142857142857</v>
      </c>
      <c r="K25" s="2">
        <f>K24/L24</f>
        <v>0.2857142857142857</v>
      </c>
    </row>
    <row r="26" spans="1:12" ht="15.75" customHeight="1">
      <c r="E26" s="1" t="s">
        <v>65</v>
      </c>
      <c r="F26" s="2"/>
      <c r="G26" s="2"/>
      <c r="H26" s="2">
        <f>H24/G24</f>
        <v>0.8</v>
      </c>
      <c r="I26" s="2">
        <f>I24/G24</f>
        <v>0.8</v>
      </c>
      <c r="J26" s="2">
        <f>J24/G24</f>
        <v>0.6</v>
      </c>
      <c r="K26" s="2">
        <f>K24/G24</f>
        <v>0.6</v>
      </c>
    </row>
    <row r="27" spans="1:12" ht="15.75" customHeight="1">
      <c r="E27" s="1" t="s">
        <v>66</v>
      </c>
      <c r="F27" s="2"/>
      <c r="G27" s="2">
        <f>E24/C24</f>
        <v>0.21359223300970873</v>
      </c>
      <c r="H27" s="2">
        <f>E24/D24</f>
        <v>0.75862068965517238</v>
      </c>
    </row>
  </sheetData>
  <hyperlinks>
    <hyperlink ref="E1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6"/>
  <sheetViews>
    <sheetView workbookViewId="0">
      <selection activeCell="G3" sqref="G3:K22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89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90</v>
      </c>
      <c r="B3" s="1"/>
      <c r="C3" s="1">
        <v>5</v>
      </c>
      <c r="D3" s="1">
        <v>1</v>
      </c>
      <c r="E3" s="1">
        <v>1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91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22" si="0">(D4&gt;0)</f>
        <v>0</v>
      </c>
      <c r="H4" s="1" t="b">
        <f t="shared" ref="H4:H22" si="1">(E4&gt;0)</f>
        <v>0</v>
      </c>
      <c r="I4" s="1" t="b">
        <f t="shared" ref="I4:I22" si="2">AND(G4,(D4=E4))</f>
        <v>0</v>
      </c>
      <c r="J4" s="1" t="b">
        <f t="shared" ref="J4:J22" si="3">(F4&gt;0)</f>
        <v>0</v>
      </c>
      <c r="K4" s="1" t="b">
        <f t="shared" ref="K4:K22" si="4">AND(I4,(E4=F4))</f>
        <v>0</v>
      </c>
    </row>
    <row r="5" spans="1:11" ht="15.75" customHeight="1">
      <c r="A5" s="1" t="s">
        <v>92</v>
      </c>
      <c r="B5" s="1"/>
      <c r="C5" s="1">
        <v>4</v>
      </c>
      <c r="D5" s="1">
        <v>2</v>
      </c>
      <c r="E5" s="1">
        <v>2</v>
      </c>
      <c r="F5" s="1">
        <v>2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1</v>
      </c>
      <c r="K5" s="1" t="b">
        <f t="shared" si="4"/>
        <v>1</v>
      </c>
    </row>
    <row r="6" spans="1:11" ht="15.75" customHeight="1">
      <c r="A6" s="1" t="s">
        <v>93</v>
      </c>
      <c r="B6" s="1"/>
      <c r="C6" s="1">
        <v>4</v>
      </c>
      <c r="D6" s="1">
        <v>2</v>
      </c>
      <c r="E6" s="1">
        <v>2</v>
      </c>
      <c r="F6" s="1">
        <v>2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94</v>
      </c>
      <c r="B7" s="1"/>
      <c r="C7" s="1">
        <v>4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95</v>
      </c>
      <c r="B8" s="1"/>
      <c r="C8" s="1">
        <v>6</v>
      </c>
      <c r="D8" s="1">
        <v>3</v>
      </c>
      <c r="E8" s="1">
        <v>3</v>
      </c>
      <c r="F8" s="1">
        <v>2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0</v>
      </c>
    </row>
    <row r="9" spans="1:11" ht="15.75" customHeight="1">
      <c r="A9" s="1" t="s">
        <v>96</v>
      </c>
      <c r="B9" s="1"/>
      <c r="C9" s="1">
        <v>6</v>
      </c>
      <c r="D9" s="1">
        <v>2</v>
      </c>
      <c r="E9" s="1">
        <v>2</v>
      </c>
      <c r="F9" s="1">
        <v>2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97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98</v>
      </c>
      <c r="B11" s="1"/>
      <c r="C11" s="1">
        <v>9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99</v>
      </c>
      <c r="B12" s="1"/>
      <c r="C12" s="1">
        <v>5</v>
      </c>
      <c r="D12" s="1">
        <v>1</v>
      </c>
      <c r="E12" s="1">
        <v>1</v>
      </c>
      <c r="F12" s="1">
        <v>1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100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101</v>
      </c>
      <c r="B14" s="1"/>
      <c r="C14" s="1">
        <v>6</v>
      </c>
      <c r="D14" s="1">
        <v>3</v>
      </c>
      <c r="E14" s="1">
        <v>3</v>
      </c>
      <c r="F14" s="1">
        <v>3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102</v>
      </c>
      <c r="B15" s="1"/>
      <c r="C15" s="1">
        <v>8</v>
      </c>
      <c r="D15" s="1">
        <v>1</v>
      </c>
      <c r="E15" s="1">
        <v>1</v>
      </c>
      <c r="F15" s="1">
        <v>1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103</v>
      </c>
      <c r="B16" s="1"/>
      <c r="C16" s="1">
        <v>6</v>
      </c>
      <c r="D16" s="1">
        <v>3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104</v>
      </c>
      <c r="B17" s="1"/>
      <c r="C17" s="1">
        <v>7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105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106</v>
      </c>
      <c r="B19" s="1"/>
      <c r="C19" s="1">
        <v>4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107</v>
      </c>
      <c r="B20" s="1"/>
      <c r="C20" s="1">
        <v>7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108</v>
      </c>
      <c r="B21" s="1"/>
      <c r="C21" s="1">
        <v>6</v>
      </c>
      <c r="D21" s="1">
        <v>2</v>
      </c>
      <c r="E21" s="1">
        <v>1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0</v>
      </c>
      <c r="J21" s="1" t="b">
        <f t="shared" si="3"/>
        <v>1</v>
      </c>
      <c r="K21" s="1" t="b">
        <f t="shared" si="4"/>
        <v>0</v>
      </c>
    </row>
    <row r="22" spans="1:12" ht="15.75" customHeight="1">
      <c r="A22" s="1" t="s">
        <v>109</v>
      </c>
      <c r="B22" s="1"/>
      <c r="C22" s="1">
        <v>2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B23" s="1" t="s">
        <v>64</v>
      </c>
      <c r="C23" s="1">
        <f t="shared" ref="C23:F23" si="5">SUM(C2:C22)</f>
        <v>110</v>
      </c>
      <c r="D23" s="1">
        <f t="shared" si="5"/>
        <v>23</v>
      </c>
      <c r="E23" s="1">
        <f t="shared" si="5"/>
        <v>19</v>
      </c>
      <c r="F23" s="1">
        <f t="shared" si="5"/>
        <v>17</v>
      </c>
      <c r="G23" s="1">
        <f t="shared" ref="G23:K23" si="6">COUNTIF(G3:G22,"TRUE")</f>
        <v>12</v>
      </c>
      <c r="H23" s="1">
        <f t="shared" si="6"/>
        <v>11</v>
      </c>
      <c r="I23" s="1">
        <f t="shared" si="6"/>
        <v>10</v>
      </c>
      <c r="J23" s="1">
        <f t="shared" si="6"/>
        <v>10</v>
      </c>
      <c r="K23" s="1">
        <f t="shared" si="6"/>
        <v>8</v>
      </c>
      <c r="L23" s="5">
        <f>COUNTA(E3:E22)</f>
        <v>20</v>
      </c>
    </row>
    <row r="24" spans="1:12" ht="15.75" customHeight="1">
      <c r="E24" s="1" t="s">
        <v>2</v>
      </c>
      <c r="F24" s="2"/>
      <c r="G24" s="2">
        <f>G23/L23</f>
        <v>0.6</v>
      </c>
      <c r="H24" s="2">
        <f>H23/L23</f>
        <v>0.55000000000000004</v>
      </c>
      <c r="I24" s="2">
        <f>I23/L23</f>
        <v>0.5</v>
      </c>
      <c r="J24" s="2">
        <f>J23/L23</f>
        <v>0.5</v>
      </c>
      <c r="K24" s="2">
        <f>K23/L23</f>
        <v>0.4</v>
      </c>
    </row>
    <row r="25" spans="1:12" ht="15.75" customHeight="1">
      <c r="E25" s="1" t="s">
        <v>65</v>
      </c>
      <c r="F25" s="2"/>
      <c r="G25" s="2"/>
      <c r="H25" s="2">
        <f>H23/G23</f>
        <v>0.91666666666666663</v>
      </c>
      <c r="I25" s="2">
        <f>I23/G23</f>
        <v>0.83333333333333337</v>
      </c>
      <c r="J25" s="2">
        <f>J23/G23</f>
        <v>0.83333333333333337</v>
      </c>
      <c r="K25" s="2">
        <f>K23/G23</f>
        <v>0.66666666666666663</v>
      </c>
    </row>
    <row r="26" spans="1:12" ht="15.75" customHeight="1">
      <c r="E26" s="1" t="s">
        <v>66</v>
      </c>
      <c r="F26" s="2"/>
      <c r="G26" s="2">
        <f>E23/C23</f>
        <v>0.17272727272727273</v>
      </c>
      <c r="H26" s="2">
        <f>E23/D23</f>
        <v>0.82608695652173914</v>
      </c>
    </row>
  </sheetData>
  <hyperlinks>
    <hyperlink ref="E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9"/>
  <sheetViews>
    <sheetView workbookViewId="0">
      <selection activeCell="G3" sqref="G3:K25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110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111</v>
      </c>
      <c r="B3" s="1"/>
      <c r="C3" s="1">
        <v>11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112</v>
      </c>
      <c r="B4" s="1"/>
      <c r="C4" s="1">
        <v>4</v>
      </c>
      <c r="D4" s="1">
        <v>1</v>
      </c>
      <c r="E4" s="1">
        <v>1</v>
      </c>
      <c r="F4" s="1">
        <v>0</v>
      </c>
      <c r="G4" s="1" t="b">
        <f t="shared" ref="G4:G25" si="0">(D4&gt;0)</f>
        <v>1</v>
      </c>
      <c r="H4" s="1" t="b">
        <f t="shared" ref="H4:H25" si="1">(E4&gt;0)</f>
        <v>1</v>
      </c>
      <c r="I4" s="1" t="b">
        <f t="shared" ref="I4:I25" si="2">AND(G4,(D4=E4))</f>
        <v>1</v>
      </c>
      <c r="J4" s="1" t="b">
        <f t="shared" ref="J4:J25" si="3">(F4&gt;0)</f>
        <v>0</v>
      </c>
      <c r="K4" s="1" t="b">
        <f t="shared" ref="K4:K25" si="4">AND(I4,(E4=F4))</f>
        <v>0</v>
      </c>
    </row>
    <row r="5" spans="1:11" ht="15.75" customHeight="1">
      <c r="A5" s="1" t="s">
        <v>113</v>
      </c>
      <c r="B5" s="1"/>
      <c r="C5" s="1">
        <v>4</v>
      </c>
      <c r="D5" s="1">
        <v>4</v>
      </c>
      <c r="E5" s="1">
        <v>4</v>
      </c>
      <c r="F5" s="1">
        <v>0</v>
      </c>
      <c r="G5" s="1" t="b">
        <f t="shared" si="0"/>
        <v>1</v>
      </c>
      <c r="H5" s="1" t="b">
        <f t="shared" si="1"/>
        <v>1</v>
      </c>
      <c r="I5" s="1" t="b">
        <f t="shared" si="2"/>
        <v>1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114</v>
      </c>
      <c r="B6" s="1"/>
      <c r="C6" s="1">
        <v>4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115</v>
      </c>
      <c r="B7" s="1"/>
      <c r="C7" s="1">
        <v>6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116</v>
      </c>
      <c r="B8" s="1"/>
      <c r="C8" s="1">
        <v>5</v>
      </c>
      <c r="D8" s="1">
        <v>1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117</v>
      </c>
      <c r="B9" s="1"/>
      <c r="C9" s="1">
        <v>7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118</v>
      </c>
      <c r="B10" s="1"/>
      <c r="C10" s="1">
        <v>6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119</v>
      </c>
      <c r="B11" s="1"/>
      <c r="C11" s="1">
        <v>4</v>
      </c>
      <c r="D11" s="1">
        <v>4</v>
      </c>
      <c r="E11" s="1">
        <v>4</v>
      </c>
      <c r="F11" s="1">
        <v>4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120</v>
      </c>
      <c r="B12" s="1"/>
      <c r="C12" s="1">
        <v>6</v>
      </c>
      <c r="D12" s="1">
        <v>1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121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122</v>
      </c>
      <c r="B14" s="1"/>
      <c r="C14" s="1">
        <v>4</v>
      </c>
      <c r="D14" s="1">
        <v>2</v>
      </c>
      <c r="E14" s="1">
        <v>2</v>
      </c>
      <c r="F14" s="1">
        <v>0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123</v>
      </c>
      <c r="B15" s="1"/>
      <c r="C15" s="1">
        <v>4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124</v>
      </c>
      <c r="B16" s="1"/>
      <c r="C16" s="1">
        <v>6</v>
      </c>
      <c r="D16" s="1">
        <v>2</v>
      </c>
      <c r="E16" s="1">
        <v>2</v>
      </c>
      <c r="F16" s="1">
        <v>2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125</v>
      </c>
      <c r="B17" s="1"/>
      <c r="C17" s="1">
        <v>8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126</v>
      </c>
      <c r="B18" s="1"/>
      <c r="C18" s="1">
        <v>11</v>
      </c>
      <c r="D18" s="1">
        <v>5</v>
      </c>
      <c r="E18" s="1">
        <v>5</v>
      </c>
      <c r="F18" s="1">
        <v>0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127</v>
      </c>
      <c r="B19" s="1"/>
      <c r="C19" s="1">
        <v>7</v>
      </c>
      <c r="D19" s="1">
        <v>2</v>
      </c>
      <c r="E19" s="1">
        <v>0</v>
      </c>
      <c r="F19" s="1">
        <v>0</v>
      </c>
      <c r="G19" s="1" t="b">
        <f t="shared" si="0"/>
        <v>1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128</v>
      </c>
      <c r="B20" s="1"/>
      <c r="C20" s="1">
        <v>7</v>
      </c>
      <c r="D20" s="1">
        <v>3</v>
      </c>
      <c r="E20" s="1">
        <v>3</v>
      </c>
      <c r="F20" s="1">
        <v>3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129</v>
      </c>
      <c r="B21" s="1"/>
      <c r="C21" s="1">
        <v>5</v>
      </c>
      <c r="D21" s="1">
        <v>5</v>
      </c>
      <c r="E21" s="1">
        <v>5</v>
      </c>
      <c r="F21" s="1">
        <v>5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130</v>
      </c>
      <c r="B22" s="1"/>
      <c r="C22" s="1">
        <v>7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131</v>
      </c>
      <c r="B23" s="1"/>
      <c r="C23" s="1">
        <v>5</v>
      </c>
      <c r="D23" s="1">
        <v>4</v>
      </c>
      <c r="E23" s="1">
        <v>4</v>
      </c>
      <c r="F23" s="1">
        <v>4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132</v>
      </c>
      <c r="B24" s="1"/>
      <c r="C24" s="1">
        <v>7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133</v>
      </c>
      <c r="B25" s="1"/>
      <c r="C25" s="1">
        <v>2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B26" s="1" t="s">
        <v>64</v>
      </c>
      <c r="C26" s="1">
        <f t="shared" ref="C26:F26" si="5">SUM(C2:C25)</f>
        <v>136</v>
      </c>
      <c r="D26" s="1">
        <f t="shared" si="5"/>
        <v>39</v>
      </c>
      <c r="E26" s="1">
        <f t="shared" si="5"/>
        <v>35</v>
      </c>
      <c r="F26" s="1">
        <f t="shared" si="5"/>
        <v>22</v>
      </c>
      <c r="G26" s="1">
        <f t="shared" ref="G26:K26" si="6">COUNTIF(G3:G25,"TRUE")</f>
        <v>16</v>
      </c>
      <c r="H26" s="1">
        <f t="shared" si="6"/>
        <v>13</v>
      </c>
      <c r="I26" s="1">
        <f t="shared" si="6"/>
        <v>13</v>
      </c>
      <c r="J26" s="1">
        <f t="shared" si="6"/>
        <v>8</v>
      </c>
      <c r="K26" s="1">
        <f t="shared" si="6"/>
        <v>8</v>
      </c>
      <c r="L26" s="5">
        <f>COUNTA(E3:E25)</f>
        <v>23</v>
      </c>
    </row>
    <row r="27" spans="1:12" ht="15.75" customHeight="1">
      <c r="E27" s="1" t="s">
        <v>2</v>
      </c>
      <c r="F27" s="2"/>
      <c r="G27" s="2">
        <f>G26/L26</f>
        <v>0.69565217391304346</v>
      </c>
      <c r="H27" s="2">
        <f>H26/L26</f>
        <v>0.56521739130434778</v>
      </c>
      <c r="I27" s="2">
        <f>I26/L26</f>
        <v>0.56521739130434778</v>
      </c>
      <c r="J27" s="2">
        <f>J26/L26</f>
        <v>0.34782608695652173</v>
      </c>
      <c r="K27" s="2">
        <f>K26/L26</f>
        <v>0.34782608695652173</v>
      </c>
    </row>
    <row r="28" spans="1:12" ht="15.75" customHeight="1">
      <c r="E28" s="1" t="s">
        <v>65</v>
      </c>
      <c r="F28" s="2"/>
      <c r="G28" s="2"/>
      <c r="H28" s="2">
        <f>H26/G26</f>
        <v>0.8125</v>
      </c>
      <c r="I28" s="2">
        <f>I26/G26</f>
        <v>0.8125</v>
      </c>
      <c r="J28" s="2">
        <f>J26/G26</f>
        <v>0.5</v>
      </c>
      <c r="K28" s="2">
        <f>K26/G26</f>
        <v>0.5</v>
      </c>
    </row>
    <row r="29" spans="1:12" ht="15.75" customHeight="1">
      <c r="E29" s="1" t="s">
        <v>66</v>
      </c>
      <c r="F29" s="2"/>
      <c r="G29" s="2">
        <f>E26/C26</f>
        <v>0.25735294117647056</v>
      </c>
      <c r="H29" s="2">
        <f>E26/D26</f>
        <v>0.89743589743589747</v>
      </c>
    </row>
  </sheetData>
  <hyperlinks>
    <hyperlink ref="E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6"/>
  <sheetViews>
    <sheetView workbookViewId="0">
      <selection activeCell="G3" sqref="G3:K32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134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135</v>
      </c>
      <c r="B3" s="1"/>
      <c r="C3" s="1">
        <v>4</v>
      </c>
      <c r="D3" s="1">
        <v>4</v>
      </c>
      <c r="E3" s="1">
        <v>4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136</v>
      </c>
      <c r="B4" s="1"/>
      <c r="C4" s="1">
        <v>8</v>
      </c>
      <c r="D4" s="1">
        <v>1</v>
      </c>
      <c r="E4" s="1">
        <v>1</v>
      </c>
      <c r="F4" s="1">
        <v>0</v>
      </c>
      <c r="G4" s="1" t="b">
        <f t="shared" ref="G4:G32" si="0">(D4&gt;0)</f>
        <v>1</v>
      </c>
      <c r="H4" s="1" t="b">
        <f t="shared" ref="H4:H32" si="1">(E4&gt;0)</f>
        <v>1</v>
      </c>
      <c r="I4" s="1" t="b">
        <f t="shared" ref="I4:I32" si="2">AND(G4,(D4=E4))</f>
        <v>1</v>
      </c>
      <c r="J4" s="1" t="b">
        <f t="shared" ref="J4:J32" si="3">(F4&gt;0)</f>
        <v>0</v>
      </c>
      <c r="K4" s="1" t="b">
        <f t="shared" ref="K4:K32" si="4">AND(I4,(E4=F4))</f>
        <v>0</v>
      </c>
    </row>
    <row r="5" spans="1:11" ht="15.75" customHeight="1">
      <c r="A5" s="1" t="s">
        <v>137</v>
      </c>
      <c r="B5" s="1"/>
      <c r="C5" s="1">
        <v>5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138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139</v>
      </c>
      <c r="B7" s="1"/>
      <c r="C7" s="1">
        <v>5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140</v>
      </c>
      <c r="B8" s="1"/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141</v>
      </c>
      <c r="B9" s="1"/>
      <c r="C9" s="1">
        <v>3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142</v>
      </c>
      <c r="B10" s="1"/>
      <c r="C10" s="1">
        <v>3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143</v>
      </c>
      <c r="B11" s="1"/>
      <c r="C11" s="1">
        <v>5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144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145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146</v>
      </c>
      <c r="B14" s="1"/>
      <c r="C14" s="1">
        <v>10</v>
      </c>
      <c r="D14" s="1">
        <v>1</v>
      </c>
      <c r="E14" s="1">
        <v>1</v>
      </c>
      <c r="F14" s="1">
        <v>1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147</v>
      </c>
      <c r="B15" s="1"/>
      <c r="C15" s="1">
        <v>5</v>
      </c>
      <c r="D15" s="1">
        <v>1</v>
      </c>
      <c r="E15" s="1">
        <v>0</v>
      </c>
      <c r="F15" s="1">
        <v>0</v>
      </c>
      <c r="G15" s="1" t="b">
        <f t="shared" si="0"/>
        <v>1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148</v>
      </c>
      <c r="B16" s="1"/>
      <c r="C16" s="1">
        <v>5</v>
      </c>
      <c r="D16" s="1">
        <v>3</v>
      </c>
      <c r="E16" s="1">
        <v>3</v>
      </c>
      <c r="F16" s="1">
        <v>3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149</v>
      </c>
      <c r="B17" s="1"/>
      <c r="C17" s="1">
        <v>4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150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151</v>
      </c>
      <c r="B19" s="1"/>
      <c r="C19" s="1">
        <v>6</v>
      </c>
      <c r="D19" s="1">
        <v>1</v>
      </c>
      <c r="E19" s="1">
        <v>1</v>
      </c>
      <c r="F19" s="1">
        <v>1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152</v>
      </c>
      <c r="B20" s="1"/>
      <c r="C20" s="1">
        <v>6</v>
      </c>
      <c r="D20" s="1">
        <v>5</v>
      </c>
      <c r="E20" s="1">
        <v>0</v>
      </c>
      <c r="F20" s="1">
        <v>0</v>
      </c>
      <c r="G20" s="1" t="b">
        <f t="shared" si="0"/>
        <v>1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153</v>
      </c>
      <c r="B21" s="1"/>
      <c r="C21" s="1">
        <v>4</v>
      </c>
      <c r="D21" s="1">
        <v>1</v>
      </c>
      <c r="E21" s="1">
        <v>1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154</v>
      </c>
      <c r="B22" s="1"/>
      <c r="C22" s="1">
        <v>6</v>
      </c>
      <c r="D22" s="1">
        <v>1</v>
      </c>
      <c r="E22" s="1">
        <v>1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155</v>
      </c>
      <c r="B23" s="1"/>
      <c r="C23" s="1">
        <v>5</v>
      </c>
      <c r="D23" s="1">
        <v>3</v>
      </c>
      <c r="E23" s="1">
        <v>3</v>
      </c>
      <c r="F23" s="1">
        <v>0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156</v>
      </c>
      <c r="B24" s="1"/>
      <c r="C24" s="1">
        <v>4</v>
      </c>
      <c r="D24" s="1">
        <v>2</v>
      </c>
      <c r="E24" s="1">
        <v>2</v>
      </c>
      <c r="F24" s="1">
        <v>0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157</v>
      </c>
      <c r="B25" s="1"/>
      <c r="C25" s="1">
        <v>4</v>
      </c>
      <c r="D25" s="1">
        <v>2</v>
      </c>
      <c r="E25" s="1">
        <v>0</v>
      </c>
      <c r="F25" s="1">
        <v>0</v>
      </c>
      <c r="G25" s="1" t="b">
        <f t="shared" si="0"/>
        <v>1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158</v>
      </c>
      <c r="B26" s="1"/>
      <c r="C26" s="1">
        <v>6</v>
      </c>
      <c r="D26" s="1">
        <v>1</v>
      </c>
      <c r="E26" s="1">
        <v>1</v>
      </c>
      <c r="F26" s="1">
        <v>0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159</v>
      </c>
      <c r="B27" s="1"/>
      <c r="C27" s="1">
        <v>4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160</v>
      </c>
      <c r="B28" s="1"/>
      <c r="C28" s="1">
        <v>5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161</v>
      </c>
      <c r="B29" s="1"/>
      <c r="C29" s="1">
        <v>10</v>
      </c>
      <c r="D29" s="1">
        <v>9</v>
      </c>
      <c r="E29" s="1">
        <v>9</v>
      </c>
      <c r="F29" s="1">
        <v>0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162</v>
      </c>
      <c r="B30" s="1"/>
      <c r="C30" s="1">
        <v>6</v>
      </c>
      <c r="D30" s="1">
        <v>3</v>
      </c>
      <c r="E30" s="1">
        <v>3</v>
      </c>
      <c r="F30" s="1">
        <v>3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1</v>
      </c>
      <c r="K30" s="1" t="b">
        <f t="shared" si="4"/>
        <v>1</v>
      </c>
    </row>
    <row r="31" spans="1:12" ht="15.75" customHeight="1">
      <c r="A31" s="1" t="s">
        <v>163</v>
      </c>
      <c r="B31" s="1"/>
      <c r="C31" s="1">
        <v>5</v>
      </c>
      <c r="D31" s="1">
        <v>4</v>
      </c>
      <c r="E31" s="1">
        <v>4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2" ht="15.75" customHeight="1">
      <c r="A32" s="1" t="s">
        <v>164</v>
      </c>
      <c r="B32" s="1"/>
      <c r="C32" s="1">
        <v>8</v>
      </c>
      <c r="D32" s="1">
        <v>0</v>
      </c>
      <c r="E32" s="1">
        <v>0</v>
      </c>
      <c r="F32" s="1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  <c r="L32" s="1" t="s">
        <v>165</v>
      </c>
    </row>
    <row r="33" spans="2:12" ht="15.75" customHeight="1">
      <c r="B33" s="1" t="s">
        <v>64</v>
      </c>
      <c r="C33" s="1">
        <f t="shared" ref="C33:F33" si="5">SUM(C2:C32)</f>
        <v>163</v>
      </c>
      <c r="D33" s="1">
        <f t="shared" si="5"/>
        <v>44</v>
      </c>
      <c r="E33" s="1">
        <f t="shared" si="5"/>
        <v>35</v>
      </c>
      <c r="F33" s="1">
        <f t="shared" si="5"/>
        <v>10</v>
      </c>
      <c r="G33" s="1">
        <f t="shared" ref="G33:K33" si="6">COUNTIF(G3:G32,"TRUE")</f>
        <v>18</v>
      </c>
      <c r="H33" s="1">
        <f t="shared" si="6"/>
        <v>14</v>
      </c>
      <c r="I33" s="1">
        <f t="shared" si="6"/>
        <v>14</v>
      </c>
      <c r="J33" s="1">
        <f t="shared" si="6"/>
        <v>6</v>
      </c>
      <c r="K33" s="1">
        <f t="shared" si="6"/>
        <v>6</v>
      </c>
      <c r="L33" s="5">
        <f>COUNTA(E3:E32)</f>
        <v>30</v>
      </c>
    </row>
    <row r="34" spans="2:12" ht="15.75" customHeight="1">
      <c r="E34" s="1" t="s">
        <v>2</v>
      </c>
      <c r="F34" s="2"/>
      <c r="G34" s="2">
        <f>G33/L33</f>
        <v>0.6</v>
      </c>
      <c r="H34" s="2">
        <f>H33/L33</f>
        <v>0.46666666666666667</v>
      </c>
      <c r="I34" s="2">
        <f>I33/L33</f>
        <v>0.46666666666666667</v>
      </c>
      <c r="J34" s="2">
        <f>J33/L33</f>
        <v>0.2</v>
      </c>
      <c r="K34" s="2">
        <f>K33/L33</f>
        <v>0.2</v>
      </c>
    </row>
    <row r="35" spans="2:12" ht="15.75" customHeight="1">
      <c r="E35" s="1" t="s">
        <v>65</v>
      </c>
      <c r="F35" s="2"/>
      <c r="G35" s="2"/>
      <c r="H35" s="2">
        <f>H33/G33</f>
        <v>0.77777777777777779</v>
      </c>
      <c r="I35" s="2">
        <f>I33/G33</f>
        <v>0.77777777777777779</v>
      </c>
      <c r="J35" s="2">
        <f>J33/G33</f>
        <v>0.33333333333333331</v>
      </c>
      <c r="K35" s="2">
        <f>K33/G33</f>
        <v>0.33333333333333331</v>
      </c>
    </row>
    <row r="36" spans="2:12" ht="15.75" customHeight="1">
      <c r="E36" s="1" t="s">
        <v>66</v>
      </c>
      <c r="F36" s="2"/>
      <c r="G36" s="2">
        <f>E33/C33</f>
        <v>0.21472392638036811</v>
      </c>
      <c r="H36" s="2">
        <f>E33/D33</f>
        <v>0.79545454545454541</v>
      </c>
    </row>
  </sheetData>
  <hyperlinks>
    <hyperlink ref="E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5"/>
  <sheetViews>
    <sheetView workbookViewId="0">
      <selection activeCell="G3" sqref="G3:K31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166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167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168</v>
      </c>
      <c r="B4" s="1"/>
      <c r="C4" s="1">
        <v>5</v>
      </c>
      <c r="D4" s="1">
        <v>0</v>
      </c>
      <c r="E4" s="1">
        <v>0</v>
      </c>
      <c r="F4" s="1">
        <v>0</v>
      </c>
      <c r="G4" s="1" t="b">
        <f t="shared" ref="G4:G31" si="0">(D4&gt;0)</f>
        <v>0</v>
      </c>
      <c r="H4" s="1" t="b">
        <f t="shared" ref="H4:H31" si="1">(E4&gt;0)</f>
        <v>0</v>
      </c>
      <c r="I4" s="1" t="b">
        <f t="shared" ref="I4:I31" si="2">AND(G4,(D4=E4))</f>
        <v>0</v>
      </c>
      <c r="J4" s="1" t="b">
        <f t="shared" ref="J4:J31" si="3">(F4&gt;0)</f>
        <v>0</v>
      </c>
      <c r="K4" s="1" t="b">
        <f t="shared" ref="K4:K31" si="4">AND(I4,(E4=F4))</f>
        <v>0</v>
      </c>
    </row>
    <row r="5" spans="1:11" ht="15.75" customHeight="1">
      <c r="A5" s="1" t="s">
        <v>169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170</v>
      </c>
      <c r="B6" s="1"/>
      <c r="C6" s="1">
        <v>4</v>
      </c>
      <c r="D6" s="1">
        <v>0</v>
      </c>
      <c r="E6" s="1">
        <v>0</v>
      </c>
      <c r="F6" s="1">
        <v>0</v>
      </c>
      <c r="G6" s="1" t="b">
        <f t="shared" si="0"/>
        <v>0</v>
      </c>
      <c r="H6" s="1" t="b">
        <f t="shared" si="1"/>
        <v>0</v>
      </c>
      <c r="I6" s="1" t="b">
        <f t="shared" si="2"/>
        <v>0</v>
      </c>
      <c r="J6" s="1" t="b">
        <f t="shared" si="3"/>
        <v>0</v>
      </c>
      <c r="K6" s="1" t="b">
        <f t="shared" si="4"/>
        <v>0</v>
      </c>
    </row>
    <row r="7" spans="1:11" ht="15.75" customHeight="1">
      <c r="A7" s="1" t="s">
        <v>171</v>
      </c>
      <c r="B7" s="1"/>
      <c r="C7" s="1">
        <v>3</v>
      </c>
      <c r="D7" s="1">
        <v>2</v>
      </c>
      <c r="E7" s="1">
        <v>2</v>
      </c>
      <c r="F7" s="1">
        <v>2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172</v>
      </c>
      <c r="B8" s="1"/>
      <c r="C8" s="1">
        <v>4</v>
      </c>
      <c r="D8" s="1">
        <v>3</v>
      </c>
      <c r="E8" s="1">
        <v>0</v>
      </c>
      <c r="F8" s="1">
        <v>0</v>
      </c>
      <c r="G8" s="1" t="b">
        <f t="shared" si="0"/>
        <v>1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173</v>
      </c>
      <c r="B9" s="1"/>
      <c r="C9" s="1">
        <v>4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174</v>
      </c>
      <c r="B10" s="1"/>
      <c r="C10" s="1">
        <v>4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175</v>
      </c>
      <c r="B11" s="1"/>
      <c r="C11" s="1">
        <v>5</v>
      </c>
      <c r="D11" s="1">
        <v>1</v>
      </c>
      <c r="E11" s="1">
        <v>1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176</v>
      </c>
      <c r="B12" s="1"/>
      <c r="C12" s="1">
        <v>5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177</v>
      </c>
      <c r="B13" s="1"/>
      <c r="C13" s="1">
        <v>5</v>
      </c>
      <c r="D13" s="1">
        <v>1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178</v>
      </c>
      <c r="B14" s="1"/>
      <c r="C14" s="1">
        <v>4</v>
      </c>
      <c r="D14" s="1">
        <v>1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179</v>
      </c>
      <c r="B15" s="1"/>
      <c r="C15" s="1">
        <v>6</v>
      </c>
      <c r="D15" s="1">
        <v>1</v>
      </c>
      <c r="E15" s="1">
        <v>1</v>
      </c>
      <c r="F15" s="1">
        <v>0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180</v>
      </c>
      <c r="B16" s="1"/>
      <c r="C16" s="1">
        <v>5</v>
      </c>
      <c r="D16" s="1">
        <v>1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181</v>
      </c>
      <c r="B17" s="1"/>
      <c r="C17" s="1">
        <v>5</v>
      </c>
      <c r="D17" s="1">
        <v>2</v>
      </c>
      <c r="E17" s="1">
        <v>2</v>
      </c>
      <c r="F17" s="1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182</v>
      </c>
      <c r="B18" s="1"/>
      <c r="C18" s="1">
        <v>6</v>
      </c>
      <c r="D18" s="1">
        <v>5</v>
      </c>
      <c r="E18" s="1">
        <v>5</v>
      </c>
      <c r="F18" s="1">
        <v>5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183</v>
      </c>
      <c r="B19" s="1"/>
      <c r="C19" s="1">
        <v>6</v>
      </c>
      <c r="D19" s="1">
        <v>2</v>
      </c>
      <c r="E19" s="1">
        <v>2</v>
      </c>
      <c r="F19" s="1">
        <v>2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2" ht="15.75" customHeight="1">
      <c r="A20" s="1" t="s">
        <v>184</v>
      </c>
      <c r="B20" s="1"/>
      <c r="C20" s="1">
        <v>4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185</v>
      </c>
      <c r="B21" s="1"/>
      <c r="C21" s="1">
        <v>6</v>
      </c>
      <c r="D21" s="1">
        <v>2</v>
      </c>
      <c r="E21" s="1">
        <v>2</v>
      </c>
      <c r="F21" s="1">
        <v>2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186</v>
      </c>
      <c r="B22" s="1"/>
      <c r="C22" s="1">
        <v>6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187</v>
      </c>
      <c r="B23" s="1"/>
      <c r="C23" s="1">
        <v>8</v>
      </c>
      <c r="D23" s="1">
        <v>1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188</v>
      </c>
      <c r="B24" s="1"/>
      <c r="C24" s="1">
        <v>4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189</v>
      </c>
      <c r="B25" s="1"/>
      <c r="C25" s="1">
        <v>8</v>
      </c>
      <c r="D25" s="1">
        <v>0</v>
      </c>
      <c r="E25" s="1">
        <v>0</v>
      </c>
      <c r="F25" s="1">
        <v>0</v>
      </c>
      <c r="G25" s="1" t="b">
        <f t="shared" si="0"/>
        <v>0</v>
      </c>
      <c r="H25" s="1" t="b">
        <f t="shared" si="1"/>
        <v>0</v>
      </c>
      <c r="I25" s="1" t="b">
        <f t="shared" si="2"/>
        <v>0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190</v>
      </c>
      <c r="B26" s="1"/>
      <c r="C26" s="1">
        <v>5</v>
      </c>
      <c r="D26" s="1">
        <v>3</v>
      </c>
      <c r="E26" s="1">
        <v>3</v>
      </c>
      <c r="F26" s="1">
        <v>0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191</v>
      </c>
      <c r="B27" s="1"/>
      <c r="C27" s="1">
        <v>4</v>
      </c>
      <c r="D27" s="1">
        <v>1</v>
      </c>
      <c r="E27" s="1">
        <v>1</v>
      </c>
      <c r="F27" s="1">
        <v>1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1</v>
      </c>
      <c r="K27" s="1" t="b">
        <f t="shared" si="4"/>
        <v>1</v>
      </c>
    </row>
    <row r="28" spans="1:12" ht="15.75" customHeight="1">
      <c r="A28" s="1" t="s">
        <v>192</v>
      </c>
      <c r="B28" s="1"/>
      <c r="C28" s="1">
        <v>8</v>
      </c>
      <c r="D28" s="1">
        <v>1</v>
      </c>
      <c r="E28" s="1">
        <v>1</v>
      </c>
      <c r="F28" s="1">
        <v>1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A29" s="1" t="s">
        <v>193</v>
      </c>
      <c r="B29" s="1"/>
      <c r="C29" s="1">
        <v>4</v>
      </c>
      <c r="D29" s="1">
        <v>1</v>
      </c>
      <c r="E29" s="1">
        <v>1</v>
      </c>
      <c r="F29" s="1">
        <v>1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1</v>
      </c>
      <c r="K29" s="1" t="b">
        <f t="shared" si="4"/>
        <v>1</v>
      </c>
    </row>
    <row r="30" spans="1:12" ht="15.75" customHeight="1">
      <c r="A30" s="1" t="s">
        <v>194</v>
      </c>
      <c r="B30" s="1"/>
      <c r="C30" s="1">
        <v>6</v>
      </c>
      <c r="D30" s="1">
        <v>1</v>
      </c>
      <c r="E30" s="1">
        <v>1</v>
      </c>
      <c r="F30" s="1">
        <v>0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195</v>
      </c>
      <c r="B31" s="1"/>
      <c r="C31" s="1">
        <v>7</v>
      </c>
      <c r="D31" s="1">
        <v>1</v>
      </c>
      <c r="E31" s="1">
        <v>1</v>
      </c>
      <c r="F31" s="1">
        <v>0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0</v>
      </c>
      <c r="K31" s="1" t="b">
        <f t="shared" si="4"/>
        <v>0</v>
      </c>
    </row>
    <row r="32" spans="1:12" ht="15.75" customHeight="1">
      <c r="B32" s="1" t="s">
        <v>64</v>
      </c>
      <c r="C32" s="1">
        <f t="shared" ref="C32:F32" si="5">SUM(C2:C31)</f>
        <v>148</v>
      </c>
      <c r="D32" s="1">
        <f t="shared" si="5"/>
        <v>31</v>
      </c>
      <c r="E32" s="1">
        <f t="shared" si="5"/>
        <v>25</v>
      </c>
      <c r="F32" s="1">
        <f t="shared" si="5"/>
        <v>15</v>
      </c>
      <c r="G32" s="1">
        <f t="shared" ref="G32:K32" si="6">COUNTIF(G3:G31,"TRUE")</f>
        <v>19</v>
      </c>
      <c r="H32" s="1">
        <f t="shared" si="6"/>
        <v>15</v>
      </c>
      <c r="I32" s="1">
        <f t="shared" si="6"/>
        <v>15</v>
      </c>
      <c r="J32" s="1">
        <f t="shared" si="6"/>
        <v>8</v>
      </c>
      <c r="K32" s="1">
        <f t="shared" si="6"/>
        <v>8</v>
      </c>
      <c r="L32" s="5">
        <f>COUNTA(E3:E31)</f>
        <v>29</v>
      </c>
    </row>
    <row r="33" spans="5:11" ht="15.75" customHeight="1">
      <c r="E33" s="1" t="s">
        <v>2</v>
      </c>
      <c r="F33" s="2"/>
      <c r="G33" s="2">
        <f>G32/L32</f>
        <v>0.65517241379310343</v>
      </c>
      <c r="H33" s="2">
        <f>H32/L32</f>
        <v>0.51724137931034486</v>
      </c>
      <c r="I33" s="2">
        <f>I32/L32</f>
        <v>0.51724137931034486</v>
      </c>
      <c r="J33" s="2">
        <f>J32/L32</f>
        <v>0.27586206896551724</v>
      </c>
      <c r="K33" s="2">
        <f>K32/L32</f>
        <v>0.27586206896551724</v>
      </c>
    </row>
    <row r="34" spans="5:11" ht="15.75" customHeight="1">
      <c r="E34" s="1" t="s">
        <v>65</v>
      </c>
      <c r="F34" s="2"/>
      <c r="G34" s="2"/>
      <c r="H34" s="2">
        <f>H32/G32</f>
        <v>0.78947368421052633</v>
      </c>
      <c r="I34" s="2">
        <f>I32/G32</f>
        <v>0.78947368421052633</v>
      </c>
      <c r="J34" s="2">
        <f>J32/G32</f>
        <v>0.42105263157894735</v>
      </c>
      <c r="K34" s="2">
        <f>K32/G32</f>
        <v>0.42105263157894735</v>
      </c>
    </row>
    <row r="35" spans="5:11" ht="15.75" customHeight="1">
      <c r="E35" s="1" t="s">
        <v>66</v>
      </c>
      <c r="F35" s="2"/>
      <c r="G35" s="2">
        <f>E32/C32</f>
        <v>0.16891891891891891</v>
      </c>
      <c r="H35" s="2">
        <f>E32/D32</f>
        <v>0.80645161290322576</v>
      </c>
    </row>
  </sheetData>
  <hyperlinks>
    <hyperlink ref="E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7"/>
  <sheetViews>
    <sheetView workbookViewId="0">
      <selection activeCell="G3" sqref="G3:K23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196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197</v>
      </c>
      <c r="B3" s="1"/>
      <c r="C3" s="1">
        <v>2</v>
      </c>
      <c r="D3" s="1">
        <v>1</v>
      </c>
      <c r="E3" s="1">
        <v>0</v>
      </c>
      <c r="F3" s="1">
        <v>0</v>
      </c>
      <c r="G3" s="1" t="b">
        <f>(D3&gt;0)</f>
        <v>1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198</v>
      </c>
      <c r="B4" s="1"/>
      <c r="C4" s="1">
        <v>4</v>
      </c>
      <c r="D4" s="1">
        <v>3</v>
      </c>
      <c r="E4" s="1">
        <v>3</v>
      </c>
      <c r="F4" s="1">
        <v>2</v>
      </c>
      <c r="G4" s="1" t="b">
        <f t="shared" ref="G4:G23" si="0">(D4&gt;0)</f>
        <v>1</v>
      </c>
      <c r="H4" s="1" t="b">
        <f t="shared" ref="H4:H23" si="1">(E4&gt;0)</f>
        <v>1</v>
      </c>
      <c r="I4" s="1" t="b">
        <f t="shared" ref="I4:I23" si="2">AND(G4,(D4=E4))</f>
        <v>1</v>
      </c>
      <c r="J4" s="1" t="b">
        <f t="shared" ref="J4:J23" si="3">(F4&gt;0)</f>
        <v>1</v>
      </c>
      <c r="K4" s="1" t="b">
        <f t="shared" ref="K4:K23" si="4">AND(I4,(E4=F4))</f>
        <v>0</v>
      </c>
    </row>
    <row r="5" spans="1:11" ht="15.75" customHeight="1">
      <c r="A5" s="1" t="s">
        <v>199</v>
      </c>
      <c r="B5" s="1"/>
      <c r="C5" s="1">
        <v>1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200</v>
      </c>
      <c r="B6" s="1"/>
      <c r="C6" s="1">
        <v>4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201</v>
      </c>
      <c r="B7" s="1"/>
      <c r="C7" s="1">
        <v>6</v>
      </c>
      <c r="D7" s="1">
        <v>1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202</v>
      </c>
      <c r="B8" s="1"/>
      <c r="C8" s="1">
        <v>2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203</v>
      </c>
      <c r="B9" s="1"/>
      <c r="C9" s="1">
        <v>4</v>
      </c>
      <c r="D9" s="1">
        <v>3</v>
      </c>
      <c r="E9" s="1">
        <v>3</v>
      </c>
      <c r="F9" s="1">
        <v>3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204</v>
      </c>
      <c r="B10" s="1"/>
      <c r="C10" s="1">
        <v>7</v>
      </c>
      <c r="D10" s="1">
        <v>1</v>
      </c>
      <c r="E10" s="1">
        <v>1</v>
      </c>
      <c r="F10" s="1">
        <v>0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205</v>
      </c>
      <c r="B11" s="1"/>
      <c r="C11" s="1">
        <v>7</v>
      </c>
      <c r="D11" s="1">
        <v>3</v>
      </c>
      <c r="E11" s="1">
        <v>3</v>
      </c>
      <c r="F11" s="1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0</v>
      </c>
    </row>
    <row r="12" spans="1:11" ht="15.75" customHeight="1">
      <c r="A12" s="1" t="s">
        <v>206</v>
      </c>
      <c r="B12" s="1"/>
      <c r="C12" s="1">
        <v>6</v>
      </c>
      <c r="D12" s="1">
        <v>3</v>
      </c>
      <c r="E12" s="1">
        <v>3</v>
      </c>
      <c r="F12" s="1">
        <v>3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207</v>
      </c>
      <c r="B13" s="1"/>
      <c r="C13" s="1">
        <v>5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208</v>
      </c>
      <c r="B14" s="1"/>
      <c r="C14" s="1">
        <v>4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209</v>
      </c>
      <c r="B15" s="1"/>
      <c r="C15" s="1">
        <v>7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210</v>
      </c>
      <c r="B16" s="1"/>
      <c r="C16" s="1">
        <v>5</v>
      </c>
      <c r="D16" s="1">
        <v>3</v>
      </c>
      <c r="E16" s="1">
        <v>0</v>
      </c>
      <c r="F16" s="1">
        <v>0</v>
      </c>
      <c r="G16" s="1" t="b">
        <f t="shared" si="0"/>
        <v>1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211</v>
      </c>
      <c r="B17" s="1"/>
      <c r="C17" s="1">
        <v>6</v>
      </c>
      <c r="D17" s="1">
        <v>0</v>
      </c>
      <c r="E17" s="1">
        <v>0</v>
      </c>
      <c r="F17" s="1">
        <v>0</v>
      </c>
      <c r="G17" s="1" t="b">
        <f t="shared" si="0"/>
        <v>0</v>
      </c>
      <c r="H17" s="1" t="b">
        <f t="shared" si="1"/>
        <v>0</v>
      </c>
      <c r="I17" s="1" t="b">
        <f t="shared" si="2"/>
        <v>0</v>
      </c>
      <c r="J17" s="1" t="b">
        <f t="shared" si="3"/>
        <v>0</v>
      </c>
      <c r="K17" s="1" t="b">
        <f t="shared" si="4"/>
        <v>0</v>
      </c>
    </row>
    <row r="18" spans="1:12" ht="15.75" customHeight="1">
      <c r="A18" s="1" t="s">
        <v>212</v>
      </c>
      <c r="B18" s="1"/>
      <c r="C18" s="1">
        <v>7</v>
      </c>
      <c r="D18" s="1">
        <v>0</v>
      </c>
      <c r="E18" s="1">
        <v>0</v>
      </c>
      <c r="F18" s="1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213</v>
      </c>
      <c r="B19" s="1"/>
      <c r="C19" s="1">
        <v>6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214</v>
      </c>
      <c r="B20" s="1"/>
      <c r="C20" s="1">
        <v>8</v>
      </c>
      <c r="D20" s="1">
        <v>6</v>
      </c>
      <c r="E20" s="1">
        <v>6</v>
      </c>
      <c r="F20" s="1">
        <v>6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215</v>
      </c>
      <c r="B21" s="1"/>
      <c r="C21" s="1">
        <v>6</v>
      </c>
      <c r="D21" s="1">
        <v>4</v>
      </c>
      <c r="E21" s="1">
        <v>2</v>
      </c>
      <c r="F21" s="1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216</v>
      </c>
      <c r="B22" s="1"/>
      <c r="C22" s="1">
        <v>7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217</v>
      </c>
      <c r="B23" s="1"/>
      <c r="C23" s="1">
        <v>4</v>
      </c>
      <c r="D23" s="1">
        <v>2</v>
      </c>
      <c r="E23" s="1">
        <v>2</v>
      </c>
      <c r="F23" s="1">
        <v>2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B24" s="1" t="s">
        <v>64</v>
      </c>
      <c r="C24" s="1">
        <f t="shared" ref="C24:F24" si="5">SUM(C2:C23)</f>
        <v>108</v>
      </c>
      <c r="D24" s="1">
        <f t="shared" si="5"/>
        <v>31</v>
      </c>
      <c r="E24" s="1">
        <f t="shared" si="5"/>
        <v>24</v>
      </c>
      <c r="F24" s="1">
        <f t="shared" si="5"/>
        <v>19</v>
      </c>
      <c r="G24" s="1">
        <f t="shared" ref="G24:K24" si="6">COUNTIF(G3:G23,"TRUE")</f>
        <v>12</v>
      </c>
      <c r="H24" s="1">
        <f t="shared" si="6"/>
        <v>9</v>
      </c>
      <c r="I24" s="1">
        <f t="shared" si="6"/>
        <v>8</v>
      </c>
      <c r="J24" s="1">
        <f t="shared" si="6"/>
        <v>7</v>
      </c>
      <c r="K24" s="1">
        <f t="shared" si="6"/>
        <v>5</v>
      </c>
      <c r="L24" s="5">
        <f>COUNTA(E3:E23)</f>
        <v>21</v>
      </c>
    </row>
    <row r="25" spans="1:12" ht="15.75" customHeight="1">
      <c r="E25" s="1" t="s">
        <v>2</v>
      </c>
      <c r="F25" s="2"/>
      <c r="G25" s="2">
        <f>G24/L24</f>
        <v>0.5714285714285714</v>
      </c>
      <c r="H25" s="2">
        <f>H24/L24</f>
        <v>0.42857142857142855</v>
      </c>
      <c r="I25" s="2">
        <f>I24/L24</f>
        <v>0.38095238095238093</v>
      </c>
      <c r="J25" s="2">
        <f>J24/L24</f>
        <v>0.33333333333333331</v>
      </c>
      <c r="K25" s="2">
        <f>K24/L24</f>
        <v>0.23809523809523808</v>
      </c>
    </row>
    <row r="26" spans="1:12" ht="15.75" customHeight="1">
      <c r="E26" s="1" t="s">
        <v>65</v>
      </c>
      <c r="F26" s="2"/>
      <c r="G26" s="2"/>
      <c r="H26" s="2">
        <f>H24/G24</f>
        <v>0.75</v>
      </c>
      <c r="I26" s="2">
        <f>I24/G24</f>
        <v>0.66666666666666663</v>
      </c>
      <c r="J26" s="2">
        <f>J24/G24</f>
        <v>0.58333333333333337</v>
      </c>
      <c r="K26" s="2">
        <f>K24/G24</f>
        <v>0.41666666666666669</v>
      </c>
    </row>
    <row r="27" spans="1:12" ht="15.75" customHeight="1">
      <c r="E27" s="1" t="s">
        <v>66</v>
      </c>
      <c r="F27" s="2"/>
      <c r="G27" s="2">
        <f>E24/C24</f>
        <v>0.22222222222222221</v>
      </c>
      <c r="H27" s="2">
        <f>E24/D24</f>
        <v>0.77419354838709675</v>
      </c>
    </row>
  </sheetData>
  <hyperlinks>
    <hyperlink ref="E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5"/>
  <sheetViews>
    <sheetView workbookViewId="0">
      <selection activeCell="G3" sqref="G3:K31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218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219</v>
      </c>
      <c r="B3" s="1"/>
      <c r="C3" s="1">
        <v>5</v>
      </c>
      <c r="D3" s="1">
        <v>2</v>
      </c>
      <c r="E3" s="1">
        <v>2</v>
      </c>
      <c r="F3" s="1">
        <v>0</v>
      </c>
      <c r="G3" s="1" t="b">
        <f>(D3&gt;0)</f>
        <v>1</v>
      </c>
      <c r="H3" s="1" t="b">
        <f>(E3&gt;0)</f>
        <v>1</v>
      </c>
      <c r="I3" s="1" t="b">
        <f>AND(G3,(D3=E3))</f>
        <v>1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220</v>
      </c>
      <c r="B4" s="1"/>
      <c r="C4" s="1">
        <v>4</v>
      </c>
      <c r="D4" s="1">
        <v>0</v>
      </c>
      <c r="E4" s="1">
        <v>0</v>
      </c>
      <c r="F4" s="1">
        <v>0</v>
      </c>
      <c r="G4" s="1" t="b">
        <f t="shared" ref="G4:G31" si="0">(D4&gt;0)</f>
        <v>0</v>
      </c>
      <c r="H4" s="1" t="b">
        <f t="shared" ref="H4:H31" si="1">(E4&gt;0)</f>
        <v>0</v>
      </c>
      <c r="I4" s="1" t="b">
        <f t="shared" ref="I4:I31" si="2">AND(G4,(D4=E4))</f>
        <v>0</v>
      </c>
      <c r="J4" s="1" t="b">
        <f t="shared" ref="J4:J31" si="3">(F4&gt;0)</f>
        <v>0</v>
      </c>
      <c r="K4" s="1" t="b">
        <f t="shared" ref="K4:K31" si="4">AND(I4,(E4=F4))</f>
        <v>0</v>
      </c>
    </row>
    <row r="5" spans="1:11" ht="15.75" customHeight="1">
      <c r="A5" s="1" t="s">
        <v>221</v>
      </c>
      <c r="B5" s="1"/>
      <c r="C5" s="1">
        <v>3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222</v>
      </c>
      <c r="B6" s="1"/>
      <c r="C6" s="1">
        <v>4</v>
      </c>
      <c r="D6" s="1">
        <v>3</v>
      </c>
      <c r="E6" s="1">
        <v>3</v>
      </c>
      <c r="F6" s="1">
        <v>3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223</v>
      </c>
      <c r="B7" s="1"/>
      <c r="C7" s="1">
        <v>6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224</v>
      </c>
      <c r="B8" s="1"/>
      <c r="C8" s="1">
        <v>7</v>
      </c>
      <c r="D8" s="1">
        <v>2</v>
      </c>
      <c r="E8" s="1">
        <v>1</v>
      </c>
      <c r="F8" s="1">
        <v>1</v>
      </c>
      <c r="G8" s="1" t="b">
        <f t="shared" si="0"/>
        <v>1</v>
      </c>
      <c r="H8" s="1" t="b">
        <f t="shared" si="1"/>
        <v>1</v>
      </c>
      <c r="I8" s="1" t="b">
        <f t="shared" si="2"/>
        <v>0</v>
      </c>
      <c r="J8" s="1" t="b">
        <f t="shared" si="3"/>
        <v>1</v>
      </c>
      <c r="K8" s="1" t="b">
        <f t="shared" si="4"/>
        <v>0</v>
      </c>
    </row>
    <row r="9" spans="1:11" ht="15.75" customHeight="1">
      <c r="A9" s="1" t="s">
        <v>225</v>
      </c>
      <c r="B9" s="1"/>
      <c r="C9" s="1">
        <v>5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226</v>
      </c>
      <c r="B10" s="1"/>
      <c r="C10" s="1">
        <v>5</v>
      </c>
      <c r="D10" s="1">
        <v>0</v>
      </c>
      <c r="E10" s="1">
        <v>0</v>
      </c>
      <c r="F10" s="1">
        <v>0</v>
      </c>
      <c r="G10" s="1" t="b">
        <f t="shared" si="0"/>
        <v>0</v>
      </c>
      <c r="H10" s="1" t="b">
        <f t="shared" si="1"/>
        <v>0</v>
      </c>
      <c r="I10" s="1" t="b">
        <f t="shared" si="2"/>
        <v>0</v>
      </c>
      <c r="J10" s="1" t="b">
        <f t="shared" si="3"/>
        <v>0</v>
      </c>
      <c r="K10" s="1" t="b">
        <f t="shared" si="4"/>
        <v>0</v>
      </c>
    </row>
    <row r="11" spans="1:11" ht="15.75" customHeight="1">
      <c r="A11" s="1" t="s">
        <v>227</v>
      </c>
      <c r="B11" s="1"/>
      <c r="C11" s="1">
        <v>6</v>
      </c>
      <c r="D11" s="1">
        <v>1</v>
      </c>
      <c r="E11" s="1">
        <v>1</v>
      </c>
      <c r="F11" s="1">
        <v>1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228</v>
      </c>
      <c r="B12" s="1"/>
      <c r="C12" s="1">
        <v>4</v>
      </c>
      <c r="D12" s="1">
        <v>0</v>
      </c>
      <c r="E12" s="1">
        <v>0</v>
      </c>
      <c r="F12" s="1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229</v>
      </c>
      <c r="B13" s="1"/>
      <c r="C13" s="1">
        <v>8</v>
      </c>
      <c r="D13" s="1">
        <v>6</v>
      </c>
      <c r="E13" s="1">
        <v>6</v>
      </c>
      <c r="F13" s="1">
        <v>6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230</v>
      </c>
      <c r="B14" s="1"/>
      <c r="C14" s="1">
        <v>6</v>
      </c>
      <c r="D14" s="1">
        <v>4</v>
      </c>
      <c r="E14" s="1">
        <v>4</v>
      </c>
      <c r="F14" s="1">
        <v>4</v>
      </c>
      <c r="G14" s="1" t="b">
        <f t="shared" si="0"/>
        <v>1</v>
      </c>
      <c r="H14" s="1" t="b">
        <f t="shared" si="1"/>
        <v>1</v>
      </c>
      <c r="I14" s="1" t="b">
        <f t="shared" si="2"/>
        <v>1</v>
      </c>
      <c r="J14" s="1" t="b">
        <f t="shared" si="3"/>
        <v>1</v>
      </c>
      <c r="K14" s="1" t="b">
        <f t="shared" si="4"/>
        <v>1</v>
      </c>
    </row>
    <row r="15" spans="1:11" ht="15.75" customHeight="1">
      <c r="A15" s="1" t="s">
        <v>231</v>
      </c>
      <c r="B15" s="1"/>
      <c r="C15" s="1">
        <v>9</v>
      </c>
      <c r="D15" s="1">
        <v>3</v>
      </c>
      <c r="E15" s="1">
        <v>3</v>
      </c>
      <c r="F15" s="1">
        <v>3</v>
      </c>
      <c r="G15" s="1" t="b">
        <f t="shared" si="0"/>
        <v>1</v>
      </c>
      <c r="H15" s="1" t="b">
        <f t="shared" si="1"/>
        <v>1</v>
      </c>
      <c r="I15" s="1" t="b">
        <f t="shared" si="2"/>
        <v>1</v>
      </c>
      <c r="J15" s="1" t="b">
        <f t="shared" si="3"/>
        <v>1</v>
      </c>
      <c r="K15" s="1" t="b">
        <f t="shared" si="4"/>
        <v>1</v>
      </c>
    </row>
    <row r="16" spans="1:11" ht="15.75" customHeight="1">
      <c r="A16" s="1" t="s">
        <v>232</v>
      </c>
      <c r="B16" s="1"/>
      <c r="C16" s="1">
        <v>7</v>
      </c>
      <c r="D16" s="1">
        <v>1</v>
      </c>
      <c r="E16" s="1">
        <v>1</v>
      </c>
      <c r="F16" s="1">
        <v>1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233</v>
      </c>
      <c r="B17" s="1"/>
      <c r="C17" s="1">
        <v>5</v>
      </c>
      <c r="D17" s="1">
        <v>4</v>
      </c>
      <c r="E17" s="1">
        <v>4</v>
      </c>
      <c r="F17" s="1">
        <v>4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234</v>
      </c>
      <c r="B18" s="1"/>
      <c r="C18" s="1">
        <v>6</v>
      </c>
      <c r="D18" s="1">
        <v>3</v>
      </c>
      <c r="E18" s="1">
        <v>3</v>
      </c>
      <c r="F18" s="1">
        <v>3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235</v>
      </c>
      <c r="B19" s="1"/>
      <c r="C19" s="1">
        <v>8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236</v>
      </c>
      <c r="B20" s="1"/>
      <c r="C20" s="1">
        <v>6</v>
      </c>
      <c r="D20" s="1">
        <v>1</v>
      </c>
      <c r="E20" s="1">
        <v>1</v>
      </c>
      <c r="F20" s="1">
        <v>1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2" ht="15.75" customHeight="1">
      <c r="A21" s="1" t="s">
        <v>237</v>
      </c>
      <c r="B21" s="1"/>
      <c r="C21" s="1">
        <v>5</v>
      </c>
      <c r="D21" s="1">
        <v>1</v>
      </c>
      <c r="E21" s="1">
        <v>1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238</v>
      </c>
      <c r="B22" s="1"/>
      <c r="C22" s="1">
        <v>4</v>
      </c>
      <c r="D22" s="1">
        <v>3</v>
      </c>
      <c r="E22" s="1">
        <v>0</v>
      </c>
      <c r="F22" s="1">
        <v>0</v>
      </c>
      <c r="G22" s="1" t="b">
        <f t="shared" si="0"/>
        <v>1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239</v>
      </c>
      <c r="B23" s="1"/>
      <c r="C23" s="1">
        <v>5</v>
      </c>
      <c r="D23" s="1">
        <v>2</v>
      </c>
      <c r="E23" s="1">
        <v>1</v>
      </c>
      <c r="F23" s="1">
        <v>1</v>
      </c>
      <c r="G23" s="1" t="b">
        <f t="shared" si="0"/>
        <v>1</v>
      </c>
      <c r="H23" s="1" t="b">
        <f t="shared" si="1"/>
        <v>1</v>
      </c>
      <c r="I23" s="1" t="b">
        <f t="shared" si="2"/>
        <v>0</v>
      </c>
      <c r="J23" s="1" t="b">
        <f t="shared" si="3"/>
        <v>1</v>
      </c>
      <c r="K23" s="1" t="b">
        <f t="shared" si="4"/>
        <v>0</v>
      </c>
    </row>
    <row r="24" spans="1:12" ht="15.75" customHeight="1">
      <c r="A24" s="1" t="s">
        <v>240</v>
      </c>
      <c r="B24" s="1"/>
      <c r="C24" s="1">
        <v>6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241</v>
      </c>
      <c r="B25" s="1"/>
      <c r="C25" s="1">
        <v>6</v>
      </c>
      <c r="D25" s="1">
        <v>1</v>
      </c>
      <c r="E25" s="1">
        <v>1</v>
      </c>
      <c r="F25" s="1">
        <v>0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0</v>
      </c>
      <c r="K25" s="1" t="b">
        <f t="shared" si="4"/>
        <v>0</v>
      </c>
    </row>
    <row r="26" spans="1:12" ht="15.75" customHeight="1">
      <c r="A26" s="1" t="s">
        <v>242</v>
      </c>
      <c r="B26" s="1"/>
      <c r="C26" s="1">
        <v>6</v>
      </c>
      <c r="D26" s="1">
        <v>3</v>
      </c>
      <c r="E26" s="1">
        <v>0</v>
      </c>
      <c r="F26" s="1">
        <v>0</v>
      </c>
      <c r="G26" s="1" t="b">
        <f t="shared" si="0"/>
        <v>1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243</v>
      </c>
      <c r="B27" s="1"/>
      <c r="C27" s="1">
        <v>3</v>
      </c>
      <c r="D27" s="1">
        <v>2</v>
      </c>
      <c r="E27" s="1">
        <v>2</v>
      </c>
      <c r="F27" s="1">
        <v>0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244</v>
      </c>
      <c r="B28" s="1"/>
      <c r="C28" s="1">
        <v>6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A29" s="1" t="s">
        <v>245</v>
      </c>
      <c r="B29" s="1"/>
      <c r="C29" s="1">
        <v>5</v>
      </c>
      <c r="D29" s="1">
        <v>2</v>
      </c>
      <c r="E29" s="1">
        <v>2</v>
      </c>
      <c r="F29" s="1">
        <v>0</v>
      </c>
      <c r="G29" s="1" t="b">
        <f t="shared" si="0"/>
        <v>1</v>
      </c>
      <c r="H29" s="1" t="b">
        <f t="shared" si="1"/>
        <v>1</v>
      </c>
      <c r="I29" s="1" t="b">
        <f t="shared" si="2"/>
        <v>1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246</v>
      </c>
      <c r="B30" s="1"/>
      <c r="C30" s="1">
        <v>3</v>
      </c>
      <c r="D30" s="1">
        <v>3</v>
      </c>
      <c r="E30" s="1">
        <v>3</v>
      </c>
      <c r="F30" s="1">
        <v>3</v>
      </c>
      <c r="G30" s="1" t="b">
        <f t="shared" si="0"/>
        <v>1</v>
      </c>
      <c r="H30" s="1" t="b">
        <f t="shared" si="1"/>
        <v>1</v>
      </c>
      <c r="I30" s="1" t="b">
        <f t="shared" si="2"/>
        <v>1</v>
      </c>
      <c r="J30" s="1" t="b">
        <f t="shared" si="3"/>
        <v>1</v>
      </c>
      <c r="K30" s="1" t="b">
        <f t="shared" si="4"/>
        <v>1</v>
      </c>
    </row>
    <row r="31" spans="1:12" ht="15.75" customHeight="1">
      <c r="A31" s="1" t="s">
        <v>247</v>
      </c>
      <c r="B31" s="1"/>
      <c r="C31" s="1">
        <v>1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2" ht="15.75" customHeight="1">
      <c r="B32" s="1" t="s">
        <v>64</v>
      </c>
      <c r="C32" s="1">
        <f t="shared" ref="C32:F32" si="5">SUM(C2:C31)</f>
        <v>154</v>
      </c>
      <c r="D32" s="1">
        <f t="shared" si="5"/>
        <v>48</v>
      </c>
      <c r="E32" s="1">
        <f t="shared" si="5"/>
        <v>40</v>
      </c>
      <c r="F32" s="1">
        <f t="shared" si="5"/>
        <v>33</v>
      </c>
      <c r="G32" s="1">
        <f t="shared" ref="G32:K32" si="6">COUNTIF(G3:G31,"TRUE")</f>
        <v>20</v>
      </c>
      <c r="H32" s="1">
        <f t="shared" si="6"/>
        <v>18</v>
      </c>
      <c r="I32" s="1">
        <f t="shared" si="6"/>
        <v>16</v>
      </c>
      <c r="J32" s="1">
        <f t="shared" si="6"/>
        <v>14</v>
      </c>
      <c r="K32" s="1">
        <f t="shared" si="6"/>
        <v>12</v>
      </c>
      <c r="L32" s="5">
        <f>COUNTA(E3:E31)</f>
        <v>29</v>
      </c>
    </row>
    <row r="33" spans="5:11" ht="15.75" customHeight="1">
      <c r="E33" s="1" t="s">
        <v>2</v>
      </c>
      <c r="F33" s="2"/>
      <c r="G33" s="2">
        <f>G32/L32</f>
        <v>0.68965517241379315</v>
      </c>
      <c r="H33" s="2">
        <f>H32/L32</f>
        <v>0.62068965517241381</v>
      </c>
      <c r="I33" s="2">
        <f>I32/L32</f>
        <v>0.55172413793103448</v>
      </c>
      <c r="J33" s="2">
        <f>J32/L32</f>
        <v>0.48275862068965519</v>
      </c>
      <c r="K33" s="2">
        <f>K32/L32</f>
        <v>0.41379310344827586</v>
      </c>
    </row>
    <row r="34" spans="5:11" ht="15.75" customHeight="1">
      <c r="E34" s="1" t="s">
        <v>65</v>
      </c>
      <c r="F34" s="2"/>
      <c r="G34" s="2"/>
      <c r="H34" s="2">
        <f>H32/G32</f>
        <v>0.9</v>
      </c>
      <c r="I34" s="2">
        <f>I32/G32</f>
        <v>0.8</v>
      </c>
      <c r="J34" s="2">
        <f>J32/G32</f>
        <v>0.7</v>
      </c>
      <c r="K34" s="2">
        <f>K32/G32</f>
        <v>0.6</v>
      </c>
    </row>
    <row r="35" spans="5:11" ht="15.75" customHeight="1">
      <c r="E35" s="1" t="s">
        <v>66</v>
      </c>
      <c r="F35" s="2"/>
      <c r="G35" s="2">
        <f>E32/C32</f>
        <v>0.25974025974025972</v>
      </c>
      <c r="H35" s="2">
        <f>E32/D32</f>
        <v>0.83333333333333337</v>
      </c>
    </row>
  </sheetData>
  <hyperlinks>
    <hyperlink ref="E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2"/>
  <sheetViews>
    <sheetView workbookViewId="0">
      <selection activeCell="G3" sqref="G3:K28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248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249</v>
      </c>
      <c r="B3" s="1"/>
      <c r="C3" s="1">
        <v>5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250</v>
      </c>
      <c r="B4" s="1"/>
      <c r="C4" s="1">
        <v>7</v>
      </c>
      <c r="D4" s="1">
        <v>7</v>
      </c>
      <c r="E4" s="1">
        <v>7</v>
      </c>
      <c r="F4" s="1">
        <v>0</v>
      </c>
      <c r="G4" s="1" t="b">
        <f t="shared" ref="G4:G28" si="0">(D4&gt;0)</f>
        <v>1</v>
      </c>
      <c r="H4" s="1" t="b">
        <f t="shared" ref="H4:H28" si="1">(E4&gt;0)</f>
        <v>1</v>
      </c>
      <c r="I4" s="1" t="b">
        <f t="shared" ref="I4:I28" si="2">AND(G4,(D4=E4))</f>
        <v>1</v>
      </c>
      <c r="J4" s="1" t="b">
        <f t="shared" ref="J4:J28" si="3">(F4&gt;0)</f>
        <v>0</v>
      </c>
      <c r="K4" s="1" t="b">
        <f t="shared" ref="K4:K28" si="4">AND(I4,(E4=F4))</f>
        <v>0</v>
      </c>
    </row>
    <row r="5" spans="1:11" ht="15.75" customHeight="1">
      <c r="A5" s="1" t="s">
        <v>251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252</v>
      </c>
      <c r="B6" s="1"/>
      <c r="C6" s="1">
        <v>3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253</v>
      </c>
      <c r="B7" s="1"/>
      <c r="C7" s="1">
        <v>7</v>
      </c>
      <c r="D7" s="1">
        <v>1</v>
      </c>
      <c r="E7" s="1">
        <v>1</v>
      </c>
      <c r="F7" s="1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1" t="s">
        <v>254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255</v>
      </c>
      <c r="B9" s="1"/>
      <c r="C9" s="1">
        <v>2</v>
      </c>
      <c r="D9" s="1">
        <v>1</v>
      </c>
      <c r="E9" s="1">
        <v>1</v>
      </c>
      <c r="F9" s="1">
        <v>1</v>
      </c>
      <c r="G9" s="1" t="b">
        <f t="shared" si="0"/>
        <v>1</v>
      </c>
      <c r="H9" s="1" t="b">
        <f t="shared" si="1"/>
        <v>1</v>
      </c>
      <c r="I9" s="1" t="b">
        <f t="shared" si="2"/>
        <v>1</v>
      </c>
      <c r="J9" s="1" t="b">
        <f t="shared" si="3"/>
        <v>1</v>
      </c>
      <c r="K9" s="1" t="b">
        <f t="shared" si="4"/>
        <v>1</v>
      </c>
    </row>
    <row r="10" spans="1:11" ht="15.75" customHeight="1">
      <c r="A10" s="1" t="s">
        <v>256</v>
      </c>
      <c r="B10" s="1"/>
      <c r="C10" s="1">
        <v>5</v>
      </c>
      <c r="D10" s="1">
        <v>4</v>
      </c>
      <c r="E10" s="1">
        <v>4</v>
      </c>
      <c r="F10" s="1">
        <v>4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257</v>
      </c>
      <c r="B11" s="1"/>
      <c r="C11" s="1">
        <v>5</v>
      </c>
      <c r="D11" s="1">
        <v>3</v>
      </c>
      <c r="E11" s="1">
        <v>3</v>
      </c>
      <c r="F11" s="1">
        <v>3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1" t="s">
        <v>258</v>
      </c>
      <c r="B12" s="1"/>
      <c r="C12" s="1">
        <v>5</v>
      </c>
      <c r="D12" s="1">
        <v>5</v>
      </c>
      <c r="E12" s="1">
        <v>5</v>
      </c>
      <c r="F12" s="1">
        <v>5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1</v>
      </c>
      <c r="K12" s="1" t="b">
        <f t="shared" si="4"/>
        <v>1</v>
      </c>
    </row>
    <row r="13" spans="1:11" ht="15.75" customHeight="1">
      <c r="A13" s="1" t="s">
        <v>259</v>
      </c>
      <c r="B13" s="1"/>
      <c r="C13" s="1">
        <v>5</v>
      </c>
      <c r="D13" s="1">
        <v>2</v>
      </c>
      <c r="E13" s="1">
        <v>2</v>
      </c>
      <c r="F13" s="1">
        <v>2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260</v>
      </c>
      <c r="B14" s="1"/>
      <c r="C14" s="1">
        <v>8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261</v>
      </c>
      <c r="B15" s="1"/>
      <c r="C15" s="1">
        <v>6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262</v>
      </c>
      <c r="B16" s="1"/>
      <c r="C16" s="1">
        <v>8</v>
      </c>
      <c r="D16" s="1">
        <v>0</v>
      </c>
      <c r="E16" s="1">
        <v>0</v>
      </c>
      <c r="F16" s="1">
        <v>0</v>
      </c>
      <c r="G16" s="1" t="b">
        <f t="shared" si="0"/>
        <v>0</v>
      </c>
      <c r="H16" s="1" t="b">
        <f t="shared" si="1"/>
        <v>0</v>
      </c>
      <c r="I16" s="1" t="b">
        <f t="shared" si="2"/>
        <v>0</v>
      </c>
      <c r="J16" s="1" t="b">
        <f t="shared" si="3"/>
        <v>0</v>
      </c>
      <c r="K16" s="1" t="b">
        <f t="shared" si="4"/>
        <v>0</v>
      </c>
    </row>
    <row r="17" spans="1:12" ht="15.75" customHeight="1">
      <c r="A17" s="1" t="s">
        <v>263</v>
      </c>
      <c r="B17" s="1"/>
      <c r="C17" s="1">
        <v>3</v>
      </c>
      <c r="D17" s="1">
        <v>2</v>
      </c>
      <c r="E17" s="1">
        <v>2</v>
      </c>
      <c r="F17" s="1">
        <v>2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264</v>
      </c>
      <c r="B18" s="1"/>
      <c r="C18" s="1">
        <v>9</v>
      </c>
      <c r="D18" s="1">
        <v>2</v>
      </c>
      <c r="E18" s="1">
        <v>0</v>
      </c>
      <c r="F18" s="1">
        <v>0</v>
      </c>
      <c r="G18" s="1" t="b">
        <f t="shared" si="0"/>
        <v>1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2" ht="15.75" customHeight="1">
      <c r="A19" s="1" t="s">
        <v>265</v>
      </c>
      <c r="B19" s="1"/>
      <c r="C19" s="1">
        <v>6</v>
      </c>
      <c r="D19" s="1">
        <v>0</v>
      </c>
      <c r="E19" s="1">
        <v>0</v>
      </c>
      <c r="F19" s="1">
        <v>0</v>
      </c>
      <c r="G19" s="1" t="b">
        <f t="shared" si="0"/>
        <v>0</v>
      </c>
      <c r="H19" s="1" t="b">
        <f t="shared" si="1"/>
        <v>0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266</v>
      </c>
      <c r="B20" s="1"/>
      <c r="C20" s="1">
        <v>13</v>
      </c>
      <c r="D20" s="1">
        <v>0</v>
      </c>
      <c r="E20" s="1">
        <v>0</v>
      </c>
      <c r="F20" s="1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267</v>
      </c>
      <c r="B21" s="1"/>
      <c r="C21" s="1">
        <v>7</v>
      </c>
      <c r="D21" s="1">
        <v>1</v>
      </c>
      <c r="E21" s="1">
        <v>1</v>
      </c>
      <c r="F21" s="1">
        <v>1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2" ht="15.75" customHeight="1">
      <c r="A22" s="1" t="s">
        <v>268</v>
      </c>
      <c r="B22" s="1"/>
      <c r="C22" s="1">
        <v>5</v>
      </c>
      <c r="D22" s="1">
        <v>1</v>
      </c>
      <c r="E22" s="1">
        <v>1</v>
      </c>
      <c r="F22" s="1">
        <v>1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2" ht="15.75" customHeight="1">
      <c r="A23" s="1" t="s">
        <v>269</v>
      </c>
      <c r="B23" s="1"/>
      <c r="C23" s="1">
        <v>6</v>
      </c>
      <c r="D23" s="1">
        <v>0</v>
      </c>
      <c r="E23" s="1">
        <v>0</v>
      </c>
      <c r="F23" s="1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2" ht="15.75" customHeight="1">
      <c r="A24" s="1" t="s">
        <v>270</v>
      </c>
      <c r="B24" s="1"/>
      <c r="C24" s="1">
        <v>5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271</v>
      </c>
      <c r="B25" s="1"/>
      <c r="C25" s="1">
        <v>7</v>
      </c>
      <c r="D25" s="1">
        <v>4</v>
      </c>
      <c r="E25" s="1">
        <v>4</v>
      </c>
      <c r="F25" s="1">
        <v>4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1" t="s">
        <v>272</v>
      </c>
      <c r="B26" s="1"/>
      <c r="C26" s="1">
        <v>6</v>
      </c>
      <c r="D26" s="1">
        <v>3</v>
      </c>
      <c r="E26" s="1">
        <v>3</v>
      </c>
      <c r="F26" s="1">
        <v>3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2" ht="15.75" customHeight="1">
      <c r="A27" s="1" t="s">
        <v>273</v>
      </c>
      <c r="B27" s="1"/>
      <c r="C27" s="1">
        <v>4</v>
      </c>
      <c r="D27" s="1">
        <v>0</v>
      </c>
      <c r="E27" s="1">
        <v>0</v>
      </c>
      <c r="F27" s="1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2" ht="15.75" customHeight="1">
      <c r="A28" s="1" t="s">
        <v>274</v>
      </c>
      <c r="B28" s="1"/>
      <c r="C28" s="1">
        <v>5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2" ht="15.75" customHeight="1">
      <c r="B29" s="1" t="s">
        <v>64</v>
      </c>
      <c r="C29" s="1">
        <f t="shared" ref="C29:F29" si="5">SUM(C2:C28)</f>
        <v>153</v>
      </c>
      <c r="D29" s="1">
        <f t="shared" si="5"/>
        <v>37</v>
      </c>
      <c r="E29" s="1">
        <f t="shared" si="5"/>
        <v>35</v>
      </c>
      <c r="F29" s="1">
        <f t="shared" si="5"/>
        <v>28</v>
      </c>
      <c r="G29" s="1">
        <f t="shared" ref="G29:K29" si="6">COUNTIF(G3:G28,"TRUE")</f>
        <v>14</v>
      </c>
      <c r="H29" s="1">
        <f t="shared" si="6"/>
        <v>13</v>
      </c>
      <c r="I29" s="1">
        <f t="shared" si="6"/>
        <v>13</v>
      </c>
      <c r="J29" s="1">
        <f t="shared" si="6"/>
        <v>12</v>
      </c>
      <c r="K29" s="1">
        <f t="shared" si="6"/>
        <v>12</v>
      </c>
      <c r="L29" s="5">
        <f>COUNTA(E3:E28)</f>
        <v>26</v>
      </c>
    </row>
    <row r="30" spans="1:12" ht="15.75" customHeight="1">
      <c r="E30" s="1" t="s">
        <v>2</v>
      </c>
      <c r="F30" s="2"/>
      <c r="G30" s="2">
        <f>G29/L29</f>
        <v>0.53846153846153844</v>
      </c>
      <c r="H30" s="2">
        <f>H29/L29</f>
        <v>0.5</v>
      </c>
      <c r="I30" s="2">
        <f>I29/L29</f>
        <v>0.5</v>
      </c>
      <c r="J30" s="2">
        <f>J29/L29</f>
        <v>0.46153846153846156</v>
      </c>
      <c r="K30" s="2">
        <f>K29/L29</f>
        <v>0.46153846153846156</v>
      </c>
    </row>
    <row r="31" spans="1:12" ht="15.75" customHeight="1">
      <c r="E31" s="1" t="s">
        <v>65</v>
      </c>
      <c r="F31" s="2"/>
      <c r="G31" s="2"/>
      <c r="H31" s="2">
        <f>H29/G29</f>
        <v>0.9285714285714286</v>
      </c>
      <c r="I31" s="2">
        <f>I29/G29</f>
        <v>0.9285714285714286</v>
      </c>
      <c r="J31" s="2">
        <f>J29/G29</f>
        <v>0.8571428571428571</v>
      </c>
      <c r="K31" s="2">
        <f>K29/G29</f>
        <v>0.8571428571428571</v>
      </c>
    </row>
    <row r="32" spans="1:12" ht="15.75" customHeight="1">
      <c r="E32" s="1" t="s">
        <v>66</v>
      </c>
      <c r="F32" s="2"/>
      <c r="G32" s="2">
        <f>E29/C29</f>
        <v>0.22875816993464052</v>
      </c>
      <c r="H32" s="2">
        <f>E29/D29</f>
        <v>0.94594594594594594</v>
      </c>
    </row>
  </sheetData>
  <hyperlinks>
    <hyperlink ref="E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8"/>
  <sheetViews>
    <sheetView workbookViewId="0">
      <selection activeCell="G3" sqref="G3:K34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275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276</v>
      </c>
      <c r="B3" s="1"/>
      <c r="C3" s="1">
        <v>2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277</v>
      </c>
      <c r="B4" s="1"/>
      <c r="C4" s="1">
        <v>3</v>
      </c>
      <c r="D4" s="1">
        <v>0</v>
      </c>
      <c r="E4" s="1">
        <v>0</v>
      </c>
      <c r="F4" s="1">
        <v>0</v>
      </c>
      <c r="G4" s="1" t="b">
        <f t="shared" ref="G4:G34" si="0">(D4&gt;0)</f>
        <v>0</v>
      </c>
      <c r="H4" s="1" t="b">
        <f t="shared" ref="H4:H34" si="1">(E4&gt;0)</f>
        <v>0</v>
      </c>
      <c r="I4" s="1" t="b">
        <f t="shared" ref="I4:I34" si="2">AND(G4,(D4=E4))</f>
        <v>0</v>
      </c>
      <c r="J4" s="1" t="b">
        <f t="shared" ref="J4:J34" si="3">(F4&gt;0)</f>
        <v>0</v>
      </c>
      <c r="K4" s="1" t="b">
        <f t="shared" ref="K4:K34" si="4">AND(I4,(E4=F4))</f>
        <v>0</v>
      </c>
    </row>
    <row r="5" spans="1:11" ht="15.75" customHeight="1">
      <c r="A5" s="1" t="s">
        <v>278</v>
      </c>
      <c r="B5" s="1"/>
      <c r="C5" s="1">
        <v>4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279</v>
      </c>
      <c r="B6" s="1"/>
      <c r="C6" s="1">
        <v>5</v>
      </c>
      <c r="D6" s="1">
        <v>1</v>
      </c>
      <c r="E6" s="1">
        <v>1</v>
      </c>
      <c r="F6" s="1">
        <v>1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280</v>
      </c>
      <c r="B7" s="1"/>
      <c r="C7" s="1">
        <v>4</v>
      </c>
      <c r="D7" s="1">
        <v>2</v>
      </c>
      <c r="E7" s="1">
        <v>0</v>
      </c>
      <c r="F7" s="1">
        <v>0</v>
      </c>
      <c r="G7" s="1" t="b">
        <f t="shared" si="0"/>
        <v>1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281</v>
      </c>
      <c r="B8" s="1"/>
      <c r="C8" s="1">
        <v>7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282</v>
      </c>
      <c r="B9" s="1"/>
      <c r="C9" s="1">
        <v>4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283</v>
      </c>
      <c r="B10" s="1"/>
      <c r="C10" s="1">
        <v>7</v>
      </c>
      <c r="D10" s="1">
        <v>1</v>
      </c>
      <c r="E10" s="1">
        <v>1</v>
      </c>
      <c r="F10" s="1">
        <v>1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284</v>
      </c>
      <c r="B11" s="1"/>
      <c r="C11" s="1">
        <v>6</v>
      </c>
      <c r="D11" s="1">
        <v>0</v>
      </c>
      <c r="E11" s="1">
        <v>0</v>
      </c>
      <c r="F11" s="1">
        <v>0</v>
      </c>
      <c r="G11" s="1" t="b">
        <f t="shared" si="0"/>
        <v>0</v>
      </c>
      <c r="H11" s="1" t="b">
        <f t="shared" si="1"/>
        <v>0</v>
      </c>
      <c r="I11" s="1" t="b">
        <f t="shared" si="2"/>
        <v>0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285</v>
      </c>
      <c r="B12" s="1"/>
      <c r="C12" s="1">
        <v>6</v>
      </c>
      <c r="D12" s="1">
        <v>2</v>
      </c>
      <c r="E12" s="1">
        <v>0</v>
      </c>
      <c r="F12" s="1">
        <v>0</v>
      </c>
      <c r="G12" s="1" t="b">
        <f t="shared" si="0"/>
        <v>1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286</v>
      </c>
      <c r="B13" s="1"/>
      <c r="C13" s="1">
        <v>7</v>
      </c>
      <c r="D13" s="1">
        <v>1</v>
      </c>
      <c r="E13" s="1">
        <v>1</v>
      </c>
      <c r="F13" s="1">
        <v>1</v>
      </c>
      <c r="G13" s="1" t="b">
        <f t="shared" si="0"/>
        <v>1</v>
      </c>
      <c r="H13" s="1" t="b">
        <f t="shared" si="1"/>
        <v>1</v>
      </c>
      <c r="I13" s="1" t="b">
        <f t="shared" si="2"/>
        <v>1</v>
      </c>
      <c r="J13" s="1" t="b">
        <f t="shared" si="3"/>
        <v>1</v>
      </c>
      <c r="K13" s="1" t="b">
        <f t="shared" si="4"/>
        <v>1</v>
      </c>
    </row>
    <row r="14" spans="1:11" ht="15.75" customHeight="1">
      <c r="A14" s="1" t="s">
        <v>287</v>
      </c>
      <c r="B14" s="1"/>
      <c r="C14" s="1">
        <v>4</v>
      </c>
      <c r="D14" s="1">
        <v>0</v>
      </c>
      <c r="E14" s="1">
        <v>0</v>
      </c>
      <c r="F14" s="1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288</v>
      </c>
      <c r="B15" s="1"/>
      <c r="C15" s="1">
        <v>3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289</v>
      </c>
      <c r="B16" s="1"/>
      <c r="C16" s="1">
        <v>7</v>
      </c>
      <c r="D16" s="1">
        <v>6</v>
      </c>
      <c r="E16" s="1">
        <v>6</v>
      </c>
      <c r="F16" s="1">
        <v>3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0</v>
      </c>
    </row>
    <row r="17" spans="1:11" ht="15.75" customHeight="1">
      <c r="A17" s="1" t="s">
        <v>290</v>
      </c>
      <c r="B17" s="1"/>
      <c r="C17" s="1">
        <v>7</v>
      </c>
      <c r="D17" s="1">
        <v>3</v>
      </c>
      <c r="E17" s="1">
        <v>3</v>
      </c>
      <c r="F17" s="1">
        <v>3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1" ht="15.75" customHeight="1">
      <c r="A18" s="1" t="s">
        <v>291</v>
      </c>
      <c r="B18" s="1"/>
      <c r="C18" s="1">
        <v>5</v>
      </c>
      <c r="D18" s="1">
        <v>1</v>
      </c>
      <c r="E18" s="1">
        <v>1</v>
      </c>
      <c r="F18" s="1">
        <v>1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1" ht="15.75" customHeight="1">
      <c r="A19" s="1" t="s">
        <v>292</v>
      </c>
      <c r="B19" s="1"/>
      <c r="C19" s="1">
        <v>9</v>
      </c>
      <c r="D19" s="1">
        <v>3</v>
      </c>
      <c r="E19" s="1">
        <v>3</v>
      </c>
      <c r="F19" s="1">
        <v>3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1</v>
      </c>
      <c r="K19" s="1" t="b">
        <f t="shared" si="4"/>
        <v>1</v>
      </c>
    </row>
    <row r="20" spans="1:11" ht="15.75" customHeight="1">
      <c r="A20" s="1" t="s">
        <v>293</v>
      </c>
      <c r="B20" s="1"/>
      <c r="C20" s="1">
        <v>5</v>
      </c>
      <c r="D20" s="1">
        <v>4</v>
      </c>
      <c r="E20" s="1">
        <v>4</v>
      </c>
      <c r="F20" s="1">
        <v>4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1</v>
      </c>
      <c r="K20" s="1" t="b">
        <f t="shared" si="4"/>
        <v>1</v>
      </c>
    </row>
    <row r="21" spans="1:11" ht="15.75" customHeight="1">
      <c r="A21" s="1" t="s">
        <v>294</v>
      </c>
      <c r="B21" s="1"/>
      <c r="C21" s="1">
        <v>4</v>
      </c>
      <c r="D21" s="1">
        <v>2</v>
      </c>
      <c r="E21" s="1">
        <v>2</v>
      </c>
      <c r="F21" s="1">
        <v>2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1</v>
      </c>
      <c r="K21" s="1" t="b">
        <f t="shared" si="4"/>
        <v>1</v>
      </c>
    </row>
    <row r="22" spans="1:11" ht="15.75" customHeight="1">
      <c r="A22" s="1" t="s">
        <v>295</v>
      </c>
      <c r="B22" s="1"/>
      <c r="C22" s="1">
        <v>6</v>
      </c>
      <c r="D22" s="1">
        <v>2</v>
      </c>
      <c r="E22" s="1">
        <v>2</v>
      </c>
      <c r="F22" s="1">
        <v>2</v>
      </c>
      <c r="G22" s="1" t="b">
        <f t="shared" si="0"/>
        <v>1</v>
      </c>
      <c r="H22" s="1" t="b">
        <f t="shared" si="1"/>
        <v>1</v>
      </c>
      <c r="I22" s="1" t="b">
        <f t="shared" si="2"/>
        <v>1</v>
      </c>
      <c r="J22" s="1" t="b">
        <f t="shared" si="3"/>
        <v>1</v>
      </c>
      <c r="K22" s="1" t="b">
        <f t="shared" si="4"/>
        <v>1</v>
      </c>
    </row>
    <row r="23" spans="1:11" ht="15.75" customHeight="1">
      <c r="A23" s="1" t="s">
        <v>296</v>
      </c>
      <c r="B23" s="1"/>
      <c r="C23" s="1">
        <v>4</v>
      </c>
      <c r="D23" s="1">
        <v>3</v>
      </c>
      <c r="E23" s="1">
        <v>0</v>
      </c>
      <c r="F23" s="1">
        <v>0</v>
      </c>
      <c r="G23" s="1" t="b">
        <f t="shared" si="0"/>
        <v>1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1" t="s">
        <v>297</v>
      </c>
      <c r="B24" s="1"/>
      <c r="C24" s="1">
        <v>10</v>
      </c>
      <c r="D24" s="1">
        <v>3</v>
      </c>
      <c r="E24" s="1">
        <v>3</v>
      </c>
      <c r="F24" s="1">
        <v>3</v>
      </c>
      <c r="G24" s="1" t="b">
        <f t="shared" si="0"/>
        <v>1</v>
      </c>
      <c r="H24" s="1" t="b">
        <f t="shared" si="1"/>
        <v>1</v>
      </c>
      <c r="I24" s="1" t="b">
        <f t="shared" si="2"/>
        <v>1</v>
      </c>
      <c r="J24" s="1" t="b">
        <f t="shared" si="3"/>
        <v>1</v>
      </c>
      <c r="K24" s="1" t="b">
        <f t="shared" si="4"/>
        <v>1</v>
      </c>
    </row>
    <row r="25" spans="1:11" ht="15.75" customHeight="1">
      <c r="A25" s="1" t="s">
        <v>298</v>
      </c>
      <c r="B25" s="1"/>
      <c r="C25" s="1">
        <v>4</v>
      </c>
      <c r="D25" s="1">
        <v>4</v>
      </c>
      <c r="E25" s="1">
        <v>4</v>
      </c>
      <c r="F25" s="1">
        <v>4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1" ht="15.75" customHeight="1">
      <c r="A26" s="1" t="s">
        <v>299</v>
      </c>
      <c r="B26" s="1"/>
      <c r="C26" s="1">
        <v>7</v>
      </c>
      <c r="D26" s="1">
        <v>4</v>
      </c>
      <c r="E26" s="1">
        <v>4</v>
      </c>
      <c r="F26" s="1">
        <v>0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0</v>
      </c>
      <c r="K26" s="1" t="b">
        <f t="shared" si="4"/>
        <v>0</v>
      </c>
    </row>
    <row r="27" spans="1:11" ht="15.75" customHeight="1">
      <c r="A27" s="1" t="s">
        <v>300</v>
      </c>
      <c r="B27" s="1"/>
      <c r="C27" s="1">
        <v>6</v>
      </c>
      <c r="D27" s="1">
        <v>1</v>
      </c>
      <c r="E27" s="1">
        <v>0</v>
      </c>
      <c r="F27" s="1">
        <v>0</v>
      </c>
      <c r="G27" s="1" t="b">
        <f t="shared" si="0"/>
        <v>1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1" t="s">
        <v>301</v>
      </c>
      <c r="B28" s="1"/>
      <c r="C28" s="1">
        <v>4</v>
      </c>
      <c r="D28" s="1">
        <v>0</v>
      </c>
      <c r="E28" s="1">
        <v>0</v>
      </c>
      <c r="F28" s="1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1" t="s">
        <v>302</v>
      </c>
      <c r="B29" s="1"/>
      <c r="C29" s="1">
        <v>5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1" t="s">
        <v>303</v>
      </c>
      <c r="B30" s="1"/>
      <c r="C30" s="1">
        <v>11</v>
      </c>
      <c r="D30" s="1">
        <v>3</v>
      </c>
      <c r="E30" s="1">
        <v>0</v>
      </c>
      <c r="F30" s="1">
        <v>0</v>
      </c>
      <c r="G30" s="1" t="b">
        <f t="shared" si="0"/>
        <v>1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1" t="s">
        <v>304</v>
      </c>
      <c r="B31" s="1"/>
      <c r="C31" s="1">
        <v>6</v>
      </c>
      <c r="D31" s="1">
        <v>0</v>
      </c>
      <c r="E31" s="1">
        <v>0</v>
      </c>
      <c r="F31" s="1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1" t="s">
        <v>305</v>
      </c>
      <c r="B32" s="1"/>
      <c r="C32" s="1">
        <v>8</v>
      </c>
      <c r="D32" s="1">
        <v>5</v>
      </c>
      <c r="E32" s="1">
        <v>5</v>
      </c>
      <c r="F32" s="1">
        <v>5</v>
      </c>
      <c r="G32" s="1" t="b">
        <f t="shared" si="0"/>
        <v>1</v>
      </c>
      <c r="H32" s="1" t="b">
        <f t="shared" si="1"/>
        <v>1</v>
      </c>
      <c r="I32" s="1" t="b">
        <f t="shared" si="2"/>
        <v>1</v>
      </c>
      <c r="J32" s="1" t="b">
        <f t="shared" si="3"/>
        <v>1</v>
      </c>
      <c r="K32" s="1" t="b">
        <f t="shared" si="4"/>
        <v>1</v>
      </c>
    </row>
    <row r="33" spans="1:12" ht="15.75" customHeight="1">
      <c r="A33" s="1" t="s">
        <v>306</v>
      </c>
      <c r="B33" s="1"/>
      <c r="C33" s="1">
        <v>1</v>
      </c>
      <c r="D33" s="1">
        <v>0</v>
      </c>
      <c r="E33" s="1">
        <v>0</v>
      </c>
      <c r="F33" s="1">
        <v>0</v>
      </c>
      <c r="G33" s="1" t="b">
        <f t="shared" si="0"/>
        <v>0</v>
      </c>
      <c r="H33" s="1" t="b">
        <f t="shared" si="1"/>
        <v>0</v>
      </c>
      <c r="I33" s="1" t="b">
        <f t="shared" si="2"/>
        <v>0</v>
      </c>
      <c r="J33" s="1" t="b">
        <f t="shared" si="3"/>
        <v>0</v>
      </c>
      <c r="K33" s="1" t="b">
        <f t="shared" si="4"/>
        <v>0</v>
      </c>
    </row>
    <row r="34" spans="1:12" ht="15.75" customHeight="1">
      <c r="A34" s="1" t="s">
        <v>307</v>
      </c>
      <c r="B34" s="1"/>
      <c r="C34" s="1">
        <v>1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 t="s">
        <v>165</v>
      </c>
    </row>
    <row r="35" spans="1:12" ht="15.75" customHeight="1">
      <c r="B35" s="1" t="s">
        <v>64</v>
      </c>
      <c r="C35" s="1">
        <f t="shared" ref="C35:F35" si="5">SUM(C2:C34)</f>
        <v>172</v>
      </c>
      <c r="D35" s="1">
        <f t="shared" si="5"/>
        <v>51</v>
      </c>
      <c r="E35" s="1">
        <f t="shared" si="5"/>
        <v>40</v>
      </c>
      <c r="F35" s="1">
        <f t="shared" si="5"/>
        <v>33</v>
      </c>
      <c r="G35" s="1">
        <f t="shared" ref="G35:K35" si="6">COUNTIF(G3:G34,"TRUE")</f>
        <v>19</v>
      </c>
      <c r="H35" s="1">
        <f t="shared" si="6"/>
        <v>14</v>
      </c>
      <c r="I35" s="1">
        <f t="shared" si="6"/>
        <v>14</v>
      </c>
      <c r="J35" s="1">
        <f t="shared" si="6"/>
        <v>13</v>
      </c>
      <c r="K35" s="1">
        <f t="shared" si="6"/>
        <v>12</v>
      </c>
      <c r="L35" s="5">
        <f>COUNTA(E3:E34)</f>
        <v>32</v>
      </c>
    </row>
    <row r="36" spans="1:12" ht="15.75" customHeight="1">
      <c r="E36" s="1" t="s">
        <v>2</v>
      </c>
      <c r="F36" s="2"/>
      <c r="G36" s="2">
        <f>G35/L35</f>
        <v>0.59375</v>
      </c>
      <c r="H36" s="2">
        <f>H35/L35</f>
        <v>0.4375</v>
      </c>
      <c r="I36" s="2">
        <f>I35/L35</f>
        <v>0.4375</v>
      </c>
      <c r="J36" s="2">
        <f>J35/L35</f>
        <v>0.40625</v>
      </c>
      <c r="K36" s="2">
        <f>K35/L35</f>
        <v>0.375</v>
      </c>
    </row>
    <row r="37" spans="1:12" ht="15.75" customHeight="1">
      <c r="E37" s="1" t="s">
        <v>65</v>
      </c>
      <c r="F37" s="2"/>
      <c r="G37" s="2"/>
      <c r="H37" s="2">
        <f>H35/G35</f>
        <v>0.73684210526315785</v>
      </c>
      <c r="I37" s="2">
        <f>I35/G35</f>
        <v>0.73684210526315785</v>
      </c>
      <c r="J37" s="2">
        <f>J35/G35</f>
        <v>0.68421052631578949</v>
      </c>
      <c r="K37" s="2">
        <f>K35/G35</f>
        <v>0.63157894736842102</v>
      </c>
    </row>
    <row r="38" spans="1:12" ht="15.75" customHeight="1">
      <c r="E38" s="1" t="s">
        <v>66</v>
      </c>
      <c r="F38" s="2"/>
      <c r="G38" s="2">
        <f>E35/C35</f>
        <v>0.23255813953488372</v>
      </c>
      <c r="H38" s="2">
        <f>E35/D35</f>
        <v>0.78431372549019607</v>
      </c>
    </row>
  </sheetData>
  <hyperlinks>
    <hyperlink ref="E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49"/>
  <sheetViews>
    <sheetView topLeftCell="A8" workbookViewId="0">
      <selection activeCell="L32" sqref="L32:L45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308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1" t="s">
        <v>309</v>
      </c>
      <c r="B3" s="1"/>
      <c r="C3" s="1">
        <v>4</v>
      </c>
      <c r="D3" s="1">
        <v>0</v>
      </c>
      <c r="E3" s="1">
        <v>0</v>
      </c>
      <c r="F3" s="1">
        <v>0</v>
      </c>
      <c r="G3" s="1" t="b">
        <f>(D3&gt;0)</f>
        <v>0</v>
      </c>
      <c r="H3" s="1" t="b">
        <f>(E3&gt;0)</f>
        <v>0</v>
      </c>
      <c r="I3" s="1" t="b">
        <f>AND(G3,(D3=E3))</f>
        <v>0</v>
      </c>
      <c r="J3" s="1" t="b">
        <f>(F3&gt;0)</f>
        <v>0</v>
      </c>
      <c r="K3" s="1" t="b">
        <f>AND(I3,(E3=F3))</f>
        <v>0</v>
      </c>
    </row>
    <row r="4" spans="1:11" ht="15.75" customHeight="1">
      <c r="A4" s="1" t="s">
        <v>310</v>
      </c>
      <c r="B4" s="1"/>
      <c r="C4" s="1">
        <v>4</v>
      </c>
      <c r="D4" s="1">
        <v>1</v>
      </c>
      <c r="E4" s="1">
        <v>1</v>
      </c>
      <c r="F4" s="1">
        <v>1</v>
      </c>
      <c r="G4" s="1" t="b">
        <f t="shared" ref="G4:G45" si="0">(D4&gt;0)</f>
        <v>1</v>
      </c>
      <c r="H4" s="1" t="b">
        <f t="shared" ref="H4:H45" si="1">(E4&gt;0)</f>
        <v>1</v>
      </c>
      <c r="I4" s="1" t="b">
        <f t="shared" ref="I4:I45" si="2">AND(G4,(D4=E4))</f>
        <v>1</v>
      </c>
      <c r="J4" s="1" t="b">
        <f t="shared" ref="J4:J45" si="3">(F4&gt;0)</f>
        <v>1</v>
      </c>
      <c r="K4" s="1" t="b">
        <f t="shared" ref="K4:K45" si="4">AND(I4,(E4=F4))</f>
        <v>1</v>
      </c>
    </row>
    <row r="5" spans="1:11" ht="15.75" customHeight="1">
      <c r="A5" s="1" t="s">
        <v>311</v>
      </c>
      <c r="B5" s="1"/>
      <c r="C5" s="1">
        <v>2</v>
      </c>
      <c r="D5" s="1">
        <v>0</v>
      </c>
      <c r="E5" s="1">
        <v>0</v>
      </c>
      <c r="F5" s="1">
        <v>0</v>
      </c>
      <c r="G5" s="1" t="b">
        <f t="shared" si="0"/>
        <v>0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1" t="s">
        <v>312</v>
      </c>
      <c r="B6" s="1"/>
      <c r="C6" s="1">
        <v>5</v>
      </c>
      <c r="D6" s="1">
        <v>3</v>
      </c>
      <c r="E6" s="1">
        <v>3</v>
      </c>
      <c r="F6" s="1">
        <v>3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1</v>
      </c>
      <c r="K6" s="1" t="b">
        <f t="shared" si="4"/>
        <v>1</v>
      </c>
    </row>
    <row r="7" spans="1:11" ht="15.75" customHeight="1">
      <c r="A7" s="1" t="s">
        <v>313</v>
      </c>
      <c r="B7" s="1"/>
      <c r="C7" s="1">
        <v>1</v>
      </c>
      <c r="D7" s="1">
        <v>0</v>
      </c>
      <c r="E7" s="1">
        <v>0</v>
      </c>
      <c r="F7" s="1">
        <v>0</v>
      </c>
      <c r="G7" s="1" t="b">
        <f t="shared" si="0"/>
        <v>0</v>
      </c>
      <c r="H7" s="1" t="b">
        <f t="shared" si="1"/>
        <v>0</v>
      </c>
      <c r="I7" s="1" t="b">
        <f t="shared" si="2"/>
        <v>0</v>
      </c>
      <c r="J7" s="1" t="b">
        <f t="shared" si="3"/>
        <v>0</v>
      </c>
      <c r="K7" s="1" t="b">
        <f t="shared" si="4"/>
        <v>0</v>
      </c>
    </row>
    <row r="8" spans="1:11" ht="15.75" customHeight="1">
      <c r="A8" s="1" t="s">
        <v>314</v>
      </c>
      <c r="B8" s="1"/>
      <c r="C8" s="1">
        <v>6</v>
      </c>
      <c r="D8" s="1">
        <v>0</v>
      </c>
      <c r="E8" s="1">
        <v>0</v>
      </c>
      <c r="F8" s="1">
        <v>0</v>
      </c>
      <c r="G8" s="1" t="b">
        <f t="shared" si="0"/>
        <v>0</v>
      </c>
      <c r="H8" s="1" t="b">
        <f t="shared" si="1"/>
        <v>0</v>
      </c>
      <c r="I8" s="1" t="b">
        <f t="shared" si="2"/>
        <v>0</v>
      </c>
      <c r="J8" s="1" t="b">
        <f t="shared" si="3"/>
        <v>0</v>
      </c>
      <c r="K8" s="1" t="b">
        <f t="shared" si="4"/>
        <v>0</v>
      </c>
    </row>
    <row r="9" spans="1:11" ht="15.75" customHeight="1">
      <c r="A9" s="1" t="s">
        <v>315</v>
      </c>
      <c r="B9" s="1"/>
      <c r="C9" s="1">
        <v>2</v>
      </c>
      <c r="D9" s="1">
        <v>0</v>
      </c>
      <c r="E9" s="1">
        <v>0</v>
      </c>
      <c r="F9" s="1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1" t="s">
        <v>316</v>
      </c>
      <c r="B10" s="1"/>
      <c r="C10" s="1">
        <v>3</v>
      </c>
      <c r="D10" s="1">
        <v>2</v>
      </c>
      <c r="E10" s="1">
        <v>2</v>
      </c>
      <c r="F10" s="1">
        <v>2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1" t="s">
        <v>317</v>
      </c>
      <c r="B11" s="1"/>
      <c r="C11" s="1">
        <v>3</v>
      </c>
      <c r="D11" s="1">
        <v>2</v>
      </c>
      <c r="E11" s="1">
        <v>2</v>
      </c>
      <c r="F11" s="1">
        <v>0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0</v>
      </c>
      <c r="K11" s="1" t="b">
        <f t="shared" si="4"/>
        <v>0</v>
      </c>
    </row>
    <row r="12" spans="1:11" ht="15.75" customHeight="1">
      <c r="A12" s="1" t="s">
        <v>318</v>
      </c>
      <c r="B12" s="1"/>
      <c r="C12" s="1">
        <v>4</v>
      </c>
      <c r="D12" s="1">
        <v>1</v>
      </c>
      <c r="E12" s="1">
        <v>1</v>
      </c>
      <c r="F12" s="1">
        <v>0</v>
      </c>
      <c r="G12" s="1" t="b">
        <f t="shared" si="0"/>
        <v>1</v>
      </c>
      <c r="H12" s="1" t="b">
        <f t="shared" si="1"/>
        <v>1</v>
      </c>
      <c r="I12" s="1" t="b">
        <f t="shared" si="2"/>
        <v>1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1" t="s">
        <v>319</v>
      </c>
      <c r="B13" s="1"/>
      <c r="C13" s="1">
        <v>6</v>
      </c>
      <c r="D13" s="1">
        <v>0</v>
      </c>
      <c r="E13" s="1">
        <v>0</v>
      </c>
      <c r="F13" s="1">
        <v>0</v>
      </c>
      <c r="G13" s="1" t="b">
        <f t="shared" si="0"/>
        <v>0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1" t="s">
        <v>320</v>
      </c>
      <c r="B14" s="1"/>
      <c r="C14" s="1">
        <v>5</v>
      </c>
      <c r="D14" s="1">
        <v>2</v>
      </c>
      <c r="E14" s="1">
        <v>0</v>
      </c>
      <c r="F14" s="1">
        <v>0</v>
      </c>
      <c r="G14" s="1" t="b">
        <f t="shared" si="0"/>
        <v>1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1" t="s">
        <v>321</v>
      </c>
      <c r="B15" s="1"/>
      <c r="C15" s="1">
        <v>5</v>
      </c>
      <c r="D15" s="1">
        <v>0</v>
      </c>
      <c r="E15" s="1">
        <v>0</v>
      </c>
      <c r="F15" s="1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1" t="s">
        <v>322</v>
      </c>
      <c r="B16" s="1"/>
      <c r="C16" s="1">
        <v>2</v>
      </c>
      <c r="D16" s="1">
        <v>2</v>
      </c>
      <c r="E16" s="1">
        <v>2</v>
      </c>
      <c r="F16" s="1">
        <v>2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1</v>
      </c>
      <c r="K16" s="1" t="b">
        <f t="shared" si="4"/>
        <v>1</v>
      </c>
    </row>
    <row r="17" spans="1:12" ht="15.75" customHeight="1">
      <c r="A17" s="1" t="s">
        <v>323</v>
      </c>
      <c r="B17" s="1"/>
      <c r="C17" s="1">
        <v>8</v>
      </c>
      <c r="D17" s="1">
        <v>1</v>
      </c>
      <c r="E17" s="1">
        <v>1</v>
      </c>
      <c r="F17" s="1">
        <v>1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1</v>
      </c>
      <c r="K17" s="1" t="b">
        <f t="shared" si="4"/>
        <v>1</v>
      </c>
    </row>
    <row r="18" spans="1:12" ht="15.75" customHeight="1">
      <c r="A18" s="1" t="s">
        <v>324</v>
      </c>
      <c r="B18" s="1"/>
      <c r="C18" s="1">
        <v>8</v>
      </c>
      <c r="D18" s="1">
        <v>2</v>
      </c>
      <c r="E18" s="1">
        <v>2</v>
      </c>
      <c r="F18" s="1">
        <v>2</v>
      </c>
      <c r="G18" s="1" t="b">
        <f t="shared" si="0"/>
        <v>1</v>
      </c>
      <c r="H18" s="1" t="b">
        <f t="shared" si="1"/>
        <v>1</v>
      </c>
      <c r="I18" s="1" t="b">
        <f t="shared" si="2"/>
        <v>1</v>
      </c>
      <c r="J18" s="1" t="b">
        <f t="shared" si="3"/>
        <v>1</v>
      </c>
      <c r="K18" s="1" t="b">
        <f t="shared" si="4"/>
        <v>1</v>
      </c>
    </row>
    <row r="19" spans="1:12" ht="15.75" customHeight="1">
      <c r="A19" s="1" t="s">
        <v>325</v>
      </c>
      <c r="B19" s="1"/>
      <c r="C19" s="1">
        <v>7</v>
      </c>
      <c r="D19" s="1">
        <v>1</v>
      </c>
      <c r="E19" s="1">
        <v>1</v>
      </c>
      <c r="F19" s="1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1</v>
      </c>
      <c r="J19" s="1" t="b">
        <f t="shared" si="3"/>
        <v>0</v>
      </c>
      <c r="K19" s="1" t="b">
        <f t="shared" si="4"/>
        <v>0</v>
      </c>
    </row>
    <row r="20" spans="1:12" ht="15.75" customHeight="1">
      <c r="A20" s="1" t="s">
        <v>326</v>
      </c>
      <c r="B20" s="1"/>
      <c r="C20" s="1">
        <v>4</v>
      </c>
      <c r="D20" s="1">
        <v>2</v>
      </c>
      <c r="E20" s="1">
        <v>2</v>
      </c>
      <c r="F20" s="1">
        <v>0</v>
      </c>
      <c r="G20" s="1" t="b">
        <f t="shared" si="0"/>
        <v>1</v>
      </c>
      <c r="H20" s="1" t="b">
        <f t="shared" si="1"/>
        <v>1</v>
      </c>
      <c r="I20" s="1" t="b">
        <f t="shared" si="2"/>
        <v>1</v>
      </c>
      <c r="J20" s="1" t="b">
        <f t="shared" si="3"/>
        <v>0</v>
      </c>
      <c r="K20" s="1" t="b">
        <f t="shared" si="4"/>
        <v>0</v>
      </c>
    </row>
    <row r="21" spans="1:12" ht="15.75" customHeight="1">
      <c r="A21" s="1" t="s">
        <v>327</v>
      </c>
      <c r="B21" s="1"/>
      <c r="C21" s="1">
        <v>5</v>
      </c>
      <c r="D21" s="1">
        <v>0</v>
      </c>
      <c r="E21" s="1">
        <v>0</v>
      </c>
      <c r="F21" s="1">
        <v>0</v>
      </c>
      <c r="G21" s="1" t="b">
        <f t="shared" si="0"/>
        <v>0</v>
      </c>
      <c r="H21" s="1" t="b">
        <f t="shared" si="1"/>
        <v>0</v>
      </c>
      <c r="I21" s="1" t="b">
        <f t="shared" si="2"/>
        <v>0</v>
      </c>
      <c r="J21" s="1" t="b">
        <f t="shared" si="3"/>
        <v>0</v>
      </c>
      <c r="K21" s="1" t="b">
        <f t="shared" si="4"/>
        <v>0</v>
      </c>
    </row>
    <row r="22" spans="1:12" ht="15.75" customHeight="1">
      <c r="A22" s="1" t="s">
        <v>328</v>
      </c>
      <c r="B22" s="1"/>
      <c r="C22" s="1">
        <v>3</v>
      </c>
      <c r="D22" s="1">
        <v>0</v>
      </c>
      <c r="E22" s="1">
        <v>0</v>
      </c>
      <c r="F22" s="1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2" ht="15.75" customHeight="1">
      <c r="A23" s="1" t="s">
        <v>329</v>
      </c>
      <c r="B23" s="1"/>
      <c r="C23" s="1">
        <v>5</v>
      </c>
      <c r="D23" s="1">
        <v>3</v>
      </c>
      <c r="E23" s="1">
        <v>3</v>
      </c>
      <c r="F23" s="1">
        <v>3</v>
      </c>
      <c r="G23" s="1" t="b">
        <f t="shared" si="0"/>
        <v>1</v>
      </c>
      <c r="H23" s="1" t="b">
        <f t="shared" si="1"/>
        <v>1</v>
      </c>
      <c r="I23" s="1" t="b">
        <f t="shared" si="2"/>
        <v>1</v>
      </c>
      <c r="J23" s="1" t="b">
        <f t="shared" si="3"/>
        <v>1</v>
      </c>
      <c r="K23" s="1" t="b">
        <f t="shared" si="4"/>
        <v>1</v>
      </c>
    </row>
    <row r="24" spans="1:12" ht="15.75" customHeight="1">
      <c r="A24" s="1" t="s">
        <v>330</v>
      </c>
      <c r="B24" s="1"/>
      <c r="C24" s="1">
        <v>8</v>
      </c>
      <c r="D24" s="1">
        <v>0</v>
      </c>
      <c r="E24" s="1">
        <v>0</v>
      </c>
      <c r="F24" s="1">
        <v>0</v>
      </c>
      <c r="G24" s="1" t="b">
        <f t="shared" si="0"/>
        <v>0</v>
      </c>
      <c r="H24" s="1" t="b">
        <f t="shared" si="1"/>
        <v>0</v>
      </c>
      <c r="I24" s="1" t="b">
        <f t="shared" si="2"/>
        <v>0</v>
      </c>
      <c r="J24" s="1" t="b">
        <f t="shared" si="3"/>
        <v>0</v>
      </c>
      <c r="K24" s="1" t="b">
        <f t="shared" si="4"/>
        <v>0</v>
      </c>
    </row>
    <row r="25" spans="1:12" ht="15.75" customHeight="1">
      <c r="A25" s="1" t="s">
        <v>331</v>
      </c>
      <c r="B25" s="1"/>
      <c r="C25" s="1">
        <v>7</v>
      </c>
      <c r="D25" s="1">
        <v>1</v>
      </c>
      <c r="E25" s="1">
        <v>1</v>
      </c>
      <c r="F25" s="1">
        <v>1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1</v>
      </c>
      <c r="K25" s="1" t="b">
        <f t="shared" si="4"/>
        <v>1</v>
      </c>
    </row>
    <row r="26" spans="1:12" ht="15.75" customHeight="1">
      <c r="A26" s="1" t="s">
        <v>332</v>
      </c>
      <c r="B26" s="1"/>
      <c r="C26" s="1">
        <v>8</v>
      </c>
      <c r="D26" s="1">
        <v>0</v>
      </c>
      <c r="E26" s="1">
        <v>0</v>
      </c>
      <c r="F26" s="1">
        <v>0</v>
      </c>
      <c r="G26" s="1" t="b">
        <f t="shared" si="0"/>
        <v>0</v>
      </c>
      <c r="H26" s="1" t="b">
        <f t="shared" si="1"/>
        <v>0</v>
      </c>
      <c r="I26" s="1" t="b">
        <f t="shared" si="2"/>
        <v>0</v>
      </c>
      <c r="J26" s="1" t="b">
        <f t="shared" si="3"/>
        <v>0</v>
      </c>
      <c r="K26" s="1" t="b">
        <f t="shared" si="4"/>
        <v>0</v>
      </c>
    </row>
    <row r="27" spans="1:12" ht="15.75" customHeight="1">
      <c r="A27" s="1" t="s">
        <v>333</v>
      </c>
      <c r="B27" s="1"/>
      <c r="C27" s="1">
        <v>9</v>
      </c>
      <c r="D27" s="1">
        <v>2</v>
      </c>
      <c r="E27" s="1">
        <v>2</v>
      </c>
      <c r="F27" s="1">
        <v>2</v>
      </c>
      <c r="G27" s="1" t="b">
        <f t="shared" si="0"/>
        <v>1</v>
      </c>
      <c r="H27" s="1" t="b">
        <f t="shared" si="1"/>
        <v>1</v>
      </c>
      <c r="I27" s="1" t="b">
        <f t="shared" si="2"/>
        <v>1</v>
      </c>
      <c r="J27" s="1" t="b">
        <f t="shared" si="3"/>
        <v>1</v>
      </c>
      <c r="K27" s="1" t="b">
        <f t="shared" si="4"/>
        <v>1</v>
      </c>
    </row>
    <row r="28" spans="1:12" ht="15.75" customHeight="1">
      <c r="A28" s="1" t="s">
        <v>334</v>
      </c>
      <c r="B28" s="1"/>
      <c r="C28" s="1">
        <v>4</v>
      </c>
      <c r="D28" s="1">
        <v>3</v>
      </c>
      <c r="E28" s="1">
        <v>3</v>
      </c>
      <c r="F28" s="1">
        <v>3</v>
      </c>
      <c r="G28" s="1" t="b">
        <f t="shared" si="0"/>
        <v>1</v>
      </c>
      <c r="H28" s="1" t="b">
        <f t="shared" si="1"/>
        <v>1</v>
      </c>
      <c r="I28" s="1" t="b">
        <f t="shared" si="2"/>
        <v>1</v>
      </c>
      <c r="J28" s="1" t="b">
        <f t="shared" si="3"/>
        <v>1</v>
      </c>
      <c r="K28" s="1" t="b">
        <f t="shared" si="4"/>
        <v>1</v>
      </c>
    </row>
    <row r="29" spans="1:12" ht="15.75" customHeight="1">
      <c r="A29" s="1" t="s">
        <v>335</v>
      </c>
      <c r="B29" s="1"/>
      <c r="C29" s="1">
        <v>8</v>
      </c>
      <c r="D29" s="1">
        <v>0</v>
      </c>
      <c r="E29" s="1">
        <v>0</v>
      </c>
      <c r="F29" s="1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2" ht="15.75" customHeight="1">
      <c r="A30" s="1" t="s">
        <v>336</v>
      </c>
      <c r="B30" s="1"/>
      <c r="C30" s="1">
        <v>4</v>
      </c>
      <c r="D30" s="1">
        <v>0</v>
      </c>
      <c r="E30" s="1">
        <v>0</v>
      </c>
      <c r="F30" s="1">
        <v>0</v>
      </c>
      <c r="G30" s="1" t="b">
        <f t="shared" si="0"/>
        <v>0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2" ht="15.75" customHeight="1">
      <c r="A31" s="1" t="s">
        <v>337</v>
      </c>
      <c r="B31" s="1"/>
      <c r="C31" s="1">
        <v>5</v>
      </c>
      <c r="D31" s="1">
        <v>4</v>
      </c>
      <c r="E31" s="1">
        <v>4</v>
      </c>
      <c r="F31" s="1">
        <v>4</v>
      </c>
      <c r="G31" s="1" t="b">
        <f t="shared" si="0"/>
        <v>1</v>
      </c>
      <c r="H31" s="1" t="b">
        <f t="shared" si="1"/>
        <v>1</v>
      </c>
      <c r="I31" s="1" t="b">
        <f t="shared" si="2"/>
        <v>1</v>
      </c>
      <c r="J31" s="1" t="b">
        <f t="shared" si="3"/>
        <v>1</v>
      </c>
      <c r="K31" s="1" t="b">
        <f t="shared" si="4"/>
        <v>1</v>
      </c>
    </row>
    <row r="32" spans="1:12" ht="15.75" customHeight="1">
      <c r="A32" s="1" t="s">
        <v>338</v>
      </c>
      <c r="B32" s="1"/>
      <c r="C32" s="1">
        <v>5</v>
      </c>
      <c r="D32" s="1">
        <v>4</v>
      </c>
      <c r="E32" s="1">
        <v>1</v>
      </c>
      <c r="F32" s="1">
        <v>1</v>
      </c>
      <c r="G32" s="1" t="b">
        <f t="shared" si="0"/>
        <v>1</v>
      </c>
      <c r="H32" s="1" t="b">
        <f t="shared" si="1"/>
        <v>1</v>
      </c>
      <c r="I32" s="1" t="b">
        <f t="shared" si="2"/>
        <v>0</v>
      </c>
      <c r="J32" s="1" t="b">
        <f t="shared" si="3"/>
        <v>1</v>
      </c>
      <c r="K32" s="1" t="b">
        <f t="shared" si="4"/>
        <v>0</v>
      </c>
      <c r="L32" s="1"/>
    </row>
    <row r="33" spans="1:12" ht="15.75" customHeight="1">
      <c r="A33" s="1" t="s">
        <v>339</v>
      </c>
      <c r="B33" s="1"/>
      <c r="C33" s="1">
        <v>4</v>
      </c>
      <c r="D33" s="1">
        <v>1</v>
      </c>
      <c r="E33" s="1">
        <v>1</v>
      </c>
      <c r="F33" s="1">
        <v>0</v>
      </c>
      <c r="G33" s="1" t="b">
        <f t="shared" si="0"/>
        <v>1</v>
      </c>
      <c r="H33" s="1" t="b">
        <f t="shared" si="1"/>
        <v>1</v>
      </c>
      <c r="I33" s="1" t="b">
        <f t="shared" si="2"/>
        <v>1</v>
      </c>
      <c r="J33" s="1" t="b">
        <f t="shared" si="3"/>
        <v>0</v>
      </c>
      <c r="K33" s="1" t="b">
        <f t="shared" si="4"/>
        <v>0</v>
      </c>
      <c r="L33" s="1"/>
    </row>
    <row r="34" spans="1:12" ht="15.75" customHeight="1">
      <c r="A34" s="1" t="s">
        <v>340</v>
      </c>
      <c r="B34" s="1"/>
      <c r="C34" s="1">
        <v>6</v>
      </c>
      <c r="D34" s="1">
        <v>0</v>
      </c>
      <c r="E34" s="1">
        <v>0</v>
      </c>
      <c r="F34" s="1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/>
    </row>
    <row r="35" spans="1:12" ht="15.75" customHeight="1">
      <c r="A35" s="1" t="s">
        <v>341</v>
      </c>
      <c r="B35" s="1"/>
      <c r="C35" s="1">
        <v>8</v>
      </c>
      <c r="D35" s="1">
        <v>0</v>
      </c>
      <c r="E35" s="1">
        <v>0</v>
      </c>
      <c r="F35" s="1">
        <v>0</v>
      </c>
      <c r="G35" s="1" t="b">
        <f t="shared" si="0"/>
        <v>0</v>
      </c>
      <c r="H35" s="1" t="b">
        <f t="shared" si="1"/>
        <v>0</v>
      </c>
      <c r="I35" s="1" t="b">
        <f t="shared" si="2"/>
        <v>0</v>
      </c>
      <c r="J35" s="1" t="b">
        <f t="shared" si="3"/>
        <v>0</v>
      </c>
      <c r="K35" s="1" t="b">
        <f t="shared" si="4"/>
        <v>0</v>
      </c>
      <c r="L35" s="1"/>
    </row>
    <row r="36" spans="1:12" ht="15.75" customHeight="1">
      <c r="A36" s="1" t="s">
        <v>342</v>
      </c>
      <c r="B36" s="1"/>
      <c r="C36" s="1">
        <v>6</v>
      </c>
      <c r="D36" s="1">
        <v>0</v>
      </c>
      <c r="E36" s="1">
        <v>0</v>
      </c>
      <c r="F36" s="1">
        <v>0</v>
      </c>
      <c r="G36" s="1" t="b">
        <f t="shared" si="0"/>
        <v>0</v>
      </c>
      <c r="H36" s="1" t="b">
        <f t="shared" si="1"/>
        <v>0</v>
      </c>
      <c r="I36" s="1" t="b">
        <f t="shared" si="2"/>
        <v>0</v>
      </c>
      <c r="J36" s="1" t="b">
        <f t="shared" si="3"/>
        <v>0</v>
      </c>
      <c r="K36" s="1" t="b">
        <f t="shared" si="4"/>
        <v>0</v>
      </c>
      <c r="L36" s="1"/>
    </row>
    <row r="37" spans="1:12" ht="15.75" customHeight="1">
      <c r="A37" s="1" t="s">
        <v>343</v>
      </c>
      <c r="B37" s="1"/>
      <c r="C37" s="1">
        <v>6</v>
      </c>
      <c r="D37" s="1">
        <v>0</v>
      </c>
      <c r="E37" s="1">
        <v>0</v>
      </c>
      <c r="F37" s="1">
        <v>0</v>
      </c>
      <c r="G37" s="1" t="b">
        <f t="shared" si="0"/>
        <v>0</v>
      </c>
      <c r="H37" s="1" t="b">
        <f t="shared" si="1"/>
        <v>0</v>
      </c>
      <c r="I37" s="1" t="b">
        <f t="shared" si="2"/>
        <v>0</v>
      </c>
      <c r="J37" s="1" t="b">
        <f t="shared" si="3"/>
        <v>0</v>
      </c>
      <c r="K37" s="1" t="b">
        <f t="shared" si="4"/>
        <v>0</v>
      </c>
      <c r="L37" s="1"/>
    </row>
    <row r="38" spans="1:12" ht="15.75" customHeight="1">
      <c r="A38" s="1" t="s">
        <v>344</v>
      </c>
      <c r="B38" s="1"/>
      <c r="C38" s="1">
        <v>5</v>
      </c>
      <c r="D38" s="1">
        <v>0</v>
      </c>
      <c r="E38" s="1">
        <v>0</v>
      </c>
      <c r="F38" s="1">
        <v>0</v>
      </c>
      <c r="G38" s="1" t="b">
        <f t="shared" si="0"/>
        <v>0</v>
      </c>
      <c r="H38" s="1" t="b">
        <f t="shared" si="1"/>
        <v>0</v>
      </c>
      <c r="I38" s="1" t="b">
        <f t="shared" si="2"/>
        <v>0</v>
      </c>
      <c r="J38" s="1" t="b">
        <f t="shared" si="3"/>
        <v>0</v>
      </c>
      <c r="K38" s="1" t="b">
        <f t="shared" si="4"/>
        <v>0</v>
      </c>
      <c r="L38" s="1"/>
    </row>
    <row r="39" spans="1:12" ht="15.75" customHeight="1">
      <c r="A39" s="1" t="s">
        <v>345</v>
      </c>
      <c r="B39" s="1"/>
      <c r="C39" s="1">
        <v>6</v>
      </c>
      <c r="D39" s="1">
        <v>0</v>
      </c>
      <c r="E39" s="1">
        <v>0</v>
      </c>
      <c r="F39" s="1">
        <v>0</v>
      </c>
      <c r="G39" s="1" t="b">
        <f t="shared" si="0"/>
        <v>0</v>
      </c>
      <c r="H39" s="1" t="b">
        <f t="shared" si="1"/>
        <v>0</v>
      </c>
      <c r="I39" s="1" t="b">
        <f t="shared" si="2"/>
        <v>0</v>
      </c>
      <c r="J39" s="1" t="b">
        <f t="shared" si="3"/>
        <v>0</v>
      </c>
      <c r="K39" s="1" t="b">
        <f t="shared" si="4"/>
        <v>0</v>
      </c>
      <c r="L39" s="1"/>
    </row>
    <row r="40" spans="1:12" ht="15.75" customHeight="1">
      <c r="A40" s="1" t="s">
        <v>346</v>
      </c>
      <c r="B40" s="1"/>
      <c r="C40" s="1">
        <v>5</v>
      </c>
      <c r="D40" s="1">
        <v>1</v>
      </c>
      <c r="E40" s="1">
        <v>1</v>
      </c>
      <c r="F40" s="1">
        <v>1</v>
      </c>
      <c r="G40" s="1" t="b">
        <f t="shared" si="0"/>
        <v>1</v>
      </c>
      <c r="H40" s="1" t="b">
        <f t="shared" si="1"/>
        <v>1</v>
      </c>
      <c r="I40" s="1" t="b">
        <f t="shared" si="2"/>
        <v>1</v>
      </c>
      <c r="J40" s="1" t="b">
        <f t="shared" si="3"/>
        <v>1</v>
      </c>
      <c r="K40" s="1" t="b">
        <f t="shared" si="4"/>
        <v>1</v>
      </c>
      <c r="L40" s="1"/>
    </row>
    <row r="41" spans="1:12" ht="15.75" customHeight="1">
      <c r="A41" s="1" t="s">
        <v>347</v>
      </c>
      <c r="B41" s="1"/>
      <c r="C41" s="1">
        <v>7</v>
      </c>
      <c r="D41" s="1">
        <v>2</v>
      </c>
      <c r="E41" s="1">
        <v>2</v>
      </c>
      <c r="F41" s="1">
        <v>0</v>
      </c>
      <c r="G41" s="1" t="b">
        <f t="shared" si="0"/>
        <v>1</v>
      </c>
      <c r="H41" s="1" t="b">
        <f t="shared" si="1"/>
        <v>1</v>
      </c>
      <c r="I41" s="1" t="b">
        <f t="shared" si="2"/>
        <v>1</v>
      </c>
      <c r="J41" s="1" t="b">
        <f t="shared" si="3"/>
        <v>0</v>
      </c>
      <c r="K41" s="1" t="b">
        <f t="shared" si="4"/>
        <v>0</v>
      </c>
      <c r="L41" s="1"/>
    </row>
    <row r="42" spans="1:12" ht="15.75" customHeight="1">
      <c r="A42" s="1" t="s">
        <v>348</v>
      </c>
      <c r="B42" s="1"/>
      <c r="C42" s="1">
        <v>5</v>
      </c>
      <c r="D42" s="1">
        <v>0</v>
      </c>
      <c r="E42" s="1">
        <v>0</v>
      </c>
      <c r="F42" s="1">
        <v>0</v>
      </c>
      <c r="G42" s="1" t="b">
        <f t="shared" si="0"/>
        <v>0</v>
      </c>
      <c r="H42" s="1" t="b">
        <f t="shared" si="1"/>
        <v>0</v>
      </c>
      <c r="I42" s="1" t="b">
        <f t="shared" si="2"/>
        <v>0</v>
      </c>
      <c r="J42" s="1" t="b">
        <f t="shared" si="3"/>
        <v>0</v>
      </c>
      <c r="K42" s="1" t="b">
        <f t="shared" si="4"/>
        <v>0</v>
      </c>
      <c r="L42" s="1"/>
    </row>
    <row r="43" spans="1:12" ht="15.75" customHeight="1">
      <c r="A43" s="1" t="s">
        <v>349</v>
      </c>
      <c r="B43" s="1"/>
      <c r="C43" s="1">
        <v>2</v>
      </c>
      <c r="D43" s="1">
        <v>1</v>
      </c>
      <c r="E43" s="1">
        <v>1</v>
      </c>
      <c r="F43" s="1">
        <v>1</v>
      </c>
      <c r="G43" s="1" t="b">
        <f t="shared" si="0"/>
        <v>1</v>
      </c>
      <c r="H43" s="1" t="b">
        <f t="shared" si="1"/>
        <v>1</v>
      </c>
      <c r="I43" s="1" t="b">
        <f t="shared" si="2"/>
        <v>1</v>
      </c>
      <c r="J43" s="1" t="b">
        <f t="shared" si="3"/>
        <v>1</v>
      </c>
      <c r="K43" s="1" t="b">
        <f t="shared" si="4"/>
        <v>1</v>
      </c>
      <c r="L43" s="1"/>
    </row>
    <row r="44" spans="1:12" ht="15.75" customHeight="1">
      <c r="A44" s="1" t="s">
        <v>350</v>
      </c>
      <c r="B44" s="1"/>
      <c r="C44" s="1">
        <v>1</v>
      </c>
      <c r="D44" s="1">
        <v>0</v>
      </c>
      <c r="E44" s="1">
        <v>0</v>
      </c>
      <c r="F44" s="1">
        <v>0</v>
      </c>
      <c r="G44" s="1" t="b">
        <f t="shared" si="0"/>
        <v>0</v>
      </c>
      <c r="H44" s="1" t="b">
        <f t="shared" si="1"/>
        <v>0</v>
      </c>
      <c r="I44" s="1" t="b">
        <f t="shared" si="2"/>
        <v>0</v>
      </c>
      <c r="J44" s="1" t="b">
        <f t="shared" si="3"/>
        <v>0</v>
      </c>
      <c r="K44" s="1" t="b">
        <f t="shared" si="4"/>
        <v>0</v>
      </c>
      <c r="L44" s="1"/>
    </row>
    <row r="45" spans="1:12" ht="15.75" customHeight="1">
      <c r="A45" s="1" t="s">
        <v>351</v>
      </c>
      <c r="B45" s="1"/>
      <c r="C45" s="1">
        <v>19</v>
      </c>
      <c r="D45" s="1">
        <v>0</v>
      </c>
      <c r="E45" s="1">
        <v>0</v>
      </c>
      <c r="F45" s="1">
        <v>0</v>
      </c>
      <c r="G45" s="1" t="b">
        <f t="shared" si="0"/>
        <v>0</v>
      </c>
      <c r="H45" s="1" t="b">
        <f t="shared" si="1"/>
        <v>0</v>
      </c>
      <c r="I45" s="1" t="b">
        <f t="shared" si="2"/>
        <v>0</v>
      </c>
      <c r="J45" s="1" t="b">
        <f t="shared" si="3"/>
        <v>0</v>
      </c>
      <c r="K45" s="1" t="b">
        <f t="shared" si="4"/>
        <v>0</v>
      </c>
      <c r="L45" s="1"/>
    </row>
    <row r="46" spans="1:12" ht="15.75" customHeight="1">
      <c r="B46" s="1" t="s">
        <v>64</v>
      </c>
      <c r="C46" s="1">
        <f t="shared" ref="C46:F46" si="5">SUM(C2:C32)</f>
        <v>150</v>
      </c>
      <c r="D46" s="1">
        <f t="shared" si="5"/>
        <v>36</v>
      </c>
      <c r="E46" s="1">
        <f t="shared" si="5"/>
        <v>31</v>
      </c>
      <c r="F46" s="1">
        <f t="shared" si="5"/>
        <v>25</v>
      </c>
      <c r="G46" s="1">
        <f t="shared" ref="G46:K46" si="6">COUNTIF(G3:G32,"TRUE")</f>
        <v>17</v>
      </c>
      <c r="H46" s="1">
        <f t="shared" si="6"/>
        <v>16</v>
      </c>
      <c r="I46" s="1">
        <f t="shared" si="6"/>
        <v>15</v>
      </c>
      <c r="J46" s="1">
        <f t="shared" si="6"/>
        <v>12</v>
      </c>
      <c r="K46" s="1">
        <f t="shared" si="6"/>
        <v>11</v>
      </c>
      <c r="L46" s="5">
        <f>COUNTA(E3:E32)</f>
        <v>30</v>
      </c>
    </row>
    <row r="47" spans="1:12" ht="15.75" customHeight="1">
      <c r="E47" s="1" t="s">
        <v>2</v>
      </c>
      <c r="F47" s="2"/>
      <c r="G47" s="2">
        <f>G46/L46</f>
        <v>0.56666666666666665</v>
      </c>
      <c r="H47" s="2">
        <f>H46/L46</f>
        <v>0.53333333333333333</v>
      </c>
      <c r="I47" s="2">
        <f>I46/L46</f>
        <v>0.5</v>
      </c>
      <c r="J47" s="2">
        <f>J46/L46</f>
        <v>0.4</v>
      </c>
      <c r="K47" s="2">
        <f>K46/L46</f>
        <v>0.36666666666666664</v>
      </c>
    </row>
    <row r="48" spans="1:12" ht="15.75" customHeight="1">
      <c r="E48" s="1" t="s">
        <v>65</v>
      </c>
      <c r="F48" s="2"/>
      <c r="G48" s="2"/>
      <c r="H48" s="2">
        <f>H46/G46</f>
        <v>0.94117647058823528</v>
      </c>
      <c r="I48" s="2">
        <f>I46/G46</f>
        <v>0.88235294117647056</v>
      </c>
      <c r="J48" s="2">
        <f>J46/G46</f>
        <v>0.70588235294117652</v>
      </c>
      <c r="K48" s="2">
        <f>K46/G46</f>
        <v>0.6470588235294118</v>
      </c>
    </row>
    <row r="49" spans="5:8" ht="15.75" customHeight="1">
      <c r="E49" s="1" t="s">
        <v>66</v>
      </c>
      <c r="F49" s="2"/>
      <c r="G49" s="2">
        <f>E46/C46</f>
        <v>0.20666666666666667</v>
      </c>
      <c r="H49" s="2">
        <f>E46/D46</f>
        <v>0.86111111111111116</v>
      </c>
    </row>
  </sheetData>
  <hyperlinks>
    <hyperlink ref="E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38"/>
  <sheetViews>
    <sheetView workbookViewId="0">
      <selection activeCell="G3" sqref="G3:K34"/>
    </sheetView>
  </sheetViews>
  <sheetFormatPr defaultColWidth="12.7109375" defaultRowHeight="15.75" customHeight="1"/>
  <cols>
    <col min="1" max="1" width="93.7109375" customWidth="1"/>
    <col min="2" max="2" width="18" customWidth="1"/>
    <col min="3" max="3" width="10.140625" customWidth="1"/>
    <col min="4" max="4" width="18.7109375" customWidth="1"/>
    <col min="5" max="5" width="12.140625" customWidth="1"/>
    <col min="6" max="6" width="9.7109375" customWidth="1"/>
  </cols>
  <sheetData>
    <row r="1" spans="1:11" ht="15.75" customHeight="1">
      <c r="A1" s="1" t="s">
        <v>352</v>
      </c>
      <c r="D1" s="1" t="s">
        <v>32</v>
      </c>
      <c r="E1" s="4" t="s">
        <v>33</v>
      </c>
    </row>
    <row r="2" spans="1:11" ht="15.75" customHeight="1">
      <c r="A2" s="1" t="s">
        <v>34</v>
      </c>
      <c r="B2" s="1"/>
      <c r="C2" s="1" t="s">
        <v>35</v>
      </c>
      <c r="D2" s="1" t="s">
        <v>36</v>
      </c>
      <c r="E2" s="1" t="s">
        <v>37</v>
      </c>
      <c r="F2" s="1" t="s">
        <v>8</v>
      </c>
      <c r="G2" s="1" t="s">
        <v>38</v>
      </c>
      <c r="H2" s="1" t="s">
        <v>39</v>
      </c>
      <c r="I2" s="1" t="s">
        <v>40</v>
      </c>
      <c r="J2" s="1" t="s">
        <v>41</v>
      </c>
      <c r="K2" s="1" t="s">
        <v>42</v>
      </c>
    </row>
    <row r="3" spans="1:11" ht="15.75" customHeight="1">
      <c r="A3" s="6" t="s">
        <v>353</v>
      </c>
      <c r="B3" s="6"/>
      <c r="C3" s="7">
        <v>4</v>
      </c>
      <c r="D3" s="7">
        <v>2</v>
      </c>
      <c r="E3" s="7">
        <v>1</v>
      </c>
      <c r="F3" s="7">
        <v>1</v>
      </c>
      <c r="G3" s="1" t="b">
        <f>(D3&gt;0)</f>
        <v>1</v>
      </c>
      <c r="H3" s="1" t="b">
        <f>(E3&gt;0)</f>
        <v>1</v>
      </c>
      <c r="I3" s="1" t="b">
        <f>AND(G3,(D3=E3))</f>
        <v>0</v>
      </c>
      <c r="J3" s="1" t="b">
        <f>(F3&gt;0)</f>
        <v>1</v>
      </c>
      <c r="K3" s="1" t="b">
        <f>AND(I3,(E3=F3))</f>
        <v>0</v>
      </c>
    </row>
    <row r="4" spans="1:11" ht="15.75" customHeight="1">
      <c r="A4" s="6" t="s">
        <v>354</v>
      </c>
      <c r="B4" s="6"/>
      <c r="C4" s="7">
        <v>7</v>
      </c>
      <c r="D4" s="7">
        <v>2</v>
      </c>
      <c r="E4" s="7">
        <v>2</v>
      </c>
      <c r="F4" s="7">
        <v>2</v>
      </c>
      <c r="G4" s="1" t="b">
        <f t="shared" ref="G4:G34" si="0">(D4&gt;0)</f>
        <v>1</v>
      </c>
      <c r="H4" s="1" t="b">
        <f t="shared" ref="H4:H34" si="1">(E4&gt;0)</f>
        <v>1</v>
      </c>
      <c r="I4" s="1" t="b">
        <f t="shared" ref="I4:I34" si="2">AND(G4,(D4=E4))</f>
        <v>1</v>
      </c>
      <c r="J4" s="1" t="b">
        <f t="shared" ref="J4:J34" si="3">(F4&gt;0)</f>
        <v>1</v>
      </c>
      <c r="K4" s="1" t="b">
        <f t="shared" ref="K4:K34" si="4">AND(I4,(E4=F4))</f>
        <v>1</v>
      </c>
    </row>
    <row r="5" spans="1:11" ht="15.75" customHeight="1">
      <c r="A5" s="6" t="s">
        <v>355</v>
      </c>
      <c r="B5" s="6"/>
      <c r="C5" s="7">
        <v>4</v>
      </c>
      <c r="D5" s="7">
        <v>1</v>
      </c>
      <c r="E5" s="7">
        <v>0</v>
      </c>
      <c r="F5" s="7">
        <v>0</v>
      </c>
      <c r="G5" s="1" t="b">
        <f t="shared" si="0"/>
        <v>1</v>
      </c>
      <c r="H5" s="1" t="b">
        <f t="shared" si="1"/>
        <v>0</v>
      </c>
      <c r="I5" s="1" t="b">
        <f t="shared" si="2"/>
        <v>0</v>
      </c>
      <c r="J5" s="1" t="b">
        <f t="shared" si="3"/>
        <v>0</v>
      </c>
      <c r="K5" s="1" t="b">
        <f t="shared" si="4"/>
        <v>0</v>
      </c>
    </row>
    <row r="6" spans="1:11" ht="15.75" customHeight="1">
      <c r="A6" s="6" t="s">
        <v>356</v>
      </c>
      <c r="B6" s="6"/>
      <c r="C6" s="7">
        <v>4</v>
      </c>
      <c r="D6" s="7">
        <v>1</v>
      </c>
      <c r="E6" s="7">
        <v>1</v>
      </c>
      <c r="F6" s="7">
        <v>0</v>
      </c>
      <c r="G6" s="1" t="b">
        <f t="shared" si="0"/>
        <v>1</v>
      </c>
      <c r="H6" s="1" t="b">
        <f t="shared" si="1"/>
        <v>1</v>
      </c>
      <c r="I6" s="1" t="b">
        <f t="shared" si="2"/>
        <v>1</v>
      </c>
      <c r="J6" s="1" t="b">
        <f t="shared" si="3"/>
        <v>0</v>
      </c>
      <c r="K6" s="1" t="b">
        <f t="shared" si="4"/>
        <v>0</v>
      </c>
    </row>
    <row r="7" spans="1:11" ht="15.75" customHeight="1">
      <c r="A7" s="6" t="s">
        <v>357</v>
      </c>
      <c r="B7" s="6"/>
      <c r="C7" s="7">
        <v>4</v>
      </c>
      <c r="D7" s="7">
        <v>1</v>
      </c>
      <c r="E7" s="7">
        <v>1</v>
      </c>
      <c r="F7" s="7">
        <v>1</v>
      </c>
      <c r="G7" s="1" t="b">
        <f t="shared" si="0"/>
        <v>1</v>
      </c>
      <c r="H7" s="1" t="b">
        <f t="shared" si="1"/>
        <v>1</v>
      </c>
      <c r="I7" s="1" t="b">
        <f t="shared" si="2"/>
        <v>1</v>
      </c>
      <c r="J7" s="1" t="b">
        <f t="shared" si="3"/>
        <v>1</v>
      </c>
      <c r="K7" s="1" t="b">
        <f t="shared" si="4"/>
        <v>1</v>
      </c>
    </row>
    <row r="8" spans="1:11" ht="15.75" customHeight="1">
      <c r="A8" s="6" t="s">
        <v>358</v>
      </c>
      <c r="B8" s="6"/>
      <c r="C8" s="7">
        <v>5</v>
      </c>
      <c r="D8" s="7">
        <v>4</v>
      </c>
      <c r="E8" s="7">
        <v>4</v>
      </c>
      <c r="F8" s="7">
        <v>4</v>
      </c>
      <c r="G8" s="1" t="b">
        <f t="shared" si="0"/>
        <v>1</v>
      </c>
      <c r="H8" s="1" t="b">
        <f t="shared" si="1"/>
        <v>1</v>
      </c>
      <c r="I8" s="1" t="b">
        <f t="shared" si="2"/>
        <v>1</v>
      </c>
      <c r="J8" s="1" t="b">
        <f t="shared" si="3"/>
        <v>1</v>
      </c>
      <c r="K8" s="1" t="b">
        <f t="shared" si="4"/>
        <v>1</v>
      </c>
    </row>
    <row r="9" spans="1:11" ht="15.75" customHeight="1">
      <c r="A9" s="6" t="s">
        <v>359</v>
      </c>
      <c r="B9" s="6"/>
      <c r="C9" s="7">
        <v>7</v>
      </c>
      <c r="D9" s="7">
        <v>0</v>
      </c>
      <c r="E9" s="7">
        <v>0</v>
      </c>
      <c r="F9" s="7">
        <v>0</v>
      </c>
      <c r="G9" s="1" t="b">
        <f t="shared" si="0"/>
        <v>0</v>
      </c>
      <c r="H9" s="1" t="b">
        <f t="shared" si="1"/>
        <v>0</v>
      </c>
      <c r="I9" s="1" t="b">
        <f t="shared" si="2"/>
        <v>0</v>
      </c>
      <c r="J9" s="1" t="b">
        <f t="shared" si="3"/>
        <v>0</v>
      </c>
      <c r="K9" s="1" t="b">
        <f t="shared" si="4"/>
        <v>0</v>
      </c>
    </row>
    <row r="10" spans="1:11" ht="15.75" customHeight="1">
      <c r="A10" s="6" t="s">
        <v>360</v>
      </c>
      <c r="B10" s="6"/>
      <c r="C10" s="7">
        <v>5</v>
      </c>
      <c r="D10" s="7">
        <v>4</v>
      </c>
      <c r="E10" s="7">
        <v>4</v>
      </c>
      <c r="F10" s="7">
        <v>4</v>
      </c>
      <c r="G10" s="1" t="b">
        <f t="shared" si="0"/>
        <v>1</v>
      </c>
      <c r="H10" s="1" t="b">
        <f t="shared" si="1"/>
        <v>1</v>
      </c>
      <c r="I10" s="1" t="b">
        <f t="shared" si="2"/>
        <v>1</v>
      </c>
      <c r="J10" s="1" t="b">
        <f t="shared" si="3"/>
        <v>1</v>
      </c>
      <c r="K10" s="1" t="b">
        <f t="shared" si="4"/>
        <v>1</v>
      </c>
    </row>
    <row r="11" spans="1:11" ht="15.75" customHeight="1">
      <c r="A11" s="6" t="s">
        <v>361</v>
      </c>
      <c r="B11" s="6"/>
      <c r="C11" s="7">
        <v>4</v>
      </c>
      <c r="D11" s="7">
        <v>2</v>
      </c>
      <c r="E11" s="7">
        <v>2</v>
      </c>
      <c r="F11" s="7">
        <v>2</v>
      </c>
      <c r="G11" s="1" t="b">
        <f t="shared" si="0"/>
        <v>1</v>
      </c>
      <c r="H11" s="1" t="b">
        <f t="shared" si="1"/>
        <v>1</v>
      </c>
      <c r="I11" s="1" t="b">
        <f t="shared" si="2"/>
        <v>1</v>
      </c>
      <c r="J11" s="1" t="b">
        <f t="shared" si="3"/>
        <v>1</v>
      </c>
      <c r="K11" s="1" t="b">
        <f t="shared" si="4"/>
        <v>1</v>
      </c>
    </row>
    <row r="12" spans="1:11" ht="15.75" customHeight="1">
      <c r="A12" s="6" t="s">
        <v>362</v>
      </c>
      <c r="B12" s="6"/>
      <c r="C12" s="7">
        <v>5</v>
      </c>
      <c r="D12" s="7">
        <v>0</v>
      </c>
      <c r="E12" s="7">
        <v>0</v>
      </c>
      <c r="F12" s="7">
        <v>0</v>
      </c>
      <c r="G12" s="1" t="b">
        <f t="shared" si="0"/>
        <v>0</v>
      </c>
      <c r="H12" s="1" t="b">
        <f t="shared" si="1"/>
        <v>0</v>
      </c>
      <c r="I12" s="1" t="b">
        <f t="shared" si="2"/>
        <v>0</v>
      </c>
      <c r="J12" s="1" t="b">
        <f t="shared" si="3"/>
        <v>0</v>
      </c>
      <c r="K12" s="1" t="b">
        <f t="shared" si="4"/>
        <v>0</v>
      </c>
    </row>
    <row r="13" spans="1:11" ht="15.75" customHeight="1">
      <c r="A13" s="6" t="s">
        <v>363</v>
      </c>
      <c r="B13" s="6"/>
      <c r="C13" s="7">
        <v>4</v>
      </c>
      <c r="D13" s="7">
        <v>1</v>
      </c>
      <c r="E13" s="7">
        <v>0</v>
      </c>
      <c r="F13" s="7">
        <v>0</v>
      </c>
      <c r="G13" s="1" t="b">
        <f t="shared" si="0"/>
        <v>1</v>
      </c>
      <c r="H13" s="1" t="b">
        <f t="shared" si="1"/>
        <v>0</v>
      </c>
      <c r="I13" s="1" t="b">
        <f t="shared" si="2"/>
        <v>0</v>
      </c>
      <c r="J13" s="1" t="b">
        <f t="shared" si="3"/>
        <v>0</v>
      </c>
      <c r="K13" s="1" t="b">
        <f t="shared" si="4"/>
        <v>0</v>
      </c>
    </row>
    <row r="14" spans="1:11" ht="15.75" customHeight="1">
      <c r="A14" s="6" t="s">
        <v>364</v>
      </c>
      <c r="B14" s="6"/>
      <c r="C14" s="7">
        <v>4</v>
      </c>
      <c r="D14" s="7">
        <v>0</v>
      </c>
      <c r="E14" s="7">
        <v>0</v>
      </c>
      <c r="F14" s="7">
        <v>0</v>
      </c>
      <c r="G14" s="1" t="b">
        <f t="shared" si="0"/>
        <v>0</v>
      </c>
      <c r="H14" s="1" t="b">
        <f t="shared" si="1"/>
        <v>0</v>
      </c>
      <c r="I14" s="1" t="b">
        <f t="shared" si="2"/>
        <v>0</v>
      </c>
      <c r="J14" s="1" t="b">
        <f t="shared" si="3"/>
        <v>0</v>
      </c>
      <c r="K14" s="1" t="b">
        <f t="shared" si="4"/>
        <v>0</v>
      </c>
    </row>
    <row r="15" spans="1:11" ht="15.75" customHeight="1">
      <c r="A15" s="6" t="s">
        <v>365</v>
      </c>
      <c r="B15" s="6"/>
      <c r="C15" s="7">
        <v>7</v>
      </c>
      <c r="D15" s="7">
        <v>0</v>
      </c>
      <c r="E15" s="7">
        <v>0</v>
      </c>
      <c r="F15" s="7">
        <v>0</v>
      </c>
      <c r="G15" s="1" t="b">
        <f t="shared" si="0"/>
        <v>0</v>
      </c>
      <c r="H15" s="1" t="b">
        <f t="shared" si="1"/>
        <v>0</v>
      </c>
      <c r="I15" s="1" t="b">
        <f t="shared" si="2"/>
        <v>0</v>
      </c>
      <c r="J15" s="1" t="b">
        <f t="shared" si="3"/>
        <v>0</v>
      </c>
      <c r="K15" s="1" t="b">
        <f t="shared" si="4"/>
        <v>0</v>
      </c>
    </row>
    <row r="16" spans="1:11" ht="15.75" customHeight="1">
      <c r="A16" s="6" t="s">
        <v>366</v>
      </c>
      <c r="B16" s="6"/>
      <c r="C16" s="7">
        <v>8</v>
      </c>
      <c r="D16" s="7">
        <v>1</v>
      </c>
      <c r="E16" s="7">
        <v>1</v>
      </c>
      <c r="F16" s="7">
        <v>0</v>
      </c>
      <c r="G16" s="1" t="b">
        <f t="shared" si="0"/>
        <v>1</v>
      </c>
      <c r="H16" s="1" t="b">
        <f t="shared" si="1"/>
        <v>1</v>
      </c>
      <c r="I16" s="1" t="b">
        <f t="shared" si="2"/>
        <v>1</v>
      </c>
      <c r="J16" s="1" t="b">
        <f t="shared" si="3"/>
        <v>0</v>
      </c>
      <c r="K16" s="1" t="b">
        <f t="shared" si="4"/>
        <v>0</v>
      </c>
    </row>
    <row r="17" spans="1:11" ht="15.75" customHeight="1">
      <c r="A17" s="6" t="s">
        <v>367</v>
      </c>
      <c r="B17" s="6"/>
      <c r="C17" s="7">
        <v>7</v>
      </c>
      <c r="D17" s="7">
        <v>3</v>
      </c>
      <c r="E17" s="7">
        <v>3</v>
      </c>
      <c r="F17" s="7">
        <v>0</v>
      </c>
      <c r="G17" s="1" t="b">
        <f t="shared" si="0"/>
        <v>1</v>
      </c>
      <c r="H17" s="1" t="b">
        <f t="shared" si="1"/>
        <v>1</v>
      </c>
      <c r="I17" s="1" t="b">
        <f t="shared" si="2"/>
        <v>1</v>
      </c>
      <c r="J17" s="1" t="b">
        <f t="shared" si="3"/>
        <v>0</v>
      </c>
      <c r="K17" s="1" t="b">
        <f t="shared" si="4"/>
        <v>0</v>
      </c>
    </row>
    <row r="18" spans="1:11" ht="15.75" customHeight="1">
      <c r="A18" s="6" t="s">
        <v>368</v>
      </c>
      <c r="B18" s="6"/>
      <c r="C18" s="7">
        <v>6</v>
      </c>
      <c r="D18" s="7">
        <v>0</v>
      </c>
      <c r="E18" s="7">
        <v>0</v>
      </c>
      <c r="F18" s="7">
        <v>0</v>
      </c>
      <c r="G18" s="1" t="b">
        <f t="shared" si="0"/>
        <v>0</v>
      </c>
      <c r="H18" s="1" t="b">
        <f t="shared" si="1"/>
        <v>0</v>
      </c>
      <c r="I18" s="1" t="b">
        <f t="shared" si="2"/>
        <v>0</v>
      </c>
      <c r="J18" s="1" t="b">
        <f t="shared" si="3"/>
        <v>0</v>
      </c>
      <c r="K18" s="1" t="b">
        <f t="shared" si="4"/>
        <v>0</v>
      </c>
    </row>
    <row r="19" spans="1:11" ht="15.75" customHeight="1">
      <c r="A19" s="6" t="s">
        <v>369</v>
      </c>
      <c r="B19" s="6"/>
      <c r="C19" s="7">
        <v>4</v>
      </c>
      <c r="D19" s="7">
        <v>3</v>
      </c>
      <c r="E19" s="7">
        <v>1</v>
      </c>
      <c r="F19" s="7">
        <v>0</v>
      </c>
      <c r="G19" s="1" t="b">
        <f t="shared" si="0"/>
        <v>1</v>
      </c>
      <c r="H19" s="1" t="b">
        <f t="shared" si="1"/>
        <v>1</v>
      </c>
      <c r="I19" s="1" t="b">
        <f t="shared" si="2"/>
        <v>0</v>
      </c>
      <c r="J19" s="1" t="b">
        <f t="shared" si="3"/>
        <v>0</v>
      </c>
      <c r="K19" s="1" t="b">
        <f t="shared" si="4"/>
        <v>0</v>
      </c>
    </row>
    <row r="20" spans="1:11" ht="15.75" customHeight="1">
      <c r="A20" s="6" t="s">
        <v>370</v>
      </c>
      <c r="B20" s="6"/>
      <c r="C20" s="7">
        <v>4</v>
      </c>
      <c r="D20" s="7">
        <v>0</v>
      </c>
      <c r="E20" s="7">
        <v>0</v>
      </c>
      <c r="F20" s="7">
        <v>0</v>
      </c>
      <c r="G20" s="1" t="b">
        <f t="shared" si="0"/>
        <v>0</v>
      </c>
      <c r="H20" s="1" t="b">
        <f t="shared" si="1"/>
        <v>0</v>
      </c>
      <c r="I20" s="1" t="b">
        <f t="shared" si="2"/>
        <v>0</v>
      </c>
      <c r="J20" s="1" t="b">
        <f t="shared" si="3"/>
        <v>0</v>
      </c>
      <c r="K20" s="1" t="b">
        <f t="shared" si="4"/>
        <v>0</v>
      </c>
    </row>
    <row r="21" spans="1:11" ht="15.75" customHeight="1">
      <c r="A21" s="6" t="s">
        <v>371</v>
      </c>
      <c r="B21" s="6"/>
      <c r="C21" s="7">
        <v>6</v>
      </c>
      <c r="D21" s="7">
        <v>5</v>
      </c>
      <c r="E21" s="7">
        <v>5</v>
      </c>
      <c r="F21" s="7">
        <v>0</v>
      </c>
      <c r="G21" s="1" t="b">
        <f t="shared" si="0"/>
        <v>1</v>
      </c>
      <c r="H21" s="1" t="b">
        <f t="shared" si="1"/>
        <v>1</v>
      </c>
      <c r="I21" s="1" t="b">
        <f t="shared" si="2"/>
        <v>1</v>
      </c>
      <c r="J21" s="1" t="b">
        <f t="shared" si="3"/>
        <v>0</v>
      </c>
      <c r="K21" s="1" t="b">
        <f t="shared" si="4"/>
        <v>0</v>
      </c>
    </row>
    <row r="22" spans="1:11" ht="15.75" customHeight="1">
      <c r="A22" s="6" t="s">
        <v>372</v>
      </c>
      <c r="B22" s="6"/>
      <c r="C22" s="7">
        <v>4</v>
      </c>
      <c r="D22" s="7">
        <v>0</v>
      </c>
      <c r="E22" s="7">
        <v>0</v>
      </c>
      <c r="F22" s="7">
        <v>0</v>
      </c>
      <c r="G22" s="1" t="b">
        <f t="shared" si="0"/>
        <v>0</v>
      </c>
      <c r="H22" s="1" t="b">
        <f t="shared" si="1"/>
        <v>0</v>
      </c>
      <c r="I22" s="1" t="b">
        <f t="shared" si="2"/>
        <v>0</v>
      </c>
      <c r="J22" s="1" t="b">
        <f t="shared" si="3"/>
        <v>0</v>
      </c>
      <c r="K22" s="1" t="b">
        <f t="shared" si="4"/>
        <v>0</v>
      </c>
    </row>
    <row r="23" spans="1:11" ht="15.75" customHeight="1">
      <c r="A23" s="6" t="s">
        <v>373</v>
      </c>
      <c r="B23" s="6"/>
      <c r="C23" s="7">
        <v>9</v>
      </c>
      <c r="D23" s="7">
        <v>0</v>
      </c>
      <c r="E23" s="7">
        <v>0</v>
      </c>
      <c r="F23" s="7">
        <v>0</v>
      </c>
      <c r="G23" s="1" t="b">
        <f t="shared" si="0"/>
        <v>0</v>
      </c>
      <c r="H23" s="1" t="b">
        <f t="shared" si="1"/>
        <v>0</v>
      </c>
      <c r="I23" s="1" t="b">
        <f t="shared" si="2"/>
        <v>0</v>
      </c>
      <c r="J23" s="1" t="b">
        <f t="shared" si="3"/>
        <v>0</v>
      </c>
      <c r="K23" s="1" t="b">
        <f t="shared" si="4"/>
        <v>0</v>
      </c>
    </row>
    <row r="24" spans="1:11" ht="15.75" customHeight="1">
      <c r="A24" s="6" t="s">
        <v>374</v>
      </c>
      <c r="B24" s="6"/>
      <c r="C24" s="7">
        <v>9</v>
      </c>
      <c r="D24" s="7">
        <v>8</v>
      </c>
      <c r="E24" s="7">
        <v>7</v>
      </c>
      <c r="F24" s="7">
        <v>7</v>
      </c>
      <c r="G24" s="1" t="b">
        <f t="shared" si="0"/>
        <v>1</v>
      </c>
      <c r="H24" s="1" t="b">
        <f t="shared" si="1"/>
        <v>1</v>
      </c>
      <c r="I24" s="1" t="b">
        <f t="shared" si="2"/>
        <v>0</v>
      </c>
      <c r="J24" s="1" t="b">
        <f t="shared" si="3"/>
        <v>1</v>
      </c>
      <c r="K24" s="1" t="b">
        <f t="shared" si="4"/>
        <v>0</v>
      </c>
    </row>
    <row r="25" spans="1:11" ht="15.75" customHeight="1">
      <c r="A25" s="6" t="s">
        <v>375</v>
      </c>
      <c r="B25" s="6"/>
      <c r="C25" s="7">
        <v>4</v>
      </c>
      <c r="D25" s="7">
        <v>1</v>
      </c>
      <c r="E25" s="7">
        <v>1</v>
      </c>
      <c r="F25" s="7">
        <v>0</v>
      </c>
      <c r="G25" s="1" t="b">
        <f t="shared" si="0"/>
        <v>1</v>
      </c>
      <c r="H25" s="1" t="b">
        <f t="shared" si="1"/>
        <v>1</v>
      </c>
      <c r="I25" s="1" t="b">
        <f t="shared" si="2"/>
        <v>1</v>
      </c>
      <c r="J25" s="1" t="b">
        <f t="shared" si="3"/>
        <v>0</v>
      </c>
      <c r="K25" s="1" t="b">
        <f t="shared" si="4"/>
        <v>0</v>
      </c>
    </row>
    <row r="26" spans="1:11" ht="15.75" customHeight="1">
      <c r="A26" s="6" t="s">
        <v>376</v>
      </c>
      <c r="B26" s="6"/>
      <c r="C26" s="7">
        <v>4</v>
      </c>
      <c r="D26" s="7">
        <v>2</v>
      </c>
      <c r="E26" s="7">
        <v>2</v>
      </c>
      <c r="F26" s="7">
        <v>2</v>
      </c>
      <c r="G26" s="1" t="b">
        <f t="shared" si="0"/>
        <v>1</v>
      </c>
      <c r="H26" s="1" t="b">
        <f t="shared" si="1"/>
        <v>1</v>
      </c>
      <c r="I26" s="1" t="b">
        <f t="shared" si="2"/>
        <v>1</v>
      </c>
      <c r="J26" s="1" t="b">
        <f t="shared" si="3"/>
        <v>1</v>
      </c>
      <c r="K26" s="1" t="b">
        <f t="shared" si="4"/>
        <v>1</v>
      </c>
    </row>
    <row r="27" spans="1:11" ht="15.75" customHeight="1">
      <c r="A27" s="6" t="s">
        <v>377</v>
      </c>
      <c r="B27" s="6"/>
      <c r="C27" s="7">
        <v>7</v>
      </c>
      <c r="D27" s="7">
        <v>0</v>
      </c>
      <c r="E27" s="7">
        <v>0</v>
      </c>
      <c r="F27" s="7">
        <v>0</v>
      </c>
      <c r="G27" s="1" t="b">
        <f t="shared" si="0"/>
        <v>0</v>
      </c>
      <c r="H27" s="1" t="b">
        <f t="shared" si="1"/>
        <v>0</v>
      </c>
      <c r="I27" s="1" t="b">
        <f t="shared" si="2"/>
        <v>0</v>
      </c>
      <c r="J27" s="1" t="b">
        <f t="shared" si="3"/>
        <v>0</v>
      </c>
      <c r="K27" s="1" t="b">
        <f t="shared" si="4"/>
        <v>0</v>
      </c>
    </row>
    <row r="28" spans="1:11" ht="15.75" customHeight="1">
      <c r="A28" s="6" t="s">
        <v>378</v>
      </c>
      <c r="B28" s="6"/>
      <c r="C28" s="7">
        <v>6</v>
      </c>
      <c r="D28" s="7">
        <v>0</v>
      </c>
      <c r="E28" s="7">
        <v>0</v>
      </c>
      <c r="F28" s="7">
        <v>0</v>
      </c>
      <c r="G28" s="1" t="b">
        <f t="shared" si="0"/>
        <v>0</v>
      </c>
      <c r="H28" s="1" t="b">
        <f t="shared" si="1"/>
        <v>0</v>
      </c>
      <c r="I28" s="1" t="b">
        <f t="shared" si="2"/>
        <v>0</v>
      </c>
      <c r="J28" s="1" t="b">
        <f t="shared" si="3"/>
        <v>0</v>
      </c>
      <c r="K28" s="1" t="b">
        <f t="shared" si="4"/>
        <v>0</v>
      </c>
    </row>
    <row r="29" spans="1:11" ht="15.75" customHeight="1">
      <c r="A29" s="6" t="s">
        <v>379</v>
      </c>
      <c r="B29" s="6"/>
      <c r="C29" s="7">
        <v>7</v>
      </c>
      <c r="D29" s="7">
        <v>0</v>
      </c>
      <c r="E29" s="7">
        <v>0</v>
      </c>
      <c r="F29" s="7">
        <v>0</v>
      </c>
      <c r="G29" s="1" t="b">
        <f t="shared" si="0"/>
        <v>0</v>
      </c>
      <c r="H29" s="1" t="b">
        <f t="shared" si="1"/>
        <v>0</v>
      </c>
      <c r="I29" s="1" t="b">
        <f t="shared" si="2"/>
        <v>0</v>
      </c>
      <c r="J29" s="1" t="b">
        <f t="shared" si="3"/>
        <v>0</v>
      </c>
      <c r="K29" s="1" t="b">
        <f t="shared" si="4"/>
        <v>0</v>
      </c>
    </row>
    <row r="30" spans="1:11" ht="15.75" customHeight="1">
      <c r="A30" s="6" t="s">
        <v>380</v>
      </c>
      <c r="B30" s="6"/>
      <c r="C30" s="7">
        <v>6</v>
      </c>
      <c r="D30" s="7">
        <v>1</v>
      </c>
      <c r="E30" s="7">
        <v>0</v>
      </c>
      <c r="F30" s="7">
        <v>0</v>
      </c>
      <c r="G30" s="1" t="b">
        <f t="shared" si="0"/>
        <v>1</v>
      </c>
      <c r="H30" s="1" t="b">
        <f t="shared" si="1"/>
        <v>0</v>
      </c>
      <c r="I30" s="1" t="b">
        <f t="shared" si="2"/>
        <v>0</v>
      </c>
      <c r="J30" s="1" t="b">
        <f t="shared" si="3"/>
        <v>0</v>
      </c>
      <c r="K30" s="1" t="b">
        <f t="shared" si="4"/>
        <v>0</v>
      </c>
    </row>
    <row r="31" spans="1:11" ht="15.75" customHeight="1">
      <c r="A31" s="6" t="s">
        <v>381</v>
      </c>
      <c r="B31" s="6"/>
      <c r="C31" s="7">
        <v>8</v>
      </c>
      <c r="D31" s="7">
        <v>0</v>
      </c>
      <c r="E31" s="7">
        <v>0</v>
      </c>
      <c r="F31" s="7">
        <v>0</v>
      </c>
      <c r="G31" s="1" t="b">
        <f t="shared" si="0"/>
        <v>0</v>
      </c>
      <c r="H31" s="1" t="b">
        <f t="shared" si="1"/>
        <v>0</v>
      </c>
      <c r="I31" s="1" t="b">
        <f t="shared" si="2"/>
        <v>0</v>
      </c>
      <c r="J31" s="1" t="b">
        <f t="shared" si="3"/>
        <v>0</v>
      </c>
      <c r="K31" s="1" t="b">
        <f t="shared" si="4"/>
        <v>0</v>
      </c>
    </row>
    <row r="32" spans="1:11" ht="15.75" customHeight="1">
      <c r="A32" s="6" t="s">
        <v>382</v>
      </c>
      <c r="B32" s="6"/>
      <c r="C32" s="7">
        <v>1</v>
      </c>
      <c r="D32" s="7">
        <v>0</v>
      </c>
      <c r="E32" s="7">
        <v>0</v>
      </c>
      <c r="F32" s="7">
        <v>0</v>
      </c>
      <c r="G32" s="1" t="b">
        <f t="shared" si="0"/>
        <v>0</v>
      </c>
      <c r="H32" s="1" t="b">
        <f t="shared" si="1"/>
        <v>0</v>
      </c>
      <c r="I32" s="1" t="b">
        <f t="shared" si="2"/>
        <v>0</v>
      </c>
      <c r="J32" s="1" t="b">
        <f t="shared" si="3"/>
        <v>0</v>
      </c>
      <c r="K32" s="1" t="b">
        <f t="shared" si="4"/>
        <v>0</v>
      </c>
    </row>
    <row r="33" spans="1:12" ht="15.75" customHeight="1">
      <c r="A33" s="6" t="s">
        <v>383</v>
      </c>
      <c r="B33" s="6"/>
      <c r="C33" s="7">
        <v>1</v>
      </c>
      <c r="D33" s="7">
        <v>1</v>
      </c>
      <c r="E33" s="7">
        <v>1</v>
      </c>
      <c r="F33" s="7">
        <v>0</v>
      </c>
      <c r="G33" s="1" t="b">
        <f t="shared" si="0"/>
        <v>1</v>
      </c>
      <c r="H33" s="1" t="b">
        <f t="shared" si="1"/>
        <v>1</v>
      </c>
      <c r="I33" s="1" t="b">
        <f t="shared" si="2"/>
        <v>1</v>
      </c>
      <c r="J33" s="1" t="b">
        <f t="shared" si="3"/>
        <v>0</v>
      </c>
      <c r="K33" s="1" t="b">
        <f t="shared" si="4"/>
        <v>0</v>
      </c>
    </row>
    <row r="34" spans="1:12" ht="15.75" customHeight="1">
      <c r="A34" s="6" t="s">
        <v>384</v>
      </c>
      <c r="B34" s="6"/>
      <c r="C34" s="7">
        <v>2</v>
      </c>
      <c r="D34" s="7">
        <v>0</v>
      </c>
      <c r="E34" s="7">
        <v>0</v>
      </c>
      <c r="F34" s="7">
        <v>0</v>
      </c>
      <c r="G34" s="1" t="b">
        <f t="shared" si="0"/>
        <v>0</v>
      </c>
      <c r="H34" s="1" t="b">
        <f t="shared" si="1"/>
        <v>0</v>
      </c>
      <c r="I34" s="1" t="b">
        <f t="shared" si="2"/>
        <v>0</v>
      </c>
      <c r="J34" s="1" t="b">
        <f t="shared" si="3"/>
        <v>0</v>
      </c>
      <c r="K34" s="1" t="b">
        <f t="shared" si="4"/>
        <v>0</v>
      </c>
      <c r="L34" s="1" t="s">
        <v>165</v>
      </c>
    </row>
    <row r="35" spans="1:12" ht="15.75" customHeight="1">
      <c r="B35" s="1" t="s">
        <v>64</v>
      </c>
      <c r="C35" s="1">
        <f t="shared" ref="C35:F35" si="5">SUM(C2:C34)</f>
        <v>167</v>
      </c>
      <c r="D35" s="1">
        <f t="shared" si="5"/>
        <v>43</v>
      </c>
      <c r="E35" s="1">
        <f t="shared" si="5"/>
        <v>36</v>
      </c>
      <c r="F35" s="1">
        <f t="shared" si="5"/>
        <v>23</v>
      </c>
      <c r="G35" s="1">
        <f t="shared" ref="G35:K35" si="6">COUNTIF(G3:G34,"TRUE")</f>
        <v>18</v>
      </c>
      <c r="H35" s="1">
        <f t="shared" si="6"/>
        <v>15</v>
      </c>
      <c r="I35" s="1">
        <f t="shared" si="6"/>
        <v>12</v>
      </c>
      <c r="J35" s="1">
        <f t="shared" si="6"/>
        <v>8</v>
      </c>
      <c r="K35" s="1">
        <f t="shared" si="6"/>
        <v>6</v>
      </c>
      <c r="L35" s="5">
        <f>COUNTA(E3:E34)</f>
        <v>32</v>
      </c>
    </row>
    <row r="36" spans="1:12" ht="15.75" customHeight="1">
      <c r="E36" s="1" t="s">
        <v>2</v>
      </c>
      <c r="F36" s="2"/>
      <c r="G36" s="2">
        <f>G35/L35</f>
        <v>0.5625</v>
      </c>
      <c r="H36" s="2">
        <f>H35/L35</f>
        <v>0.46875</v>
      </c>
      <c r="I36" s="2">
        <f>I35/L35</f>
        <v>0.375</v>
      </c>
      <c r="J36" s="2">
        <f>J35/L35</f>
        <v>0.25</v>
      </c>
      <c r="K36" s="2">
        <f>K35/L35</f>
        <v>0.1875</v>
      </c>
    </row>
    <row r="37" spans="1:12" ht="15.75" customHeight="1">
      <c r="E37" s="1" t="s">
        <v>65</v>
      </c>
      <c r="F37" s="2"/>
      <c r="G37" s="2"/>
      <c r="H37" s="2">
        <f>H35/G35</f>
        <v>0.83333333333333337</v>
      </c>
      <c r="I37" s="2">
        <f>I35/G35</f>
        <v>0.66666666666666663</v>
      </c>
      <c r="J37" s="2">
        <f>J35/G35</f>
        <v>0.44444444444444442</v>
      </c>
      <c r="K37" s="2">
        <f>K35/G35</f>
        <v>0.33333333333333331</v>
      </c>
    </row>
    <row r="38" spans="1:12" ht="15.75" customHeight="1">
      <c r="E38" s="1" t="s">
        <v>66</v>
      </c>
      <c r="F38" s="2"/>
      <c r="G38" s="2">
        <f>E35/C35</f>
        <v>0.21556886227544911</v>
      </c>
      <c r="H38" s="2">
        <f>E35/D35</f>
        <v>0.83720930232558144</v>
      </c>
    </row>
  </sheetData>
  <hyperlinks>
    <hyperlink ref="E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 End Vendor 2, SPI</dc:creator>
  <cp:lastModifiedBy>Back End Vendor 2, SPI</cp:lastModifiedBy>
  <dcterms:created xsi:type="dcterms:W3CDTF">2025-09-12T11:56:42Z</dcterms:created>
  <dcterms:modified xsi:type="dcterms:W3CDTF">2025-09-12T11:56:42Z</dcterms:modified>
</cp:coreProperties>
</file>