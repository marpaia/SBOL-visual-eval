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92081E65-8614-3148-865A-B792A4CCC097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G17" i="13"/>
  <c r="H17" i="13"/>
  <c r="I17" i="13"/>
  <c r="J17" i="13"/>
  <c r="K17" i="13"/>
  <c r="G18" i="13"/>
  <c r="H18" i="13"/>
  <c r="I18" i="13"/>
  <c r="J18" i="13"/>
  <c r="K18" i="13"/>
  <c r="G19" i="13"/>
  <c r="H19" i="13"/>
  <c r="I19" i="13"/>
  <c r="J19" i="13"/>
  <c r="K19" i="13"/>
  <c r="G20" i="13"/>
  <c r="H20" i="13"/>
  <c r="I20" i="13"/>
  <c r="J20" i="13"/>
  <c r="K20" i="13"/>
  <c r="G21" i="13"/>
  <c r="H21" i="13"/>
  <c r="I21" i="13"/>
  <c r="J21" i="13"/>
  <c r="K21" i="13"/>
  <c r="G22" i="13"/>
  <c r="H22" i="13"/>
  <c r="I22" i="13"/>
  <c r="J22" i="13"/>
  <c r="K22" i="13"/>
  <c r="G23" i="13"/>
  <c r="H23" i="13"/>
  <c r="I23" i="13"/>
  <c r="J23" i="13"/>
  <c r="K23" i="13"/>
  <c r="G24" i="13"/>
  <c r="H24" i="13"/>
  <c r="I24" i="13"/>
  <c r="J24" i="13"/>
  <c r="K24" i="13"/>
  <c r="G25" i="13"/>
  <c r="H25" i="13"/>
  <c r="I25" i="13"/>
  <c r="J25" i="13"/>
  <c r="K25" i="13"/>
  <c r="G26" i="13"/>
  <c r="H26" i="13"/>
  <c r="I26" i="13"/>
  <c r="J26" i="13"/>
  <c r="K26" i="13"/>
  <c r="G27" i="13"/>
  <c r="H27" i="13"/>
  <c r="I27" i="13"/>
  <c r="J27" i="13"/>
  <c r="K27" i="13"/>
  <c r="G28" i="13"/>
  <c r="H28" i="13"/>
  <c r="I28" i="13"/>
  <c r="J28" i="13"/>
  <c r="K28" i="13"/>
  <c r="G29" i="13"/>
  <c r="H29" i="13"/>
  <c r="I29" i="13"/>
  <c r="J29" i="13"/>
  <c r="K29" i="13"/>
  <c r="G30" i="13"/>
  <c r="H30" i="13"/>
  <c r="I30" i="13"/>
  <c r="J30" i="13"/>
  <c r="K30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J13" i="12"/>
  <c r="K13" i="12"/>
  <c r="G14" i="12"/>
  <c r="H14" i="12"/>
  <c r="I14" i="12"/>
  <c r="J14" i="12"/>
  <c r="K14" i="12"/>
  <c r="G15" i="12"/>
  <c r="H15" i="12"/>
  <c r="I15" i="12"/>
  <c r="J15" i="12"/>
  <c r="K15" i="12"/>
  <c r="G16" i="12"/>
  <c r="H16" i="12"/>
  <c r="I16" i="12"/>
  <c r="J16" i="12"/>
  <c r="K16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4" i="10"/>
  <c r="H4" i="10"/>
  <c r="I4" i="10"/>
  <c r="J4" i="10"/>
  <c r="K4" i="10"/>
  <c r="G5" i="10"/>
  <c r="H5" i="10"/>
  <c r="I5" i="10"/>
  <c r="K5" i="10" s="1"/>
  <c r="J5" i="10"/>
  <c r="G6" i="10"/>
  <c r="H6" i="10"/>
  <c r="I6" i="10"/>
  <c r="J6" i="10"/>
  <c r="K6" i="10"/>
  <c r="G7" i="10"/>
  <c r="H7" i="10"/>
  <c r="I7" i="10"/>
  <c r="J7" i="10"/>
  <c r="K7" i="10"/>
  <c r="G8" i="10"/>
  <c r="H8" i="10"/>
  <c r="I8" i="10"/>
  <c r="J8" i="10"/>
  <c r="K8" i="10"/>
  <c r="G9" i="10"/>
  <c r="H9" i="10"/>
  <c r="I9" i="10"/>
  <c r="J9" i="10"/>
  <c r="K9" i="10"/>
  <c r="G10" i="10"/>
  <c r="H10" i="10"/>
  <c r="I10" i="10"/>
  <c r="J10" i="10"/>
  <c r="K10" i="10"/>
  <c r="G11" i="10"/>
  <c r="H11" i="10"/>
  <c r="I11" i="10"/>
  <c r="J11" i="10"/>
  <c r="K11" i="10"/>
  <c r="G12" i="10"/>
  <c r="H12" i="10"/>
  <c r="I12" i="10"/>
  <c r="J12" i="10"/>
  <c r="K12" i="10"/>
  <c r="G13" i="10"/>
  <c r="H13" i="10"/>
  <c r="I13" i="10"/>
  <c r="J13" i="10"/>
  <c r="K13" i="10"/>
  <c r="G14" i="10"/>
  <c r="H14" i="10"/>
  <c r="I14" i="10"/>
  <c r="J14" i="10"/>
  <c r="K14" i="10"/>
  <c r="G15" i="10"/>
  <c r="H15" i="10"/>
  <c r="I15" i="10"/>
  <c r="J15" i="10"/>
  <c r="K15" i="10"/>
  <c r="G16" i="10"/>
  <c r="H16" i="10"/>
  <c r="I16" i="10"/>
  <c r="J16" i="10"/>
  <c r="K16" i="10"/>
  <c r="G17" i="10"/>
  <c r="H17" i="10"/>
  <c r="I17" i="10"/>
  <c r="J17" i="10"/>
  <c r="K17" i="10"/>
  <c r="G18" i="10"/>
  <c r="H18" i="10"/>
  <c r="I18" i="10"/>
  <c r="J18" i="10"/>
  <c r="K18" i="10"/>
  <c r="G4" i="9"/>
  <c r="H4" i="9"/>
  <c r="I4" i="9"/>
  <c r="J4" i="9"/>
  <c r="K4" i="9"/>
  <c r="G5" i="9"/>
  <c r="I5" i="9" s="1"/>
  <c r="K5" i="9" s="1"/>
  <c r="H5" i="9"/>
  <c r="J5" i="9"/>
  <c r="G6" i="9"/>
  <c r="H6" i="9"/>
  <c r="I6" i="9"/>
  <c r="J6" i="9"/>
  <c r="K6" i="9"/>
  <c r="G7" i="9"/>
  <c r="I7" i="9" s="1"/>
  <c r="K7" i="9" s="1"/>
  <c r="H7" i="9"/>
  <c r="J7" i="9"/>
  <c r="G8" i="9"/>
  <c r="H8" i="9"/>
  <c r="I8" i="9"/>
  <c r="J8" i="9"/>
  <c r="K8" i="9"/>
  <c r="G9" i="9"/>
  <c r="I9" i="9" s="1"/>
  <c r="K9" i="9" s="1"/>
  <c r="H9" i="9"/>
  <c r="J9" i="9"/>
  <c r="G10" i="9"/>
  <c r="H10" i="9"/>
  <c r="I10" i="9"/>
  <c r="J10" i="9"/>
  <c r="K10" i="9"/>
  <c r="G11" i="9"/>
  <c r="I11" i="9" s="1"/>
  <c r="K11" i="9" s="1"/>
  <c r="H11" i="9"/>
  <c r="J11" i="9"/>
  <c r="G12" i="9"/>
  <c r="H12" i="9"/>
  <c r="I12" i="9"/>
  <c r="J12" i="9"/>
  <c r="K12" i="9"/>
  <c r="G13" i="9"/>
  <c r="I13" i="9" s="1"/>
  <c r="K13" i="9" s="1"/>
  <c r="H13" i="9"/>
  <c r="J13" i="9"/>
  <c r="G14" i="9"/>
  <c r="H14" i="9"/>
  <c r="I14" i="9"/>
  <c r="J14" i="9"/>
  <c r="K14" i="9"/>
  <c r="G15" i="9"/>
  <c r="I15" i="9" s="1"/>
  <c r="K15" i="9" s="1"/>
  <c r="H15" i="9"/>
  <c r="J15" i="9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G12" i="8"/>
  <c r="H12" i="8"/>
  <c r="I12" i="8"/>
  <c r="J12" i="8"/>
  <c r="K12" i="8"/>
  <c r="G13" i="8"/>
  <c r="H13" i="8"/>
  <c r="I13" i="8"/>
  <c r="J13" i="8"/>
  <c r="K13" i="8"/>
  <c r="G14" i="8"/>
  <c r="H14" i="8"/>
  <c r="I14" i="8"/>
  <c r="J14" i="8"/>
  <c r="K14" i="8"/>
  <c r="G15" i="8"/>
  <c r="H15" i="8"/>
  <c r="I15" i="8"/>
  <c r="J15" i="8"/>
  <c r="K15" i="8"/>
  <c r="G16" i="8"/>
  <c r="H16" i="8"/>
  <c r="I16" i="8"/>
  <c r="J16" i="8"/>
  <c r="K16" i="8"/>
  <c r="G17" i="8"/>
  <c r="H17" i="8"/>
  <c r="I17" i="8"/>
  <c r="J17" i="8"/>
  <c r="K17" i="8"/>
  <c r="G18" i="8"/>
  <c r="H18" i="8"/>
  <c r="I18" i="8"/>
  <c r="J18" i="8"/>
  <c r="K18" i="8"/>
  <c r="G19" i="8"/>
  <c r="H19" i="8"/>
  <c r="I19" i="8"/>
  <c r="J19" i="8"/>
  <c r="K19" i="8"/>
  <c r="G20" i="8"/>
  <c r="H20" i="8"/>
  <c r="I20" i="8"/>
  <c r="J20" i="8"/>
  <c r="K20" i="8"/>
  <c r="G21" i="8"/>
  <c r="H21" i="8"/>
  <c r="I21" i="8"/>
  <c r="J21" i="8"/>
  <c r="K21" i="8"/>
  <c r="G22" i="8"/>
  <c r="H22" i="8"/>
  <c r="I22" i="8"/>
  <c r="J22" i="8"/>
  <c r="K22" i="8"/>
  <c r="G23" i="8"/>
  <c r="H23" i="8"/>
  <c r="I23" i="8"/>
  <c r="J23" i="8"/>
  <c r="K23" i="8"/>
  <c r="G24" i="8"/>
  <c r="H24" i="8"/>
  <c r="I24" i="8"/>
  <c r="J24" i="8"/>
  <c r="K24" i="8"/>
  <c r="G25" i="8"/>
  <c r="H25" i="8"/>
  <c r="I25" i="8"/>
  <c r="J25" i="8"/>
  <c r="K25" i="8"/>
  <c r="G26" i="8"/>
  <c r="H26" i="8"/>
  <c r="I26" i="8"/>
  <c r="J26" i="8"/>
  <c r="K26" i="8"/>
  <c r="G27" i="8"/>
  <c r="H27" i="8"/>
  <c r="I27" i="8"/>
  <c r="J27" i="8"/>
  <c r="K27" i="8"/>
  <c r="G28" i="8"/>
  <c r="H28" i="8"/>
  <c r="I28" i="8"/>
  <c r="J28" i="8"/>
  <c r="K28" i="8"/>
  <c r="G29" i="8"/>
  <c r="H29" i="8"/>
  <c r="I29" i="8"/>
  <c r="J29" i="8"/>
  <c r="K29" i="8"/>
  <c r="G4" i="7"/>
  <c r="H4" i="7"/>
  <c r="I4" i="7"/>
  <c r="J4" i="7"/>
  <c r="K4" i="7"/>
  <c r="G5" i="7"/>
  <c r="H5" i="7"/>
  <c r="I5" i="7"/>
  <c r="J5" i="7"/>
  <c r="K5" i="7"/>
  <c r="G6" i="7"/>
  <c r="H6" i="7"/>
  <c r="I6" i="7"/>
  <c r="J6" i="7"/>
  <c r="K6" i="7"/>
  <c r="G7" i="7"/>
  <c r="H7" i="7"/>
  <c r="I7" i="7"/>
  <c r="J7" i="7"/>
  <c r="K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11" i="7"/>
  <c r="H11" i="7"/>
  <c r="I11" i="7"/>
  <c r="J11" i="7"/>
  <c r="K11" i="7"/>
  <c r="G4" i="6"/>
  <c r="H4" i="6"/>
  <c r="I4" i="6"/>
  <c r="J4" i="6"/>
  <c r="K4" i="6"/>
  <c r="G5" i="6"/>
  <c r="I5" i="6" s="1"/>
  <c r="K5" i="6" s="1"/>
  <c r="H5" i="6"/>
  <c r="J5" i="6"/>
  <c r="G6" i="6"/>
  <c r="H6" i="6"/>
  <c r="I6" i="6"/>
  <c r="J6" i="6"/>
  <c r="K6" i="6"/>
  <c r="G7" i="6"/>
  <c r="I7" i="6" s="1"/>
  <c r="K7" i="6" s="1"/>
  <c r="H7" i="6"/>
  <c r="J7" i="6"/>
  <c r="G8" i="6"/>
  <c r="H8" i="6"/>
  <c r="I8" i="6"/>
  <c r="J8" i="6"/>
  <c r="K8" i="6"/>
  <c r="G9" i="6"/>
  <c r="I9" i="6" s="1"/>
  <c r="K9" i="6" s="1"/>
  <c r="H9" i="6"/>
  <c r="J9" i="6"/>
  <c r="G10" i="6"/>
  <c r="H10" i="6"/>
  <c r="I10" i="6"/>
  <c r="J10" i="6"/>
  <c r="K10" i="6"/>
  <c r="G4" i="5"/>
  <c r="H4" i="5"/>
  <c r="I4" i="5"/>
  <c r="K4" i="5" s="1"/>
  <c r="J4" i="5"/>
  <c r="G5" i="5"/>
  <c r="H5" i="5"/>
  <c r="I5" i="5"/>
  <c r="J5" i="5"/>
  <c r="K5" i="5"/>
  <c r="G6" i="5"/>
  <c r="H6" i="5"/>
  <c r="I6" i="5"/>
  <c r="K6" i="5" s="1"/>
  <c r="J6" i="5"/>
  <c r="G7" i="5"/>
  <c r="H7" i="5"/>
  <c r="I7" i="5"/>
  <c r="J7" i="5"/>
  <c r="K7" i="5"/>
  <c r="G8" i="5"/>
  <c r="H8" i="5"/>
  <c r="I8" i="5"/>
  <c r="K8" i="5" s="1"/>
  <c r="J8" i="5"/>
  <c r="G9" i="5"/>
  <c r="H9" i="5"/>
  <c r="I9" i="5"/>
  <c r="J9" i="5"/>
  <c r="K9" i="5"/>
  <c r="G10" i="5"/>
  <c r="H10" i="5"/>
  <c r="I10" i="5"/>
  <c r="K10" i="5" s="1"/>
  <c r="J10" i="5"/>
  <c r="G11" i="5"/>
  <c r="H11" i="5"/>
  <c r="I11" i="5"/>
  <c r="J11" i="5"/>
  <c r="K11" i="5"/>
  <c r="G4" i="4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/>
  <c r="G11" i="4"/>
  <c r="H11" i="4"/>
  <c r="I11" i="4"/>
  <c r="J11" i="4"/>
  <c r="K11" i="4"/>
  <c r="G12" i="4"/>
  <c r="H12" i="4"/>
  <c r="I12" i="4"/>
  <c r="J12" i="4"/>
  <c r="K12" i="4"/>
  <c r="G4" i="3"/>
  <c r="H4" i="3"/>
  <c r="I4" i="3"/>
  <c r="J4" i="3"/>
  <c r="K4" i="3"/>
  <c r="G5" i="3"/>
  <c r="H5" i="3"/>
  <c r="I5" i="3"/>
  <c r="J5" i="3"/>
  <c r="K5" i="3"/>
  <c r="G6" i="3"/>
  <c r="H6" i="3"/>
  <c r="I6" i="3"/>
  <c r="J6" i="3"/>
  <c r="K6" i="3"/>
  <c r="G7" i="3"/>
  <c r="H7" i="3"/>
  <c r="I7" i="3"/>
  <c r="J7" i="3"/>
  <c r="K7" i="3"/>
  <c r="G8" i="3"/>
  <c r="H8" i="3"/>
  <c r="I8" i="3"/>
  <c r="J8" i="3"/>
  <c r="K8" i="3"/>
  <c r="G9" i="3"/>
  <c r="H9" i="3"/>
  <c r="I9" i="3"/>
  <c r="J9" i="3"/>
  <c r="K9" i="3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H3" i="6"/>
  <c r="G3" i="6"/>
  <c r="I3" i="6" s="1"/>
  <c r="K3" i="6" s="1"/>
  <c r="J3" i="5"/>
  <c r="H3" i="5"/>
  <c r="G3" i="5"/>
  <c r="I3" i="5" s="1"/>
  <c r="K3" i="5" s="1"/>
  <c r="J3" i="4"/>
  <c r="H3" i="4"/>
  <c r="G3" i="4"/>
  <c r="I3" i="4" s="1"/>
  <c r="K3" i="4" s="1"/>
  <c r="J3" i="3"/>
  <c r="H3" i="3"/>
  <c r="G3" i="3"/>
  <c r="I3" i="3" s="1"/>
  <c r="K3" i="3" s="1"/>
  <c r="K3" i="2"/>
  <c r="J3" i="2"/>
  <c r="I3" i="2"/>
  <c r="H3" i="2"/>
  <c r="G3" i="2"/>
  <c r="L31" i="13"/>
  <c r="F31" i="13"/>
  <c r="E31" i="13"/>
  <c r="H34" i="13" s="1"/>
  <c r="D31" i="13"/>
  <c r="C31" i="13"/>
  <c r="L17" i="12"/>
  <c r="F17" i="12"/>
  <c r="E17" i="12"/>
  <c r="D17" i="12"/>
  <c r="C17" i="12"/>
  <c r="H21" i="11"/>
  <c r="G21" i="11"/>
  <c r="L18" i="11"/>
  <c r="F18" i="11"/>
  <c r="E18" i="11"/>
  <c r="D18" i="11"/>
  <c r="C18" i="11"/>
  <c r="L19" i="10"/>
  <c r="F19" i="10"/>
  <c r="E19" i="10"/>
  <c r="D19" i="10"/>
  <c r="C19" i="10"/>
  <c r="L16" i="9"/>
  <c r="F16" i="9"/>
  <c r="E10" i="1" s="1"/>
  <c r="V10" i="1" s="1"/>
  <c r="E16" i="9"/>
  <c r="G19" i="9" s="1"/>
  <c r="D16" i="9"/>
  <c r="C16" i="9"/>
  <c r="H33" i="8"/>
  <c r="G33" i="8"/>
  <c r="L30" i="8"/>
  <c r="F30" i="8"/>
  <c r="E30" i="8"/>
  <c r="D30" i="8"/>
  <c r="C30" i="8"/>
  <c r="L12" i="7"/>
  <c r="F12" i="7"/>
  <c r="E8" i="1" s="1"/>
  <c r="V8" i="1" s="1"/>
  <c r="E12" i="7"/>
  <c r="D8" i="1" s="1"/>
  <c r="D12" i="7"/>
  <c r="C12" i="7"/>
  <c r="L11" i="6"/>
  <c r="F11" i="6"/>
  <c r="E11" i="6"/>
  <c r="H14" i="6" s="1"/>
  <c r="D11" i="6"/>
  <c r="C11" i="6"/>
  <c r="B7" i="1" s="1"/>
  <c r="G15" i="5"/>
  <c r="L12" i="5"/>
  <c r="F12" i="5"/>
  <c r="E12" i="5"/>
  <c r="H15" i="5" s="1"/>
  <c r="D12" i="5"/>
  <c r="C12" i="5"/>
  <c r="H16" i="4"/>
  <c r="G16" i="4"/>
  <c r="L13" i="4"/>
  <c r="K5" i="1" s="1"/>
  <c r="F13" i="4"/>
  <c r="E13" i="4"/>
  <c r="D13" i="4"/>
  <c r="C13" i="4"/>
  <c r="L10" i="3"/>
  <c r="K4" i="1" s="1"/>
  <c r="F10" i="3"/>
  <c r="E10" i="3"/>
  <c r="D10" i="3"/>
  <c r="H13" i="3" s="1"/>
  <c r="C10" i="3"/>
  <c r="G13" i="3" s="1"/>
  <c r="L16" i="2"/>
  <c r="F16" i="2"/>
  <c r="E16" i="2"/>
  <c r="D16" i="2"/>
  <c r="C16" i="2"/>
  <c r="U14" i="1"/>
  <c r="K14" i="1"/>
  <c r="E14" i="1"/>
  <c r="D14" i="1"/>
  <c r="C14" i="1"/>
  <c r="V14" i="1" s="1"/>
  <c r="B14" i="1"/>
  <c r="K13" i="1"/>
  <c r="E13" i="1"/>
  <c r="V13" i="1" s="1"/>
  <c r="D13" i="1"/>
  <c r="T13" i="1" s="1"/>
  <c r="C13" i="1"/>
  <c r="B13" i="1"/>
  <c r="K12" i="1"/>
  <c r="E12" i="1"/>
  <c r="D12" i="1"/>
  <c r="T12" i="1" s="1"/>
  <c r="C12" i="1"/>
  <c r="V12" i="1" s="1"/>
  <c r="B12" i="1"/>
  <c r="U11" i="1"/>
  <c r="K11" i="1"/>
  <c r="E11" i="1"/>
  <c r="V11" i="1" s="1"/>
  <c r="D11" i="1"/>
  <c r="C11" i="1"/>
  <c r="B11" i="1"/>
  <c r="U10" i="1"/>
  <c r="K10" i="1"/>
  <c r="D10" i="1"/>
  <c r="C10" i="1"/>
  <c r="B10" i="1"/>
  <c r="K9" i="1"/>
  <c r="E9" i="1"/>
  <c r="D9" i="1"/>
  <c r="T9" i="1" s="1"/>
  <c r="C9" i="1"/>
  <c r="V9" i="1" s="1"/>
  <c r="B9" i="1"/>
  <c r="K8" i="1"/>
  <c r="C8" i="1"/>
  <c r="B8" i="1"/>
  <c r="K7" i="1"/>
  <c r="E7" i="1"/>
  <c r="V7" i="1" s="1"/>
  <c r="D7" i="1"/>
  <c r="C7" i="1"/>
  <c r="K6" i="1"/>
  <c r="E6" i="1"/>
  <c r="V6" i="1" s="1"/>
  <c r="D6" i="1"/>
  <c r="C6" i="1"/>
  <c r="B6" i="1"/>
  <c r="E5" i="1"/>
  <c r="V5" i="1" s="1"/>
  <c r="D5" i="1"/>
  <c r="C5" i="1"/>
  <c r="B5" i="1"/>
  <c r="E4" i="1"/>
  <c r="V4" i="1" s="1"/>
  <c r="D4" i="1"/>
  <c r="U4" i="1" s="1"/>
  <c r="C4" i="1"/>
  <c r="C15" i="1" s="1"/>
  <c r="K3" i="1"/>
  <c r="E3" i="1"/>
  <c r="E15" i="1" s="1"/>
  <c r="V15" i="1" s="1"/>
  <c r="C3" i="1"/>
  <c r="B3" i="1"/>
  <c r="J17" i="12" l="1"/>
  <c r="K17" i="12"/>
  <c r="K18" i="12" s="1"/>
  <c r="K11" i="6"/>
  <c r="K12" i="6" s="1"/>
  <c r="I18" i="11"/>
  <c r="G16" i="2"/>
  <c r="G17" i="2" s="1"/>
  <c r="J19" i="10"/>
  <c r="J20" i="10" s="1"/>
  <c r="G17" i="12"/>
  <c r="J19" i="12" s="1"/>
  <c r="K18" i="11"/>
  <c r="J12" i="1" s="1"/>
  <c r="H17" i="12"/>
  <c r="H18" i="12" s="1"/>
  <c r="G16" i="9"/>
  <c r="F10" i="1" s="1"/>
  <c r="M10" i="1" s="1"/>
  <c r="G12" i="5"/>
  <c r="G13" i="5" s="1"/>
  <c r="K13" i="4"/>
  <c r="K14" i="4" s="1"/>
  <c r="H12" i="7"/>
  <c r="H13" i="7" s="1"/>
  <c r="K16" i="9"/>
  <c r="J10" i="1" s="1"/>
  <c r="I12" i="7"/>
  <c r="H8" i="1" s="1"/>
  <c r="I30" i="8"/>
  <c r="I31" i="8" s="1"/>
  <c r="G11" i="6"/>
  <c r="G12" i="6" s="1"/>
  <c r="G31" i="13"/>
  <c r="G32" i="13" s="1"/>
  <c r="G18" i="11"/>
  <c r="H18" i="11"/>
  <c r="H19" i="11" s="1"/>
  <c r="H13" i="4"/>
  <c r="G5" i="1" s="1"/>
  <c r="J30" i="8"/>
  <c r="I9" i="1" s="1"/>
  <c r="H16" i="9"/>
  <c r="H17" i="9" s="1"/>
  <c r="I16" i="2"/>
  <c r="I13" i="4"/>
  <c r="I14" i="4" s="1"/>
  <c r="I16" i="9"/>
  <c r="I17" i="9" s="1"/>
  <c r="J16" i="2"/>
  <c r="I3" i="1" s="1"/>
  <c r="J10" i="3"/>
  <c r="I4" i="1" s="1"/>
  <c r="K19" i="10"/>
  <c r="J11" i="1" s="1"/>
  <c r="H10" i="3"/>
  <c r="H11" i="3" s="1"/>
  <c r="I10" i="3"/>
  <c r="H4" i="1" s="1"/>
  <c r="J13" i="4"/>
  <c r="J14" i="4" s="1"/>
  <c r="G12" i="7"/>
  <c r="G13" i="7" s="1"/>
  <c r="H31" i="13"/>
  <c r="G14" i="1" s="1"/>
  <c r="K10" i="3"/>
  <c r="K11" i="3" s="1"/>
  <c r="K16" i="2"/>
  <c r="G10" i="3"/>
  <c r="G11" i="3" s="1"/>
  <c r="I31" i="13"/>
  <c r="J12" i="5"/>
  <c r="J13" i="5" s="1"/>
  <c r="J18" i="11"/>
  <c r="J19" i="11" s="1"/>
  <c r="G30" i="8"/>
  <c r="G19" i="10"/>
  <c r="F11" i="1" s="1"/>
  <c r="M11" i="1" s="1"/>
  <c r="J31" i="13"/>
  <c r="I14" i="1" s="1"/>
  <c r="H11" i="6"/>
  <c r="H12" i="6" s="1"/>
  <c r="H16" i="2"/>
  <c r="H12" i="5"/>
  <c r="G6" i="1" s="1"/>
  <c r="J12" i="7"/>
  <c r="I8" i="1" s="1"/>
  <c r="H19" i="10"/>
  <c r="H20" i="10" s="1"/>
  <c r="K31" i="13"/>
  <c r="J14" i="1" s="1"/>
  <c r="I11" i="6"/>
  <c r="I12" i="6" s="1"/>
  <c r="K30" i="8"/>
  <c r="K31" i="8" s="1"/>
  <c r="K12" i="7"/>
  <c r="I19" i="10"/>
  <c r="H11" i="1" s="1"/>
  <c r="I17" i="12"/>
  <c r="K15" i="1"/>
  <c r="T8" i="1"/>
  <c r="U8" i="1"/>
  <c r="T7" i="1"/>
  <c r="U7" i="1"/>
  <c r="H19" i="2"/>
  <c r="G19" i="2"/>
  <c r="D3" i="1"/>
  <c r="V3" i="1"/>
  <c r="U13" i="1"/>
  <c r="B4" i="1"/>
  <c r="B15" i="1" s="1"/>
  <c r="T6" i="1"/>
  <c r="U6" i="1"/>
  <c r="H22" i="10"/>
  <c r="G14" i="6"/>
  <c r="U9" i="1"/>
  <c r="J11" i="6"/>
  <c r="T14" i="1"/>
  <c r="I12" i="5"/>
  <c r="H30" i="8"/>
  <c r="H15" i="7"/>
  <c r="G15" i="7"/>
  <c r="J16" i="9"/>
  <c r="T10" i="1"/>
  <c r="T5" i="1"/>
  <c r="U5" i="1"/>
  <c r="T11" i="1"/>
  <c r="U12" i="1"/>
  <c r="G13" i="4"/>
  <c r="K12" i="5"/>
  <c r="G22" i="10"/>
  <c r="H20" i="12"/>
  <c r="G20" i="12"/>
  <c r="H19" i="9"/>
  <c r="I19" i="11"/>
  <c r="H12" i="1"/>
  <c r="I13" i="1"/>
  <c r="J18" i="12"/>
  <c r="G34" i="13"/>
  <c r="I11" i="1" l="1"/>
  <c r="G10" i="1"/>
  <c r="N10" i="1" s="1"/>
  <c r="J7" i="1"/>
  <c r="J31" i="8"/>
  <c r="J13" i="1"/>
  <c r="F3" i="1"/>
  <c r="M3" i="1" s="1"/>
  <c r="H18" i="2"/>
  <c r="I18" i="2"/>
  <c r="K18" i="2"/>
  <c r="K20" i="11"/>
  <c r="F8" i="1"/>
  <c r="M8" i="1" s="1"/>
  <c r="I33" i="13"/>
  <c r="G18" i="12"/>
  <c r="F13" i="1"/>
  <c r="M13" i="1" s="1"/>
  <c r="K14" i="7"/>
  <c r="F12" i="1"/>
  <c r="M12" i="1" s="1"/>
  <c r="H17" i="2"/>
  <c r="J33" i="13"/>
  <c r="J17" i="2"/>
  <c r="H18" i="9"/>
  <c r="H9" i="1"/>
  <c r="O9" i="1" s="1"/>
  <c r="F6" i="1"/>
  <c r="M6" i="1" s="1"/>
  <c r="S10" i="1"/>
  <c r="H14" i="1"/>
  <c r="J32" i="13"/>
  <c r="I19" i="12"/>
  <c r="H12" i="3"/>
  <c r="H19" i="12"/>
  <c r="H32" i="13"/>
  <c r="K13" i="6"/>
  <c r="G13" i="1"/>
  <c r="N13" i="1" s="1"/>
  <c r="H5" i="1"/>
  <c r="O5" i="1" s="1"/>
  <c r="G17" i="9"/>
  <c r="K19" i="12"/>
  <c r="I18" i="9"/>
  <c r="I5" i="1"/>
  <c r="J15" i="4"/>
  <c r="I14" i="7"/>
  <c r="I13" i="7"/>
  <c r="H33" i="13"/>
  <c r="H13" i="1"/>
  <c r="O13" i="1" s="1"/>
  <c r="I32" i="8"/>
  <c r="K18" i="9"/>
  <c r="J18" i="2"/>
  <c r="K19" i="11"/>
  <c r="J5" i="1"/>
  <c r="G7" i="1"/>
  <c r="N7" i="1" s="1"/>
  <c r="I32" i="13"/>
  <c r="H13" i="6"/>
  <c r="F7" i="1"/>
  <c r="M7" i="1" s="1"/>
  <c r="G19" i="11"/>
  <c r="K20" i="10"/>
  <c r="H10" i="1"/>
  <c r="Q10" i="1" s="1"/>
  <c r="K21" i="10"/>
  <c r="H14" i="4"/>
  <c r="G12" i="1"/>
  <c r="K12" i="3"/>
  <c r="R11" i="1"/>
  <c r="I6" i="1"/>
  <c r="J4" i="1"/>
  <c r="I17" i="2"/>
  <c r="J13" i="7"/>
  <c r="H3" i="1"/>
  <c r="O3" i="1" s="1"/>
  <c r="I13" i="6"/>
  <c r="J12" i="3"/>
  <c r="I18" i="12"/>
  <c r="G8" i="1"/>
  <c r="K17" i="9"/>
  <c r="J14" i="5"/>
  <c r="J11" i="3"/>
  <c r="K32" i="8"/>
  <c r="H7" i="1"/>
  <c r="O7" i="1" s="1"/>
  <c r="J32" i="8"/>
  <c r="H20" i="11"/>
  <c r="J9" i="1"/>
  <c r="H14" i="7"/>
  <c r="G20" i="10"/>
  <c r="I20" i="11"/>
  <c r="S11" i="1"/>
  <c r="G4" i="1"/>
  <c r="N4" i="1" s="1"/>
  <c r="J20" i="11"/>
  <c r="J21" i="10"/>
  <c r="G3" i="1"/>
  <c r="N3" i="1" s="1"/>
  <c r="I12" i="1"/>
  <c r="K32" i="13"/>
  <c r="F14" i="1"/>
  <c r="M14" i="1" s="1"/>
  <c r="K33" i="13"/>
  <c r="G31" i="8"/>
  <c r="F9" i="1"/>
  <c r="M9" i="1" s="1"/>
  <c r="G11" i="1"/>
  <c r="P11" i="1" s="1"/>
  <c r="H21" i="10"/>
  <c r="K17" i="2"/>
  <c r="J3" i="1"/>
  <c r="I20" i="10"/>
  <c r="H13" i="5"/>
  <c r="I21" i="10"/>
  <c r="H14" i="5"/>
  <c r="F4" i="1"/>
  <c r="M4" i="1" s="1"/>
  <c r="J14" i="7"/>
  <c r="I12" i="3"/>
  <c r="I11" i="3"/>
  <c r="J8" i="1"/>
  <c r="K13" i="7"/>
  <c r="N5" i="1"/>
  <c r="O12" i="1"/>
  <c r="K14" i="5"/>
  <c r="K13" i="5"/>
  <c r="J6" i="1"/>
  <c r="N14" i="1"/>
  <c r="K15" i="4"/>
  <c r="T3" i="1"/>
  <c r="D15" i="1"/>
  <c r="U3" i="1"/>
  <c r="H15" i="4"/>
  <c r="H32" i="8"/>
  <c r="G9" i="1"/>
  <c r="H31" i="8"/>
  <c r="O4" i="1"/>
  <c r="T4" i="1"/>
  <c r="I10" i="1"/>
  <c r="R10" i="1" s="1"/>
  <c r="J18" i="9"/>
  <c r="J17" i="9"/>
  <c r="H6" i="1"/>
  <c r="I14" i="5"/>
  <c r="I13" i="5"/>
  <c r="R3" i="1"/>
  <c r="I15" i="4"/>
  <c r="Q11" i="1"/>
  <c r="O11" i="1"/>
  <c r="J13" i="6"/>
  <c r="I7" i="1"/>
  <c r="J12" i="6"/>
  <c r="N6" i="1"/>
  <c r="G14" i="4"/>
  <c r="F5" i="1"/>
  <c r="M5" i="1" s="1"/>
  <c r="O14" i="1"/>
  <c r="O8" i="1"/>
  <c r="P10" i="1" l="1"/>
  <c r="S13" i="1"/>
  <c r="S3" i="1"/>
  <c r="R13" i="1"/>
  <c r="P6" i="1"/>
  <c r="R8" i="1"/>
  <c r="P8" i="1"/>
  <c r="Q8" i="1"/>
  <c r="S8" i="1"/>
  <c r="S12" i="1"/>
  <c r="P12" i="1"/>
  <c r="Q12" i="1"/>
  <c r="R12" i="1"/>
  <c r="O10" i="1"/>
  <c r="Q13" i="1"/>
  <c r="R6" i="1"/>
  <c r="P13" i="1"/>
  <c r="S7" i="1"/>
  <c r="P7" i="1"/>
  <c r="S9" i="1"/>
  <c r="Q14" i="1"/>
  <c r="N8" i="1"/>
  <c r="Q3" i="1"/>
  <c r="P3" i="1"/>
  <c r="N11" i="1"/>
  <c r="N12" i="1"/>
  <c r="Q9" i="1"/>
  <c r="G15" i="1"/>
  <c r="N15" i="1" s="1"/>
  <c r="S4" i="1"/>
  <c r="Q4" i="1"/>
  <c r="R14" i="1"/>
  <c r="S14" i="1"/>
  <c r="P4" i="1"/>
  <c r="Q7" i="1"/>
  <c r="P14" i="1"/>
  <c r="R4" i="1"/>
  <c r="R9" i="1"/>
  <c r="R5" i="1"/>
  <c r="F15" i="1"/>
  <c r="M15" i="1" s="1"/>
  <c r="S5" i="1"/>
  <c r="T15" i="1"/>
  <c r="U15" i="1"/>
  <c r="P9" i="1"/>
  <c r="N9" i="1"/>
  <c r="Q5" i="1"/>
  <c r="S6" i="1"/>
  <c r="J15" i="1"/>
  <c r="P5" i="1"/>
  <c r="R7" i="1"/>
  <c r="I15" i="1"/>
  <c r="O6" i="1"/>
  <c r="Q6" i="1"/>
  <c r="H15" i="1"/>
  <c r="P15" i="1" l="1"/>
  <c r="R15" i="1"/>
  <c r="S15" i="1"/>
  <c r="Q15" i="1"/>
  <c r="O15" i="1"/>
</calcChain>
</file>

<file path=xl/sharedStrings.xml><?xml version="1.0" encoding="utf-8"?>
<sst xmlns="http://schemas.openxmlformats.org/spreadsheetml/2006/main" count="400" uniqueCount="215">
  <si>
    <t>Year: 2016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</si>
  <si>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</si>
  <si>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</si>
  <si>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</si>
  <si>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</si>
  <si>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</si>
  <si>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</si>
  <si>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</si>
  <si>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</si>
  <si>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</si>
  <si>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</si>
  <si>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</si>
  <si>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</si>
  <si>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</si>
  <si>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</si>
  <si>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</si>
  <si>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</si>
  <si>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</si>
  <si>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</si>
  <si>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</si>
  <si>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</si>
  <si>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</si>
  <si>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</si>
  <si>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</si>
  <si>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</si>
  <si>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</si>
  <si>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</si>
  <si>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</si>
  <si>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</si>
  <si>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</si>
  <si>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</si>
  <si>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</si>
  <si>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</si>
  <si>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</si>
  <si>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</si>
  <si>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</si>
  <si>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</si>
  <si>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</si>
  <si>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</si>
  <si>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</si>
  <si>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</si>
  <si>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</si>
  <si>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</si>
  <si>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A Microfluidic Platform for Long-Term Monitoring of Algae in a Dynamic Environment</t>
  </si>
  <si>
    <t>De Novo Biosynthesis of β-Valienamine in Engineered Streptomyces hygroscopicus 5008</t>
  </si>
  <si>
    <t>Engineering a Polyketide Synthase for In Vitro Production of Adipic Acid</t>
  </si>
  <si>
    <t>Electrochemical Measurement of the β-Galactosidase Reporter from Live Cells: A Comparison to the Miller Assay</t>
  </si>
  <si>
    <t>Regulatable and Modulable Background Expression Control in Prokaryotic Synthetic Circuits by Auxiliary Repressor Binding Sites</t>
  </si>
  <si>
    <t>Flexible and Versatile Strategy for the Construction of Large Biochemical Pathways</t>
  </si>
  <si>
    <t>Correlating in Vitro and in Vivo Activities of Light-Inducible Dimers: A Cellular Optogenetics Guide</t>
  </si>
  <si>
    <t>Metabolic Engineering toward Sustainable Production of Nylon-6</t>
  </si>
  <si>
    <t>Engineering Translational Activators with CRISPR-Cas System</t>
  </si>
  <si>
    <t>Orthogonal Modular Gene Repression in Escherichia coli Using Engineered CRISPR/Cas9</t>
  </si>
  <si>
    <t>Characterization of Intrinsic Properties of Promoters</t>
  </si>
  <si>
    <t>CIDAR MoClo: Improved MoClo Assembly Standard and New E. coli Part Library Enable Rapid Combinatorial Design for Synthetic and Traditional Biology</t>
  </si>
  <si>
    <t>In-Yeast Engineering of a Bacterial Genome Using CRISPR/Cas9</t>
  </si>
  <si>
    <t>Totals:</t>
  </si>
  <si>
    <t>% of SBOL-possible papers</t>
  </si>
  <si>
    <t>% of all / possible figures</t>
  </si>
  <si>
    <t>Controlling Central Carbon Metabolism for Improved Pathway Yields in Saccharomyces cerevisiae</t>
  </si>
  <si>
    <t>Development of an Unnatural Amino Acid Incorporation System in the Actinobacterial Natural Product Producer Streptomyces venezuelae ATCC 15439</t>
  </si>
  <si>
    <t>Slowing Translation between Protein Domains by Increasing Affinity between mRNAs and the Ribosomal Anti-Shine–Dalgarno Sequence Improves Solubility</t>
  </si>
  <si>
    <t>Marching along to an Offbeat Drum: Entrainment of Synthetic Gene Oscillators by a Noisy Stimulus</t>
  </si>
  <si>
    <t>In Vivo Real-Time Control of Gene Expression: A Comparative Analysis of Feedback Control Strategies in Yeast</t>
  </si>
  <si>
    <t>Efficient Reassignment of a Frequent Serine Codon in Wild-Type Escherichia coli</t>
  </si>
  <si>
    <t>A Toolbox of Diverse Promoters Related to Methanol Utilization: Functionally Verified Parts for Heterologous Pathway Expression in Pichia pastoris</t>
  </si>
  <si>
    <t>Antigen Binding and Site-Directed Labeling of Biosilica-Immobilized Fusion Proteins Expressed in Diatoms</t>
  </si>
  <si>
    <t>Engineering Escherichia coli for Conversion of Glucose to Medium-Chain ω-Hydroxy Fatty Acids and α,ω-Dicarboxylic Acids</t>
  </si>
  <si>
    <t>Multiple Gene Repression in Cyanobacteria Using CRISPRi</t>
  </si>
  <si>
    <t>Engineering Promoter Architecture in Oleaginous Yeast Yarrowia lipolytica</t>
  </si>
  <si>
    <t>Flux Control at the Malonyl-CoA Node through Hierarchical Dynamic Pathway Regulation in Saccharomyces cerevisiae</t>
  </si>
  <si>
    <t>Assays To Detect the Formation of Triphosphates of Unnatural Nucleotides: Application to Escherichia coli Nucleoside Diphosphate Kinase</t>
  </si>
  <si>
    <t>Circumvention of Learning Increases Intoxication Efficacy of Nematicidal Engineered Bacteria</t>
  </si>
  <si>
    <t>Identifying Regulatory Changes to Facilitate Nitrogen Fixation in the Nondiazotroph Synechocystis sp. PCC 6803</t>
  </si>
  <si>
    <t>Combinatorial Evolution of Enzymes and Synthetic Pathways Using One-Step PCR</t>
  </si>
  <si>
    <t>Measurements of Gene Expression at Steady State Improve the Predictability of Part Assembly</t>
  </si>
  <si>
    <t>Cell–Cell Communication in Yeast Using Auxin Biosynthesis and Auxin Responsive CRISPR Transcription Factors</t>
  </si>
  <si>
    <t>Engineering Transcriptional Regulator Effector Specificity Using Computational Design and In Vitro Rapid Prototyping: Developing a Vanillin Sensor</t>
  </si>
  <si>
    <t>Automatic Control of Gene Expression in Mammalian Cells</t>
  </si>
  <si>
    <t>A Tunable Protein Piston That Breaks Membranes to Release Encapsulated Cargo</t>
  </si>
  <si>
    <t>Intelligent Microbial Heat-Regulating Engine (IMHeRE) for Improved Thermo-Robustness and Efficiency of Bioconversion</t>
  </si>
  <si>
    <t>Molecular Titration Promotes Oscillations and Bistability in Minimal Network Models with Monomeric Regulators</t>
  </si>
  <si>
    <t>Modular Optimization of a Hemicellulose-Utilizing Pathway in Corynebacterium glutamicum for Consolidated Bioprocessing of Hemicellulosic Biomass</t>
  </si>
  <si>
    <t>The All E. coli TX-TL Toolbox 2.0: A Platform for Cell-Free Synthetic Biology</t>
  </si>
  <si>
    <t>Synthetic RNA Polymerase III Promoters Facilitate High-Efficiency CRISPR–Cas9-Mediated Genome Editing in Yarrowia lipolytica</t>
  </si>
  <si>
    <t>Novel Utilization of Terminators in the Design of Biologically Adjustable Synthetic Filters</t>
  </si>
  <si>
    <t>Corynebacterium glutamicum Metabolic Engineering with CRISPR Interference (CRISPRi)</t>
  </si>
  <si>
    <t>Yeast Pathway Kit: A Method for Metabolic Pathway Assembly with Automatically Simulated Executable Documentation</t>
  </si>
  <si>
    <t>Quantitative Analyses of Core Promoters Enable Precise Engineering of Regulated Gene Expression in Mammalian Cells</t>
  </si>
  <si>
    <t>Engineering of a Nepetalactol-Producing Platform Strain of Saccharomyces cerevisiae for the Production of Plant Seco-Iridoids</t>
  </si>
  <si>
    <t>The Structure of a Thermophilic Kinase Shapes Fitness upon Random Circular Permutation</t>
  </si>
  <si>
    <t>A Droplet Microfluidic Platform for Automating Genetic Engineering</t>
  </si>
  <si>
    <t>Metabolic Engineering of Pseudomonas putida KT2440 for Complete Mineralization of Methyl Parathion and γ-Hexachlorocyclohexane</t>
  </si>
  <si>
    <t>Improving Synthetic Biology Communication: Recommended Practices for Visual Depiction and Digital Submission of Genetic Designs</t>
  </si>
  <si>
    <t>Merlin: Computer-Aided Oligonucleotide Design for Large Scale Genome Engineering with MAGE</t>
  </si>
  <si>
    <t>A Statistical Approach Reveals Designs for the Most Robust Stochastic Gene Oscillators</t>
  </si>
  <si>
    <t>Genotype Specification Language</t>
  </si>
  <si>
    <t>A Converter from the Systems Biology Markup Language to the Synthetic Biology Open Language</t>
  </si>
  <si>
    <t>The SBOL Stack: A Platform for Storing, Publishing, and Sharing Synthetic Biology Designs</t>
  </si>
  <si>
    <t>Sharing Structure and Function in Biological Design with SBOL 2.0</t>
  </si>
  <si>
    <t>Double Dutch: A Tool for Designing Combinatorial Libraries of Biological Systems</t>
  </si>
  <si>
    <t>Semisupervised Gaussian Process for Automated Enzyme Search</t>
  </si>
  <si>
    <t>Repurposing a Prokaryotic Toxin-Antitoxin System for the Selective Killing of Oncogenically Stressed Human Cells</t>
  </si>
  <si>
    <t>Two Distinct Cyclodipeptide Synthases from a Marine Actinomycete Catalyze Biosynthesis of the Same Diketopiperazine Natural Product</t>
  </si>
  <si>
    <t>Optical Control of Peroxisomal Trafficking</t>
  </si>
  <si>
    <t>Rapid and Efficient One-Step Metabolic Pathway Integration in E. coli</t>
  </si>
  <si>
    <t>Exometabolomics Assisted Design and Validation of Synthetic Obligate Mutualism</t>
  </si>
  <si>
    <t>Engineering the Autotroph Methanococcus maripaludis for Geraniol Production</t>
  </si>
  <si>
    <t>Multiplexed Targeted Genome Engineering Using a Universal Nuclease-Assisted Vector Integration System</t>
  </si>
  <si>
    <t>Refactoring the Six-Gene Photosystem II Core in the Chloroplast of the Green Algae Chlamydomonas reinhardtii</t>
  </si>
  <si>
    <t>Synthetic Quorum Sensing and Cell–Cell Communication in Gram-Positive Bacillus megaterium</t>
  </si>
  <si>
    <t>Engineering of a Synthetic Metabolic Pathway for the Assimilation of (d)-Xylose into Value-Added Chemicals</t>
  </si>
  <si>
    <t>Efflux Pump Control Alters Synthetic Gene Circuit Function</t>
  </si>
  <si>
    <t>Molecular Buffers Permit Sensitivity Tuning and Inversion of Riboswitch Signals</t>
  </si>
  <si>
    <t>Entrainment and Control of Bacterial Populations: An in Silico Study over a Spatially Extended Agent Based Model</t>
  </si>
  <si>
    <t>Toward Synthetic Spatial Patterns in Engineered Cell Populations with Chemotaxis</t>
  </si>
  <si>
    <t>A Fluorescent Readout for the Oxidation State of Electron Transporting Proteins in Cell Free Settings</t>
  </si>
  <si>
    <t>Synthesis and Enzymology of 2′-Deoxy-7-deazaisoguanosine Triphosphate and Its Complement: A Second Generation Pair in an Artificially Expanded Genetic Information System</t>
  </si>
  <si>
    <t>CymA and Exogenous Flavins Improve Extracellular Electron Transfer and Couple It to Cell Growth in Mtr-Expressing Escherichia coli</t>
  </si>
  <si>
    <t>Functional Reconstitution of a Pyruvate Dehydrogenase in the Cytosol of Saccharomyces cerevisiae through Lipoylation Machinery Engineering</t>
  </si>
  <si>
    <t>Rewiring Multidomain Protein Switches: Transforming a Fluorescent Zn2+ Sensor into a Light-Responsive Zn2+ Binding Protein</t>
  </si>
  <si>
    <t>A Minimal Model of Ribosome Allocation Dynamics Captures Trade-offs in Expression between Endogenous and Synthetic Genes</t>
  </si>
  <si>
    <t>Bacterial Genome Editing with CRISPR-Cas9: Deletion, Integration, Single Nucleotide Modification, and Desirable “Clean” Mutant Selection in Clostridium beijerinckii as an Example</t>
  </si>
  <si>
    <t>Repurposing Synechocystis PCC6803 UirS–UirR as a UV-Violet/Green Photoreversible Transcriptional Regulatory Tool in E. coli</t>
  </si>
  <si>
    <t>Broad-Host-Range ProUSER Vectors Enable Fast Characterization of Inducible Promoters and Optimization of p-Coumaric Acid Production in Pseudomonas putida KT2440</t>
  </si>
  <si>
    <t>CRISPR/Cas9 Based Genome Editing of Penicillium chrysogenum</t>
  </si>
  <si>
    <t>Development of a Synthetic Oxytetracycline-Inducible Expression System for Streptomycetes Using de Novo Characterized Genetic Parts</t>
  </si>
  <si>
    <t>FlowCal: A User-Friendly, Open Source Software Tool for Automatically Converting Flow Cytometry Data from Arbitrary to Calibrated Units</t>
  </si>
  <si>
    <t>Toolbox for Exploring Modular Gene Regulation in Synthetic Biology Training</t>
  </si>
  <si>
    <t>Toward Programmable Biology</t>
  </si>
  <si>
    <t>Using RNA as Molecular Code for Programming Cellular Function</t>
  </si>
  <si>
    <t>Survival of Phenotypic Information during Cellular Growth Transitions</t>
  </si>
  <si>
    <t>Toward the First Data Acquisition Standard in Synthetic Biology</t>
  </si>
  <si>
    <t>Permutation Machines</t>
  </si>
  <si>
    <t>Efficient Analysis of Systems Biology Markup Language Models of Cellular Populations Using Arrays</t>
  </si>
  <si>
    <t>Developmental Design of Synthetic Bacterial Architectures by Morphogenetic Engineering</t>
  </si>
  <si>
    <t>A Synthetic Multicellular Memory Device</t>
  </si>
  <si>
    <t>VisBOL: Web-Based Tools for Synthetic Biology Design Visualization</t>
  </si>
  <si>
    <t>DNA 21 Collection</t>
  </si>
  <si>
    <t>The Formal Language and Design Principles of Autonomous DNA Walker Circuits</t>
  </si>
  <si>
    <t>Supervised Learning in Adaptive DNA Strand Displacement Networks</t>
  </si>
  <si>
    <t>Analog Computation by DNA Strand Displacement Circuits</t>
  </si>
  <si>
    <t>The Fifth Annual Sc2.0 and Synthetic Genomes Conference: Synthetic Genomes in High Gear</t>
  </si>
  <si>
    <t>Enhancing Intercellular Coordination: Rewiring Quorum Sensing Networks for Increased Protein Expression through Autonomous Induction</t>
  </si>
  <si>
    <t>GreA and GreB Enhance Expression of Escherichia coli RNA Polymerase Promoters in a Reconstituted Transcription–Translation System</t>
  </si>
  <si>
    <t>Programming Surface Chemistry with Engineered Cells</t>
  </si>
  <si>
    <t>Effect of Genome Position on Heterologous Gene Expression in Bacillus subtilis: An Unbiased Analysis</t>
  </si>
  <si>
    <t>Biosynthesis of Chlorophyll a in a Purple Bacterial Phototroph and Assembly into a Plant Chlorophyll–Protein Complex</t>
  </si>
  <si>
    <t>A Designed A. vinelandii–S. elongatus Coculture for Chemical Photoproduction from Air, Water, Phosphate, and Trace Metals</t>
  </si>
  <si>
    <t>Nucleotide-Dependent Bioautocatalytic Timer Reaction</t>
  </si>
  <si>
    <t>Quorum Sensing Communication Modules for Microbial Consortia</t>
  </si>
  <si>
    <t>Assessment of Anabaena sp. Strain PCC 7120 as a Heterologous Expression Host for Cyanobacterial Natural Products: Production of Lyngbyatoxin A</t>
  </si>
  <si>
    <t>Engineering Hybrid Chemotaxis Receptors in Bacteria</t>
  </si>
  <si>
    <t>Multiplexed CRISPR/Cas9- and TAR-Mediated Promoter Engineering of Natural Product Biosynthetic Gene Clusters in Yeast</t>
  </si>
  <si>
    <t>Bacterial Production of Pinene by a Laboratory-Evolved Pinene-Synthase</t>
  </si>
  <si>
    <t>A Web Interface for Codon Compression</t>
  </si>
  <si>
    <t>When Wavelengths Collide: Bias in Cell Abundance Measurements Due to Expressed Fluorescent Proteins</t>
  </si>
  <si>
    <t>DATEL: A Scarless and Sequence-Independent DNA Assembly Method Using Thermostable Exonucleases and Ligase</t>
  </si>
  <si>
    <t>Mammalian Synthetic Biology: Time for Big MACs</t>
  </si>
  <si>
    <t>Benchmarking of TALE- and CRISPR/dCas9-Based Transcriptional Regulators in Mammalian Cells for the Construction of Synthetic Genetic Circuits</t>
  </si>
  <si>
    <t>EcoFlex: A Multifunctional MoClo Kit for E. coli Synthetic Biology</t>
  </si>
  <si>
    <t>Modular Integrated Secretory System Engineering in Pichia pastoris To Enhance G-Protein Coupled Receptor Expression</t>
  </si>
  <si>
    <t>Expanding Biosensing Abilities through Computer-Aided Design of Metabolic Pathways</t>
  </si>
  <si>
    <t>Data Integration and Mining for Synthetic Biology Design</t>
  </si>
  <si>
    <t>An Orthogonal Permease–Inducer–Repressor Feedback Loop Shows Bistability</t>
  </si>
  <si>
    <t>Design of a Synthetic Integral Feedback Circuit: Dynamic Analysis and DNA Implementation</t>
  </si>
  <si>
    <t>Library-Aided Probing of Linker Determinants in Hybrid Photoreceptors</t>
  </si>
  <si>
    <t>An Implementation-Focused Bio/Algorithmic Workflow for Synthetic Biology</t>
  </si>
  <si>
    <t>Synthetic Chemical Inducers and Genetic Decoupling Enable Orthogonal Control of the rhaBAD Promoter</t>
  </si>
  <si>
    <t>Discovery, Production and Modification of Five Novel Lantibiotics Using the Promiscuous Nisin Modification Machinery</t>
  </si>
  <si>
    <t>ATLAS of Biochemistry: A Repository of All Possible Biochemical Reactions for Synthetic Biology and Metabolic Engineering Studies</t>
  </si>
  <si>
    <t>DNA Replication in Engineered Escherichia coli Genomes with Extra Replication Origins</t>
  </si>
  <si>
    <t>SEVA Linkers: A Versatile and Automatable DNA Backbone Exchange Standard for Synthetic Biology</t>
  </si>
  <si>
    <t>Construction and Characterization of a Synthetic MicroRNA Cluster for Multiplex RNA Interference in Mammalian Cells</t>
  </si>
  <si>
    <t>Rapid Diversification of BetI-Based Transcriptional Switches for the Control of Biosynthetic Pathways and Genetic Circuits</t>
  </si>
  <si>
    <t>Targeted Gene Deletion Using DNA-Free RNA-Guided Cas9 Nuclease Accelerates Adaptation of CHO Cells to Suspension Culture</t>
  </si>
  <si>
    <t>High Fidelity, Efficiency and Functionalization of Ds–Px Unnatural Base Pairs in PCR Amplification for a Genetic Alphabet Expansion System</t>
  </si>
  <si>
    <t>A Cell–Cell Communication-Based Screening System for Novel Microbes with Target Enzyme Activities</t>
  </si>
  <si>
    <t>EcoExpress—Highly Efficient Construction and Expression of Multicomponent Protein Complexes in Escherichia coli</t>
  </si>
  <si>
    <t>Optimum Rebalancing of the 3-Hydroxypropionic Acid Production Pathway from Glycerol in Escherichia coli</t>
  </si>
  <si>
    <t>Metabolic Engineering of Escherichia coli for the Production of 3-Hydroxypropionic Acid and Malonic Acid through β-Alanine Route</t>
  </si>
  <si>
    <t>Microbial Synthesis of 5-Aminolevulinic Acid and Its Coproduction with Polyhydroxybutyrate</t>
  </si>
  <si>
    <t>Biosensing Vibrio cholerae with Genetically Engineered Escherichia coli</t>
  </si>
  <si>
    <t>Sortase A-Mediated Metabolic Enzyme Ligation in Escherichia coli</t>
  </si>
  <si>
    <t>Development of Colorimetric-Based Whole-Cell Biosensor for Organophosphorus Compounds by Engineering Transcription Regulator DmpR</t>
  </si>
  <si>
    <t>Production of Succinate from Acetate by Metabolically Engineered Escherichia coli</t>
  </si>
  <si>
    <t>Semirational Approach for Ultrahigh Poly(3-hydroxybutyrate) Accumulation in Escherichia coli by Combining One-Step Library Construction and High-Throughput Screening</t>
  </si>
  <si>
    <t>The Next Generation of Synthetic Biology Chassis: Moving Synthetic Biology from the Laboratory to the Field</t>
  </si>
  <si>
    <t>Transcriptional Interference in Convergent Promoters as a Means for Tunable Gene Expression</t>
  </si>
  <si>
    <t>The Geobacillus Plasmid Set: A Modular Toolkit for Thermophile Engineering</t>
  </si>
  <si>
    <t>Combinatorial Pairwise Assembly Efficiently Generates High Affinity Binders and Enables a “Mix-and-Read” Detection Scheme</t>
  </si>
  <si>
    <t>CRISPR/Cas9-Based Efficient Genome Editing in Clostridium ljungdahlii, an Autotrophic Gas-Fermenting Bacterium</t>
  </si>
  <si>
    <t>Design and Assembly of DNA Sequence Libraries for Chromosomal Insertion in Bacteria Based on a Set of Modified MoClo Vectors</t>
  </si>
  <si>
    <t>Tapping the Unused Potential of Photosynthesis with a Heterologous Electron Sink</t>
  </si>
  <si>
    <t>The Signal Sequence of the Abundant Extracellular Metalloprotease PPEP-1 Can Be Used to Secrete Synthetic Reporter Proteins in Clostridium difficile</t>
  </si>
  <si>
    <t>C-Brick: A New Standard for Assembly of Biological Parts Using Cpf1</t>
  </si>
  <si>
    <t>Modulating and Measuring Intracellular H2O2 Using Genetically Encoded Tools to Study Its Toxicity to Human Cells</t>
  </si>
  <si>
    <t>Synthetic Lipid-Containing Scaffolds Enhance Production by Colocalizing Enzymes</t>
  </si>
  <si>
    <t>Programming Saposin-Mediated Compensatory Metabolic Sinks for Enhanced Ubiquinone Production</t>
  </si>
  <si>
    <t>A Parts Database with Consensus Parameter Estimation for Synthetic Circuit Design</t>
  </si>
  <si>
    <t>Wiring Together Synthetic Bacterial Consortia to Create a Biological Integrated Circuit</t>
  </si>
  <si>
    <t>Protein Synthesis in Coupled and Uncoupled Cell-Free Prokaryotic Gene Expression Systems</t>
  </si>
  <si>
    <t>Development of Design Rules for Reliable Antisense RNA Behavior in E. coli</t>
  </si>
  <si>
    <t>Transcriptomics-Guided Design of Synthetic Promoters for a Mammalian System</t>
  </si>
  <si>
    <t>A Living Eukaryotic Autocementation Kit from Surface Display of Silica Binding Peptides on Yarrowia lipolytica</t>
  </si>
  <si>
    <t>Full and Partial Agonism of a Designed Enzyme Switch</t>
  </si>
  <si>
    <t>Engineering Bacteria to Catabolize the Carbonaceous Component of Sarin: Teaching E. coli to Eat Isopropanol</t>
  </si>
  <si>
    <t>Converting a Natural Protein Compartment into a Nanofactory for the Size-Constrained Synthesis of Antimicrobial Silver Nanoparticles</t>
  </si>
  <si>
    <t>Mining Enzyme Diversity of Transcriptome Libraries through DNA Synthesis for Benzylisoquinoline Alkaloid Pathway Optimization in Yeast</t>
  </si>
  <si>
    <t>OptSSeq: High-Throughput Sequencing Readout of Growth Enrichment Defines Optimal Gene Expression Elements for Homoethanologenesis</t>
  </si>
  <si>
    <t>Multigene Pathway Engineering with Regulatory Linkers (M-PERL)</t>
  </si>
  <si>
    <t>Engineering an NADPH/NADP+ Redox Biosensor in Yeast</t>
  </si>
  <si>
    <t>Biosynthesis of the High-Value Plant Secondary Product Benzyl Isothiocyanate via Functional Expression of Multiple Heterologous Enzymes in Escherichia coli</t>
  </si>
  <si>
    <t>The Resistome: A Comprehensive Database of Escherichia coli Resistance Phenotypes</t>
  </si>
  <si>
    <t>Cell-Free Mixing of Escherichia coli Crude Extracts to Prototype and Rationally Engineer High-Titer Mevalonate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</si>
</sst>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color rgb="FF000000"/>
      <name val="&quot;Google Sans Mono&quot;"/>
    </font>
    <font>
      <sz val="10"/>
      <color rgb="FF000000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workbookViewId="0">
      <selection activeCell="B17" sqref="B17"/>
    </sheetView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3" width="15.83203125" customWidth="1"/>
    <col min="14" max="14" width="15.66406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10" t="s">
        <v>1</v>
      </c>
      <c r="C1" s="11"/>
      <c r="D1" s="11"/>
      <c r="E1" s="11"/>
      <c r="F1" s="10" t="s">
        <v>2</v>
      </c>
      <c r="G1" s="11"/>
      <c r="H1" s="11"/>
      <c r="I1" s="11"/>
      <c r="J1" s="11"/>
      <c r="K1" s="11"/>
      <c r="M1" s="10" t="s">
        <v>3</v>
      </c>
      <c r="N1" s="11"/>
      <c r="O1" s="11"/>
      <c r="P1" s="10" t="s">
        <v>4</v>
      </c>
      <c r="Q1" s="11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January!C16</f>
        <v>62</v>
      </c>
      <c r="C3" s="1">
        <f>January!D16</f>
        <v>22</v>
      </c>
      <c r="D3" s="1">
        <f>January!E16</f>
        <v>12</v>
      </c>
      <c r="E3" s="1">
        <f>January!F16</f>
        <v>8</v>
      </c>
      <c r="F3" s="1">
        <f>January!G16</f>
        <v>9</v>
      </c>
      <c r="G3" s="1">
        <f>January!H16</f>
        <v>5</v>
      </c>
      <c r="H3" s="1">
        <f>January!I16</f>
        <v>3</v>
      </c>
      <c r="I3" s="1">
        <f>January!J16</f>
        <v>4</v>
      </c>
      <c r="J3" s="1">
        <f>January!K16</f>
        <v>2</v>
      </c>
      <c r="K3" s="1">
        <f>January!L16</f>
        <v>13</v>
      </c>
      <c r="M3" s="2">
        <f t="shared" ref="M3:O3" si="0">F3/$K3</f>
        <v>0.69230769230769229</v>
      </c>
      <c r="N3" s="2">
        <f t="shared" si="0"/>
        <v>0.38461538461538464</v>
      </c>
      <c r="O3" s="2">
        <f t="shared" si="0"/>
        <v>0.23076923076923078</v>
      </c>
      <c r="P3" s="2">
        <f t="shared" ref="P3:Q3" si="1">G3/$F3</f>
        <v>0.55555555555555558</v>
      </c>
      <c r="Q3" s="2">
        <f t="shared" si="1"/>
        <v>0.33333333333333331</v>
      </c>
      <c r="R3" s="2">
        <f t="shared" ref="R3:R15" si="2">I3/F3</f>
        <v>0.44444444444444442</v>
      </c>
      <c r="S3" s="2">
        <f t="shared" ref="S3:S15" si="3">J3/F3</f>
        <v>0.22222222222222221</v>
      </c>
      <c r="T3" s="3">
        <f t="shared" ref="T3:T15" si="4">D3/$B3</f>
        <v>0.19354838709677419</v>
      </c>
      <c r="U3" s="3">
        <f t="shared" ref="U3:U15" si="5">D3/C3</f>
        <v>0.54545454545454541</v>
      </c>
      <c r="V3" s="2">
        <f t="shared" ref="V3:V15" si="6">E3/C3</f>
        <v>0.36363636363636365</v>
      </c>
    </row>
    <row r="4" spans="1:22" ht="15.75" customHeight="1">
      <c r="A4" s="1" t="s">
        <v>20</v>
      </c>
      <c r="B4" s="1">
        <f>February!C10</f>
        <v>41</v>
      </c>
      <c r="C4" s="1">
        <f>February!D10</f>
        <v>6</v>
      </c>
      <c r="D4" s="1">
        <f>February!E10</f>
        <v>3</v>
      </c>
      <c r="E4" s="1">
        <f>February!F10</f>
        <v>0</v>
      </c>
      <c r="F4" s="1">
        <f>February!G10</f>
        <v>4</v>
      </c>
      <c r="G4" s="1">
        <f>February!H10</f>
        <v>2</v>
      </c>
      <c r="H4" s="1">
        <f>February!I10</f>
        <v>1</v>
      </c>
      <c r="I4" s="1">
        <f>February!J10</f>
        <v>0</v>
      </c>
      <c r="J4" s="1">
        <f>February!K10</f>
        <v>0</v>
      </c>
      <c r="K4" s="1">
        <f>February!L10</f>
        <v>7</v>
      </c>
      <c r="M4" s="2">
        <f t="shared" ref="M4:O4" si="7">F4/$K4</f>
        <v>0.5714285714285714</v>
      </c>
      <c r="N4" s="2">
        <f t="shared" si="7"/>
        <v>0.2857142857142857</v>
      </c>
      <c r="O4" s="2">
        <f t="shared" si="7"/>
        <v>0.14285714285714285</v>
      </c>
      <c r="P4" s="2">
        <f t="shared" ref="P4:Q4" si="8">G4/$F4</f>
        <v>0.5</v>
      </c>
      <c r="Q4" s="2">
        <f t="shared" si="8"/>
        <v>0.25</v>
      </c>
      <c r="R4" s="2">
        <f t="shared" si="2"/>
        <v>0</v>
      </c>
      <c r="S4" s="2">
        <f t="shared" si="3"/>
        <v>0</v>
      </c>
      <c r="T4" s="3">
        <f t="shared" si="4"/>
        <v>7.3170731707317069E-2</v>
      </c>
      <c r="U4" s="3">
        <f t="shared" si="5"/>
        <v>0.5</v>
      </c>
      <c r="V4" s="2">
        <f t="shared" si="6"/>
        <v>0</v>
      </c>
    </row>
    <row r="5" spans="1:22" ht="15.75" customHeight="1">
      <c r="A5" s="1" t="s">
        <v>21</v>
      </c>
      <c r="B5" s="1">
        <f>March!C13</f>
        <v>48</v>
      </c>
      <c r="C5" s="1">
        <f>March!D13</f>
        <v>11</v>
      </c>
      <c r="D5" s="1">
        <f>March!E13</f>
        <v>6</v>
      </c>
      <c r="E5" s="1">
        <f>March!F13</f>
        <v>6</v>
      </c>
      <c r="F5" s="1">
        <f>March!G13</f>
        <v>7</v>
      </c>
      <c r="G5" s="1">
        <f>March!H13</f>
        <v>4</v>
      </c>
      <c r="H5" s="1">
        <f>March!I13</f>
        <v>4</v>
      </c>
      <c r="I5" s="1">
        <f>March!J13</f>
        <v>4</v>
      </c>
      <c r="J5" s="1">
        <f>March!K13</f>
        <v>4</v>
      </c>
      <c r="K5" s="1">
        <f>March!L13</f>
        <v>10</v>
      </c>
      <c r="M5" s="2">
        <f t="shared" ref="M5:O5" si="9">F5/$K5</f>
        <v>0.7</v>
      </c>
      <c r="N5" s="2">
        <f t="shared" si="9"/>
        <v>0.4</v>
      </c>
      <c r="O5" s="2">
        <f t="shared" si="9"/>
        <v>0.4</v>
      </c>
      <c r="P5" s="2">
        <f t="shared" ref="P5:Q5" si="10">G5/$F5</f>
        <v>0.5714285714285714</v>
      </c>
      <c r="Q5" s="2">
        <f t="shared" si="10"/>
        <v>0.5714285714285714</v>
      </c>
      <c r="R5" s="2">
        <f t="shared" si="2"/>
        <v>0.5714285714285714</v>
      </c>
      <c r="S5" s="2">
        <f t="shared" si="3"/>
        <v>0.5714285714285714</v>
      </c>
      <c r="T5" s="3">
        <f t="shared" si="4"/>
        <v>0.125</v>
      </c>
      <c r="U5" s="3">
        <f t="shared" si="5"/>
        <v>0.54545454545454541</v>
      </c>
      <c r="V5" s="2">
        <f t="shared" si="6"/>
        <v>0.54545454545454541</v>
      </c>
    </row>
    <row r="6" spans="1:22" ht="15.75" customHeight="1">
      <c r="A6" s="1" t="s">
        <v>22</v>
      </c>
      <c r="B6" s="1">
        <f>April!C12</f>
        <v>49</v>
      </c>
      <c r="C6" s="1">
        <f>April!D12</f>
        <v>19</v>
      </c>
      <c r="D6" s="1">
        <f>April!E12</f>
        <v>1</v>
      </c>
      <c r="E6" s="1">
        <f>April!F12</f>
        <v>0</v>
      </c>
      <c r="F6" s="1">
        <f>April!G12</f>
        <v>8</v>
      </c>
      <c r="G6" s="1">
        <f>April!H12</f>
        <v>1</v>
      </c>
      <c r="H6" s="1">
        <f>April!I12</f>
        <v>1</v>
      </c>
      <c r="I6" s="1">
        <f>April!J12</f>
        <v>0</v>
      </c>
      <c r="J6" s="1">
        <f>April!K12</f>
        <v>0</v>
      </c>
      <c r="K6" s="1">
        <f>April!L12</f>
        <v>9</v>
      </c>
      <c r="M6" s="2">
        <f t="shared" ref="M6:O6" si="11">F6/$K6</f>
        <v>0.88888888888888884</v>
      </c>
      <c r="N6" s="2">
        <f t="shared" si="11"/>
        <v>0.1111111111111111</v>
      </c>
      <c r="O6" s="2">
        <f t="shared" si="11"/>
        <v>0.1111111111111111</v>
      </c>
      <c r="P6" s="2">
        <f t="shared" ref="P6:Q6" si="12">G6/$F6</f>
        <v>0.125</v>
      </c>
      <c r="Q6" s="2">
        <f t="shared" si="12"/>
        <v>0.125</v>
      </c>
      <c r="R6" s="2">
        <f t="shared" si="2"/>
        <v>0</v>
      </c>
      <c r="S6" s="2">
        <f t="shared" si="3"/>
        <v>0</v>
      </c>
      <c r="T6" s="3">
        <f t="shared" si="4"/>
        <v>2.0408163265306121E-2</v>
      </c>
      <c r="U6" s="3">
        <f t="shared" si="5"/>
        <v>5.2631578947368418E-2</v>
      </c>
      <c r="V6" s="2">
        <f t="shared" si="6"/>
        <v>0</v>
      </c>
    </row>
    <row r="7" spans="1:22" ht="15.75" customHeight="1">
      <c r="A7" s="1" t="s">
        <v>23</v>
      </c>
      <c r="B7" s="1">
        <f>May!C11</f>
        <v>49</v>
      </c>
      <c r="C7" s="1">
        <f>May!D11</f>
        <v>7</v>
      </c>
      <c r="D7" s="1">
        <f>May!E11</f>
        <v>0</v>
      </c>
      <c r="E7" s="1">
        <f>May!F11</f>
        <v>0</v>
      </c>
      <c r="F7" s="1">
        <f>May!G11</f>
        <v>4</v>
      </c>
      <c r="G7" s="1">
        <f>May!H11</f>
        <v>0</v>
      </c>
      <c r="H7" s="1">
        <f>May!I11</f>
        <v>0</v>
      </c>
      <c r="I7" s="1">
        <f>May!J11</f>
        <v>0</v>
      </c>
      <c r="J7" s="1">
        <f>May!K11</f>
        <v>0</v>
      </c>
      <c r="K7" s="1">
        <f>May!L11</f>
        <v>8</v>
      </c>
      <c r="M7" s="2">
        <f t="shared" ref="M7:O7" si="13">F7/$K7</f>
        <v>0.5</v>
      </c>
      <c r="N7" s="2">
        <f t="shared" si="13"/>
        <v>0</v>
      </c>
      <c r="O7" s="2">
        <f t="shared" si="13"/>
        <v>0</v>
      </c>
      <c r="P7" s="2">
        <f t="shared" ref="P7:Q7" si="14">G7/$F7</f>
        <v>0</v>
      </c>
      <c r="Q7" s="2">
        <f t="shared" si="14"/>
        <v>0</v>
      </c>
      <c r="R7" s="2">
        <f t="shared" si="2"/>
        <v>0</v>
      </c>
      <c r="S7" s="2">
        <f t="shared" si="3"/>
        <v>0</v>
      </c>
      <c r="T7" s="3">
        <f t="shared" si="4"/>
        <v>0</v>
      </c>
      <c r="U7" s="3">
        <f t="shared" si="5"/>
        <v>0</v>
      </c>
      <c r="V7" s="2">
        <f t="shared" si="6"/>
        <v>0</v>
      </c>
    </row>
    <row r="8" spans="1:22" ht="15.75" customHeight="1">
      <c r="A8" s="1" t="s">
        <v>24</v>
      </c>
      <c r="B8" s="1">
        <f>June!C12</f>
        <v>52</v>
      </c>
      <c r="C8" s="1">
        <f>June!D12</f>
        <v>13</v>
      </c>
      <c r="D8" s="1">
        <f>June!E12</f>
        <v>13</v>
      </c>
      <c r="E8" s="1">
        <f>June!F12</f>
        <v>13</v>
      </c>
      <c r="F8" s="1">
        <f>June!G12</f>
        <v>6</v>
      </c>
      <c r="G8" s="1">
        <f>June!H12</f>
        <v>6</v>
      </c>
      <c r="H8" s="1">
        <f>June!I12</f>
        <v>6</v>
      </c>
      <c r="I8" s="1">
        <f>June!J12</f>
        <v>6</v>
      </c>
      <c r="J8" s="1">
        <f>June!K12</f>
        <v>6</v>
      </c>
      <c r="K8" s="1">
        <f>June!L12</f>
        <v>9</v>
      </c>
      <c r="M8" s="2">
        <f t="shared" ref="M8:O8" si="15">F8/$K8</f>
        <v>0.66666666666666663</v>
      </c>
      <c r="N8" s="2">
        <f t="shared" si="15"/>
        <v>0.66666666666666663</v>
      </c>
      <c r="O8" s="2">
        <f t="shared" si="15"/>
        <v>0.66666666666666663</v>
      </c>
      <c r="P8" s="2">
        <f t="shared" ref="P8:Q8" si="16">G8/$F8</f>
        <v>1</v>
      </c>
      <c r="Q8" s="2">
        <f t="shared" si="16"/>
        <v>1</v>
      </c>
      <c r="R8" s="2">
        <f t="shared" si="2"/>
        <v>1</v>
      </c>
      <c r="S8" s="2">
        <f t="shared" si="3"/>
        <v>1</v>
      </c>
      <c r="T8" s="3">
        <f t="shared" si="4"/>
        <v>0.25</v>
      </c>
      <c r="U8" s="3">
        <f t="shared" si="5"/>
        <v>1</v>
      </c>
      <c r="V8" s="2">
        <f t="shared" si="6"/>
        <v>1</v>
      </c>
    </row>
    <row r="9" spans="1:22" ht="15.75" customHeight="1">
      <c r="A9" s="1" t="s">
        <v>25</v>
      </c>
      <c r="B9" s="1">
        <f>July!C30</f>
        <v>126</v>
      </c>
      <c r="C9" s="1">
        <f>July!D30</f>
        <v>33</v>
      </c>
      <c r="D9" s="1">
        <f>July!E30</f>
        <v>26</v>
      </c>
      <c r="E9" s="1">
        <f>July!F30</f>
        <v>18</v>
      </c>
      <c r="F9" s="1">
        <f>July!G30</f>
        <v>16</v>
      </c>
      <c r="G9" s="1">
        <f>July!H30</f>
        <v>13</v>
      </c>
      <c r="H9" s="1">
        <f>July!I30</f>
        <v>11</v>
      </c>
      <c r="I9" s="1">
        <f>July!J30</f>
        <v>8</v>
      </c>
      <c r="J9" s="1">
        <f>July!K30</f>
        <v>6</v>
      </c>
      <c r="K9" s="1">
        <f>July!L30</f>
        <v>27</v>
      </c>
      <c r="M9" s="2">
        <f t="shared" ref="M9:O9" si="17">F9/$K9</f>
        <v>0.59259259259259256</v>
      </c>
      <c r="N9" s="2">
        <f t="shared" si="17"/>
        <v>0.48148148148148145</v>
      </c>
      <c r="O9" s="2">
        <f t="shared" si="17"/>
        <v>0.40740740740740738</v>
      </c>
      <c r="P9" s="2">
        <f t="shared" ref="P9:Q9" si="18">G9/$F9</f>
        <v>0.8125</v>
      </c>
      <c r="Q9" s="2">
        <f t="shared" si="18"/>
        <v>0.6875</v>
      </c>
      <c r="R9" s="2">
        <f t="shared" si="2"/>
        <v>0.5</v>
      </c>
      <c r="S9" s="2">
        <f t="shared" si="3"/>
        <v>0.375</v>
      </c>
      <c r="T9" s="3">
        <f t="shared" si="4"/>
        <v>0.20634920634920634</v>
      </c>
      <c r="U9" s="3">
        <f t="shared" si="5"/>
        <v>0.78787878787878785</v>
      </c>
      <c r="V9" s="2">
        <f t="shared" si="6"/>
        <v>0.54545454545454541</v>
      </c>
    </row>
    <row r="10" spans="1:22" ht="15.75" customHeight="1">
      <c r="A10" s="1" t="s">
        <v>26</v>
      </c>
      <c r="B10" s="1">
        <f>August!C16</f>
        <v>93</v>
      </c>
      <c r="C10" s="1">
        <f>August!D16</f>
        <v>4</v>
      </c>
      <c r="D10" s="1">
        <f>August!E16</f>
        <v>4</v>
      </c>
      <c r="E10" s="1">
        <f>August!F16</f>
        <v>4</v>
      </c>
      <c r="F10" s="1">
        <f>August!G16</f>
        <v>2</v>
      </c>
      <c r="G10" s="1">
        <f>August!H16</f>
        <v>2</v>
      </c>
      <c r="H10" s="1">
        <f>August!I16</f>
        <v>2</v>
      </c>
      <c r="I10" s="1">
        <f>August!J16</f>
        <v>2</v>
      </c>
      <c r="J10" s="1">
        <f>August!K16</f>
        <v>2</v>
      </c>
      <c r="K10" s="1">
        <f>August!L16</f>
        <v>13</v>
      </c>
      <c r="M10" s="2">
        <f t="shared" ref="M10:O10" si="19">F10/$K10</f>
        <v>0.15384615384615385</v>
      </c>
      <c r="N10" s="2">
        <f t="shared" si="19"/>
        <v>0.15384615384615385</v>
      </c>
      <c r="O10" s="2">
        <f t="shared" si="19"/>
        <v>0.15384615384615385</v>
      </c>
      <c r="P10" s="2">
        <f t="shared" ref="P10:Q10" si="20">G10/$F10</f>
        <v>1</v>
      </c>
      <c r="Q10" s="2">
        <f t="shared" si="20"/>
        <v>1</v>
      </c>
      <c r="R10" s="2">
        <f t="shared" si="2"/>
        <v>1</v>
      </c>
      <c r="S10" s="2">
        <f t="shared" si="3"/>
        <v>1</v>
      </c>
      <c r="T10" s="3">
        <f t="shared" si="4"/>
        <v>4.3010752688172046E-2</v>
      </c>
      <c r="U10" s="3">
        <f t="shared" si="5"/>
        <v>1</v>
      </c>
      <c r="V10" s="2">
        <f t="shared" si="6"/>
        <v>1</v>
      </c>
    </row>
    <row r="11" spans="1:22" ht="15.75" customHeight="1">
      <c r="A11" s="1" t="s">
        <v>27</v>
      </c>
      <c r="B11" s="1">
        <f>September!C19</f>
        <v>67</v>
      </c>
      <c r="C11" s="1">
        <f>September!D19</f>
        <v>13</v>
      </c>
      <c r="D11" s="1">
        <f>September!E19</f>
        <v>8</v>
      </c>
      <c r="E11" s="1">
        <f>September!F19</f>
        <v>7</v>
      </c>
      <c r="F11" s="1">
        <f>September!G19</f>
        <v>7</v>
      </c>
      <c r="G11" s="1">
        <f>September!H19</f>
        <v>4</v>
      </c>
      <c r="H11" s="1">
        <f>September!I19</f>
        <v>3</v>
      </c>
      <c r="I11" s="1">
        <f>September!J19</f>
        <v>4</v>
      </c>
      <c r="J11" s="1">
        <f>September!K19</f>
        <v>2</v>
      </c>
      <c r="K11" s="1">
        <f>September!L19</f>
        <v>16</v>
      </c>
      <c r="M11" s="2">
        <f t="shared" ref="M11:O11" si="21">F11/$K11</f>
        <v>0.4375</v>
      </c>
      <c r="N11" s="2">
        <f t="shared" si="21"/>
        <v>0.25</v>
      </c>
      <c r="O11" s="2">
        <f t="shared" si="21"/>
        <v>0.1875</v>
      </c>
      <c r="P11" s="2">
        <f t="shared" ref="P11:Q11" si="22">G11/$F11</f>
        <v>0.5714285714285714</v>
      </c>
      <c r="Q11" s="2">
        <f t="shared" si="22"/>
        <v>0.42857142857142855</v>
      </c>
      <c r="R11" s="2">
        <f t="shared" si="2"/>
        <v>0.5714285714285714</v>
      </c>
      <c r="S11" s="2">
        <f t="shared" si="3"/>
        <v>0.2857142857142857</v>
      </c>
      <c r="T11" s="3">
        <f t="shared" si="4"/>
        <v>0.11940298507462686</v>
      </c>
      <c r="U11" s="3">
        <f t="shared" si="5"/>
        <v>0.61538461538461542</v>
      </c>
      <c r="V11" s="2">
        <f t="shared" si="6"/>
        <v>0.53846153846153844</v>
      </c>
    </row>
    <row r="12" spans="1:22" ht="15.75" customHeight="1">
      <c r="A12" s="1" t="s">
        <v>28</v>
      </c>
      <c r="B12" s="1">
        <f>October!C18</f>
        <v>83</v>
      </c>
      <c r="C12" s="1">
        <f>October!D18</f>
        <v>22</v>
      </c>
      <c r="D12" s="1">
        <f>October!E18</f>
        <v>13</v>
      </c>
      <c r="E12" s="1">
        <f>October!F18</f>
        <v>6</v>
      </c>
      <c r="F12" s="1">
        <f>October!G18</f>
        <v>10</v>
      </c>
      <c r="G12" s="1">
        <f>October!H18</f>
        <v>8</v>
      </c>
      <c r="H12" s="1">
        <f>October!I18</f>
        <v>6</v>
      </c>
      <c r="I12" s="1">
        <f>October!J18</f>
        <v>4</v>
      </c>
      <c r="J12" s="1">
        <f>October!K18</f>
        <v>1</v>
      </c>
      <c r="K12" s="1">
        <f>October!L18</f>
        <v>15</v>
      </c>
      <c r="M12" s="2">
        <f t="shared" ref="M12:O12" si="23">F12/$K12</f>
        <v>0.66666666666666663</v>
      </c>
      <c r="N12" s="2">
        <f t="shared" si="23"/>
        <v>0.53333333333333333</v>
      </c>
      <c r="O12" s="2">
        <f t="shared" si="23"/>
        <v>0.4</v>
      </c>
      <c r="P12" s="2">
        <f t="shared" ref="P12:Q12" si="24">G12/$F12</f>
        <v>0.8</v>
      </c>
      <c r="Q12" s="2">
        <f t="shared" si="24"/>
        <v>0.6</v>
      </c>
      <c r="R12" s="2">
        <f t="shared" si="2"/>
        <v>0.4</v>
      </c>
      <c r="S12" s="2">
        <f t="shared" si="3"/>
        <v>0.1</v>
      </c>
      <c r="T12" s="3">
        <f t="shared" si="4"/>
        <v>0.15662650602409639</v>
      </c>
      <c r="U12" s="3">
        <f t="shared" si="5"/>
        <v>0.59090909090909094</v>
      </c>
      <c r="V12" s="2">
        <f t="shared" si="6"/>
        <v>0.27272727272727271</v>
      </c>
    </row>
    <row r="13" spans="1:22" ht="15.75" customHeight="1">
      <c r="A13" s="1" t="s">
        <v>29</v>
      </c>
      <c r="B13" s="1">
        <f>November!C17</f>
        <v>72</v>
      </c>
      <c r="C13" s="1">
        <f>November!D17</f>
        <v>20</v>
      </c>
      <c r="D13" s="1">
        <f>November!E17</f>
        <v>18</v>
      </c>
      <c r="E13" s="1">
        <f>November!F17</f>
        <v>10</v>
      </c>
      <c r="F13" s="1">
        <f>November!G17</f>
        <v>11</v>
      </c>
      <c r="G13" s="1">
        <f>November!H17</f>
        <v>10</v>
      </c>
      <c r="H13" s="1">
        <f>November!I17</f>
        <v>9</v>
      </c>
      <c r="I13" s="1">
        <f>November!J17</f>
        <v>6</v>
      </c>
      <c r="J13" s="1">
        <f>November!K17</f>
        <v>6</v>
      </c>
      <c r="K13" s="1">
        <f>November!L17</f>
        <v>14</v>
      </c>
      <c r="M13" s="2">
        <f t="shared" ref="M13:O13" si="25">F13/$K13</f>
        <v>0.7857142857142857</v>
      </c>
      <c r="N13" s="2">
        <f t="shared" si="25"/>
        <v>0.7142857142857143</v>
      </c>
      <c r="O13" s="2">
        <f t="shared" si="25"/>
        <v>0.6428571428571429</v>
      </c>
      <c r="P13" s="2">
        <f t="shared" ref="P13:Q13" si="26">G13/$F13</f>
        <v>0.90909090909090906</v>
      </c>
      <c r="Q13" s="2">
        <f t="shared" si="26"/>
        <v>0.81818181818181823</v>
      </c>
      <c r="R13" s="2">
        <f t="shared" si="2"/>
        <v>0.54545454545454541</v>
      </c>
      <c r="S13" s="2">
        <f t="shared" si="3"/>
        <v>0.54545454545454541</v>
      </c>
      <c r="T13" s="3">
        <f t="shared" si="4"/>
        <v>0.25</v>
      </c>
      <c r="U13" s="3">
        <f t="shared" si="5"/>
        <v>0.9</v>
      </c>
      <c r="V13" s="2">
        <f t="shared" si="6"/>
        <v>0.5</v>
      </c>
    </row>
    <row r="14" spans="1:22" ht="15.75" customHeight="1">
      <c r="A14" s="1" t="s">
        <v>30</v>
      </c>
      <c r="B14" s="1">
        <f>December!C31</f>
        <v>144</v>
      </c>
      <c r="C14" s="1">
        <f>December!D31</f>
        <v>47</v>
      </c>
      <c r="D14" s="1">
        <f>December!E31</f>
        <v>32</v>
      </c>
      <c r="E14" s="1">
        <f>December!F31</f>
        <v>18</v>
      </c>
      <c r="F14" s="1">
        <f>December!G31</f>
        <v>20</v>
      </c>
      <c r="G14" s="1">
        <f>December!H31</f>
        <v>14</v>
      </c>
      <c r="H14" s="1">
        <f>December!I31</f>
        <v>12</v>
      </c>
      <c r="I14" s="1">
        <f>December!J31</f>
        <v>8</v>
      </c>
      <c r="J14" s="1">
        <f>December!K31</f>
        <v>6</v>
      </c>
      <c r="K14" s="1">
        <f>December!L31</f>
        <v>28</v>
      </c>
      <c r="M14" s="2">
        <f t="shared" ref="M14:O14" si="27">F14/$K14</f>
        <v>0.7142857142857143</v>
      </c>
      <c r="N14" s="2">
        <f t="shared" si="27"/>
        <v>0.5</v>
      </c>
      <c r="O14" s="2">
        <f t="shared" si="27"/>
        <v>0.42857142857142855</v>
      </c>
      <c r="P14" s="2">
        <f t="shared" ref="P14:Q14" si="28">G14/$F14</f>
        <v>0.7</v>
      </c>
      <c r="Q14" s="2">
        <f t="shared" si="28"/>
        <v>0.6</v>
      </c>
      <c r="R14" s="2">
        <f t="shared" si="2"/>
        <v>0.4</v>
      </c>
      <c r="S14" s="2">
        <f t="shared" si="3"/>
        <v>0.3</v>
      </c>
      <c r="T14" s="3">
        <f t="shared" si="4"/>
        <v>0.22222222222222221</v>
      </c>
      <c r="U14" s="3">
        <f t="shared" si="5"/>
        <v>0.68085106382978722</v>
      </c>
      <c r="V14" s="2">
        <f t="shared" si="6"/>
        <v>0.38297872340425532</v>
      </c>
    </row>
    <row r="15" spans="1:22" ht="15.75" customHeight="1">
      <c r="A15" s="1" t="s">
        <v>31</v>
      </c>
      <c r="B15" s="1">
        <f t="shared" ref="B15:K15" si="29">SUM(B3:B14)</f>
        <v>886</v>
      </c>
      <c r="C15" s="1">
        <f t="shared" si="29"/>
        <v>217</v>
      </c>
      <c r="D15" s="1">
        <f t="shared" si="29"/>
        <v>136</v>
      </c>
      <c r="E15" s="1">
        <f t="shared" si="29"/>
        <v>90</v>
      </c>
      <c r="F15" s="1">
        <f t="shared" si="29"/>
        <v>104</v>
      </c>
      <c r="G15" s="1">
        <f t="shared" si="29"/>
        <v>69</v>
      </c>
      <c r="H15" s="1">
        <f t="shared" si="29"/>
        <v>58</v>
      </c>
      <c r="I15" s="1">
        <f t="shared" si="29"/>
        <v>46</v>
      </c>
      <c r="J15" s="1">
        <f t="shared" si="29"/>
        <v>35</v>
      </c>
      <c r="K15" s="1">
        <f t="shared" si="29"/>
        <v>169</v>
      </c>
      <c r="M15" s="2">
        <f t="shared" ref="M15:O15" si="30">F15/$K15</f>
        <v>0.61538461538461542</v>
      </c>
      <c r="N15" s="2">
        <f t="shared" si="30"/>
        <v>0.40828402366863903</v>
      </c>
      <c r="O15" s="2">
        <f t="shared" si="30"/>
        <v>0.34319526627218933</v>
      </c>
      <c r="P15" s="2">
        <f t="shared" ref="P15:Q15" si="31">G15/$F15</f>
        <v>0.66346153846153844</v>
      </c>
      <c r="Q15" s="2">
        <f t="shared" si="31"/>
        <v>0.55769230769230771</v>
      </c>
      <c r="R15" s="2">
        <f t="shared" si="2"/>
        <v>0.44230769230769229</v>
      </c>
      <c r="S15" s="2">
        <f t="shared" si="3"/>
        <v>0.33653846153846156</v>
      </c>
      <c r="T15" s="3">
        <f t="shared" si="4"/>
        <v>0.15349887133182843</v>
      </c>
      <c r="U15" s="3">
        <f t="shared" si="5"/>
        <v>0.62672811059907829</v>
      </c>
      <c r="V15" s="2">
        <f t="shared" si="6"/>
        <v>0.41474654377880182</v>
      </c>
    </row>
    <row r="17" spans="2:2" ht="15.75" customHeight="1">
      <c r="B17" s="1"/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9"/>
  <sheetViews>
    <sheetView workbookViewId="0">
      <selection activeCell="G3" sqref="G3:K15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43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44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15" si="0">D4&gt;0</f>
        <v>0</v>
      </c>
      <c r="H4" s="1" t="b">
        <f t="shared" ref="H4:H15" si="1">E4&gt;0</f>
        <v>0</v>
      </c>
      <c r="I4" s="1" t="b">
        <f t="shared" ref="I4:I15" si="2">AND(G4,(D4=E4))</f>
        <v>0</v>
      </c>
      <c r="J4" s="1" t="b">
        <f t="shared" ref="J4:J15" si="3">F4&gt;0</f>
        <v>0</v>
      </c>
      <c r="K4" s="1" t="b">
        <f t="shared" ref="K4:K15" si="4">AND(I4,(E4=F4))</f>
        <v>0</v>
      </c>
    </row>
    <row r="5" spans="1:12" ht="15.75" customHeight="1">
      <c r="A5" s="1" t="s">
        <v>45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46</v>
      </c>
      <c r="B6" s="1"/>
      <c r="C6" s="1">
        <v>7</v>
      </c>
      <c r="D6" s="1">
        <v>5</v>
      </c>
      <c r="E6" s="1">
        <v>4</v>
      </c>
      <c r="F6" s="1">
        <v>4</v>
      </c>
      <c r="G6" s="1" t="b">
        <f t="shared" si="0"/>
        <v>1</v>
      </c>
      <c r="H6" s="1" t="b">
        <f t="shared" si="1"/>
        <v>1</v>
      </c>
      <c r="I6" s="1" t="b">
        <f t="shared" si="2"/>
        <v>0</v>
      </c>
      <c r="J6" s="1" t="b">
        <f t="shared" si="3"/>
        <v>1</v>
      </c>
      <c r="K6" s="1" t="b">
        <f t="shared" si="4"/>
        <v>0</v>
      </c>
    </row>
    <row r="7" spans="1:12" ht="15.75" customHeight="1">
      <c r="A7" s="1" t="s">
        <v>47</v>
      </c>
      <c r="B7" s="1"/>
      <c r="C7" s="1">
        <v>6</v>
      </c>
      <c r="D7" s="1">
        <v>4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48</v>
      </c>
      <c r="B8" s="1"/>
      <c r="C8" s="1">
        <v>2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49</v>
      </c>
      <c r="B9" s="1"/>
      <c r="C9" s="1">
        <v>7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50</v>
      </c>
      <c r="B10" s="1"/>
      <c r="C10" s="1">
        <v>7</v>
      </c>
      <c r="D10" s="1">
        <v>1</v>
      </c>
      <c r="E10" s="1">
        <v>1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2" ht="15.75" customHeight="1">
      <c r="A11" s="1" t="s">
        <v>51</v>
      </c>
      <c r="B11" s="1"/>
      <c r="C11" s="1">
        <v>4</v>
      </c>
      <c r="D11" s="1">
        <v>2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52</v>
      </c>
      <c r="B12" s="1"/>
      <c r="C12" s="1">
        <v>4</v>
      </c>
      <c r="D12" s="1">
        <v>4</v>
      </c>
      <c r="E12" s="1">
        <v>4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2" ht="15.75" customHeight="1">
      <c r="A13" s="1" t="s">
        <v>53</v>
      </c>
      <c r="B13" s="5"/>
      <c r="C13" s="1">
        <v>7</v>
      </c>
      <c r="D13" s="1">
        <v>2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0</v>
      </c>
      <c r="J13" s="1" t="b">
        <f t="shared" si="3"/>
        <v>1</v>
      </c>
      <c r="K13" s="1" t="b">
        <f t="shared" si="4"/>
        <v>0</v>
      </c>
    </row>
    <row r="14" spans="1:12" ht="15.75" customHeight="1">
      <c r="A14" s="1" t="s">
        <v>54</v>
      </c>
      <c r="B14" s="1"/>
      <c r="C14" s="1">
        <v>2</v>
      </c>
      <c r="D14" s="1">
        <v>2</v>
      </c>
      <c r="E14" s="1">
        <v>2</v>
      </c>
      <c r="F14" s="1">
        <v>2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2" ht="15.75" customHeight="1">
      <c r="A15" s="1" t="s">
        <v>55</v>
      </c>
      <c r="B15" s="1"/>
      <c r="C15" s="1">
        <v>2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2" ht="15.75" customHeight="1">
      <c r="B16" s="1" t="s">
        <v>56</v>
      </c>
      <c r="C16" s="1">
        <f t="shared" ref="C16:F16" si="5">SUM(C2:C15)</f>
        <v>62</v>
      </c>
      <c r="D16" s="1">
        <f t="shared" si="5"/>
        <v>22</v>
      </c>
      <c r="E16" s="1">
        <f t="shared" si="5"/>
        <v>12</v>
      </c>
      <c r="F16" s="1">
        <f t="shared" si="5"/>
        <v>8</v>
      </c>
      <c r="G16" s="1">
        <f t="shared" ref="G16:K16" si="6">COUNTIF(G3:G15,"TRUE")</f>
        <v>9</v>
      </c>
      <c r="H16" s="1">
        <f t="shared" si="6"/>
        <v>5</v>
      </c>
      <c r="I16" s="1">
        <f t="shared" si="6"/>
        <v>3</v>
      </c>
      <c r="J16" s="1">
        <f t="shared" si="6"/>
        <v>4</v>
      </c>
      <c r="K16" s="1">
        <f t="shared" si="6"/>
        <v>2</v>
      </c>
      <c r="L16" s="6">
        <f>COUNTA(E3:E15)</f>
        <v>13</v>
      </c>
    </row>
    <row r="17" spans="5:11" ht="15.75" customHeight="1">
      <c r="E17" s="1" t="s">
        <v>3</v>
      </c>
      <c r="F17" s="2"/>
      <c r="G17" s="2">
        <f>G16/L16</f>
        <v>0.69230769230769229</v>
      </c>
      <c r="H17" s="2">
        <f>H16/L16</f>
        <v>0.38461538461538464</v>
      </c>
      <c r="I17" s="2">
        <f>I16/L16</f>
        <v>0.23076923076923078</v>
      </c>
      <c r="J17" s="2">
        <f>J16/L16</f>
        <v>0.30769230769230771</v>
      </c>
      <c r="K17" s="2">
        <f>K16/L16</f>
        <v>0.15384615384615385</v>
      </c>
    </row>
    <row r="18" spans="5:11" ht="15.75" customHeight="1">
      <c r="E18" s="1" t="s">
        <v>57</v>
      </c>
      <c r="F18" s="2"/>
      <c r="G18" s="2"/>
      <c r="H18" s="2">
        <f>H16/G16</f>
        <v>0.55555555555555558</v>
      </c>
      <c r="I18" s="2">
        <f>I16/G16</f>
        <v>0.33333333333333331</v>
      </c>
      <c r="J18" s="2">
        <f>J16/G16</f>
        <v>0.44444444444444442</v>
      </c>
      <c r="K18" s="2">
        <f>K16/G16</f>
        <v>0.22222222222222221</v>
      </c>
    </row>
    <row r="19" spans="5:11" ht="15.75" customHeight="1">
      <c r="E19" s="1" t="s">
        <v>58</v>
      </c>
      <c r="F19" s="2"/>
      <c r="G19" s="2">
        <f>E16/C16</f>
        <v>0.19354838709677419</v>
      </c>
      <c r="H19" s="2">
        <f>E16/D16</f>
        <v>0.54545454545454541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3"/>
  <sheetViews>
    <sheetView workbookViewId="0">
      <selection activeCell="G3" sqref="G3:K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59</v>
      </c>
      <c r="B3" s="5"/>
      <c r="C3" s="1">
        <v>3</v>
      </c>
      <c r="D3" s="1">
        <v>1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60</v>
      </c>
      <c r="B4" s="1"/>
      <c r="C4" s="1">
        <v>6</v>
      </c>
      <c r="D4" s="1">
        <v>3</v>
      </c>
      <c r="E4" s="1">
        <v>2</v>
      </c>
      <c r="F4" s="1">
        <v>0</v>
      </c>
      <c r="G4" s="1" t="b">
        <f t="shared" ref="G4:G9" si="0">D4&gt;0</f>
        <v>1</v>
      </c>
      <c r="H4" s="1" t="b">
        <f t="shared" ref="H4:H9" si="1">E4&gt;0</f>
        <v>1</v>
      </c>
      <c r="I4" s="1" t="b">
        <f t="shared" ref="I4:I9" si="2">AND(G4,(D4=E4))</f>
        <v>0</v>
      </c>
      <c r="J4" s="1" t="b">
        <f t="shared" ref="J4:J9" si="3">F4&gt;0</f>
        <v>0</v>
      </c>
      <c r="K4" s="1" t="b">
        <f t="shared" ref="K4:K9" si="4">AND(I4,(E4=F4))</f>
        <v>0</v>
      </c>
    </row>
    <row r="5" spans="1:12" ht="15.75" customHeight="1">
      <c r="A5" s="7" t="s">
        <v>61</v>
      </c>
      <c r="B5" s="1"/>
      <c r="C5" s="1">
        <v>8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62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63</v>
      </c>
      <c r="B7" s="1"/>
      <c r="C7" s="1">
        <v>8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64</v>
      </c>
      <c r="B8" s="1"/>
      <c r="C8" s="1">
        <v>6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65</v>
      </c>
      <c r="B9" s="1"/>
      <c r="C9" s="1">
        <v>6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B10" s="1" t="s">
        <v>56</v>
      </c>
      <c r="C10" s="1">
        <f t="shared" ref="C10:F10" si="5">SUM(C2:C9)</f>
        <v>41</v>
      </c>
      <c r="D10" s="1">
        <f t="shared" si="5"/>
        <v>6</v>
      </c>
      <c r="E10" s="1">
        <f t="shared" si="5"/>
        <v>3</v>
      </c>
      <c r="F10" s="1">
        <f t="shared" si="5"/>
        <v>0</v>
      </c>
      <c r="G10" s="1">
        <f t="shared" ref="G10:K10" si="6">COUNTIF(G3:G9,"TRUE")</f>
        <v>4</v>
      </c>
      <c r="H10" s="1">
        <f t="shared" si="6"/>
        <v>2</v>
      </c>
      <c r="I10" s="1">
        <f t="shared" si="6"/>
        <v>1</v>
      </c>
      <c r="J10" s="1">
        <f t="shared" si="6"/>
        <v>0</v>
      </c>
      <c r="K10" s="1">
        <f t="shared" si="6"/>
        <v>0</v>
      </c>
      <c r="L10" s="6">
        <f>COUNTA(E3:E9)</f>
        <v>7</v>
      </c>
    </row>
    <row r="11" spans="1:12" ht="15.75" customHeight="1">
      <c r="E11" s="1" t="s">
        <v>3</v>
      </c>
      <c r="F11" s="2"/>
      <c r="G11" s="2">
        <f>G10/L10</f>
        <v>0.5714285714285714</v>
      </c>
      <c r="H11" s="2">
        <f>H10/L10</f>
        <v>0.2857142857142857</v>
      </c>
      <c r="I11" s="2">
        <f>I10/L10</f>
        <v>0.14285714285714285</v>
      </c>
      <c r="J11" s="2">
        <f>J10/L10</f>
        <v>0</v>
      </c>
      <c r="K11" s="2">
        <f>K10/L10</f>
        <v>0</v>
      </c>
    </row>
    <row r="12" spans="1:12" ht="15.75" customHeight="1">
      <c r="E12" s="1" t="s">
        <v>57</v>
      </c>
      <c r="F12" s="2"/>
      <c r="G12" s="2"/>
      <c r="H12" s="2">
        <f>H10/G10</f>
        <v>0.5</v>
      </c>
      <c r="I12" s="2">
        <f>I10/G10</f>
        <v>0.25</v>
      </c>
      <c r="J12" s="2">
        <f>J10/G10</f>
        <v>0</v>
      </c>
      <c r="K12" s="2">
        <f>K10/G10</f>
        <v>0</v>
      </c>
    </row>
    <row r="13" spans="1:12" ht="15.75" customHeight="1">
      <c r="E13" s="1" t="s">
        <v>58</v>
      </c>
      <c r="F13" s="2"/>
      <c r="G13" s="2">
        <f>E10/C10</f>
        <v>7.3170731707317069E-2</v>
      </c>
      <c r="H13" s="2">
        <f>E10/D10</f>
        <v>0.5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6"/>
  <sheetViews>
    <sheetView workbookViewId="0">
      <selection activeCell="G3" sqref="G3:K1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66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67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12" si="0">D4&gt;0</f>
        <v>0</v>
      </c>
      <c r="H4" s="1" t="b">
        <f t="shared" ref="H4:H12" si="1">E4&gt;0</f>
        <v>0</v>
      </c>
      <c r="I4" s="1" t="b">
        <f t="shared" ref="I4:I12" si="2">AND(G4,(D4=E4))</f>
        <v>0</v>
      </c>
      <c r="J4" s="1" t="b">
        <f t="shared" ref="J4:J12" si="3">F4&gt;0</f>
        <v>0</v>
      </c>
      <c r="K4" s="1" t="b">
        <f t="shared" ref="K4:K12" si="4">AND(I4,(E4=F4))</f>
        <v>0</v>
      </c>
    </row>
    <row r="5" spans="1:12" ht="15.75" customHeight="1">
      <c r="A5" s="1" t="s">
        <v>68</v>
      </c>
      <c r="B5" s="1"/>
      <c r="C5" s="1">
        <v>4</v>
      </c>
      <c r="D5" s="1">
        <v>1</v>
      </c>
      <c r="E5" s="1">
        <v>1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2" ht="15.75" customHeight="1">
      <c r="A6" s="1" t="s">
        <v>69</v>
      </c>
      <c r="B6" s="1"/>
      <c r="C6" s="1">
        <v>7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70</v>
      </c>
      <c r="B7" s="1"/>
      <c r="C7" s="1">
        <v>6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71</v>
      </c>
      <c r="B8" s="1"/>
      <c r="C8" s="1">
        <v>6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2" ht="15.75" customHeight="1">
      <c r="A9" s="1" t="s">
        <v>72</v>
      </c>
      <c r="B9" s="1"/>
      <c r="C9" s="1">
        <v>4</v>
      </c>
      <c r="D9" s="1">
        <v>1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2" ht="15.75" customHeight="1">
      <c r="A10" s="1" t="s">
        <v>73</v>
      </c>
      <c r="B10" s="1"/>
      <c r="C10" s="1">
        <v>5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74</v>
      </c>
      <c r="B11" s="1"/>
      <c r="C11" s="1">
        <v>5</v>
      </c>
      <c r="D11" s="1">
        <v>3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75</v>
      </c>
      <c r="B12" s="1"/>
      <c r="C12" s="1">
        <v>3</v>
      </c>
      <c r="D12" s="1">
        <v>3</v>
      </c>
      <c r="E12" s="1">
        <v>3</v>
      </c>
      <c r="F12" s="1">
        <v>3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2" ht="15.75" customHeight="1">
      <c r="B13" s="1" t="s">
        <v>56</v>
      </c>
      <c r="C13" s="1">
        <f t="shared" ref="C13:F13" si="5">SUM(C2:C12)</f>
        <v>48</v>
      </c>
      <c r="D13" s="1">
        <f t="shared" si="5"/>
        <v>11</v>
      </c>
      <c r="E13" s="1">
        <f t="shared" si="5"/>
        <v>6</v>
      </c>
      <c r="F13" s="1">
        <f t="shared" si="5"/>
        <v>6</v>
      </c>
      <c r="G13" s="1">
        <f t="shared" ref="G13:K13" si="6">COUNTIF(G3:G12,"TRUE")</f>
        <v>7</v>
      </c>
      <c r="H13" s="1">
        <f t="shared" si="6"/>
        <v>4</v>
      </c>
      <c r="I13" s="1">
        <f t="shared" si="6"/>
        <v>4</v>
      </c>
      <c r="J13" s="1">
        <f t="shared" si="6"/>
        <v>4</v>
      </c>
      <c r="K13" s="1">
        <f t="shared" si="6"/>
        <v>4</v>
      </c>
      <c r="L13" s="6">
        <f>COUNTA(E3:E12)</f>
        <v>10</v>
      </c>
    </row>
    <row r="14" spans="1:12" ht="15.75" customHeight="1">
      <c r="E14" s="1" t="s">
        <v>3</v>
      </c>
      <c r="F14" s="2"/>
      <c r="G14" s="2">
        <f>G13/L13</f>
        <v>0.7</v>
      </c>
      <c r="H14" s="2">
        <f>H13/L13</f>
        <v>0.4</v>
      </c>
      <c r="I14" s="2">
        <f>I13/L13</f>
        <v>0.4</v>
      </c>
      <c r="J14" s="2">
        <f>J13/L13</f>
        <v>0.4</v>
      </c>
      <c r="K14" s="2">
        <f>K13/L13</f>
        <v>0.4</v>
      </c>
    </row>
    <row r="15" spans="1:12" ht="15.75" customHeight="1">
      <c r="E15" s="1" t="s">
        <v>57</v>
      </c>
      <c r="F15" s="2"/>
      <c r="G15" s="2"/>
      <c r="H15" s="2">
        <f>H13/G13</f>
        <v>0.5714285714285714</v>
      </c>
      <c r="I15" s="2">
        <f>I13/G13</f>
        <v>0.5714285714285714</v>
      </c>
      <c r="J15" s="2">
        <f>J13/G13</f>
        <v>0.5714285714285714</v>
      </c>
      <c r="K15" s="2">
        <f>K13/G13</f>
        <v>0.5714285714285714</v>
      </c>
    </row>
    <row r="16" spans="1:12" ht="15.75" customHeight="1">
      <c r="E16" s="1" t="s">
        <v>58</v>
      </c>
      <c r="F16" s="2"/>
      <c r="G16" s="2">
        <f>E13/C13</f>
        <v>0.125</v>
      </c>
      <c r="H16" s="2">
        <f>E13/D13</f>
        <v>0.54545454545454541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5"/>
  <sheetViews>
    <sheetView workbookViewId="0">
      <selection activeCell="G3" sqref="G3:K11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7" t="s">
        <v>76</v>
      </c>
      <c r="B3" s="1"/>
      <c r="C3" s="1">
        <v>5</v>
      </c>
      <c r="D3" s="1">
        <v>4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77</v>
      </c>
      <c r="B4" s="1"/>
      <c r="C4" s="1">
        <v>8</v>
      </c>
      <c r="D4" s="1">
        <v>3</v>
      </c>
      <c r="E4" s="1">
        <v>0</v>
      </c>
      <c r="F4" s="1">
        <v>0</v>
      </c>
      <c r="G4" s="1" t="b">
        <f t="shared" ref="G4:G11" si="0">D4&gt;0</f>
        <v>1</v>
      </c>
      <c r="H4" s="1" t="b">
        <f t="shared" ref="H4:H11" si="1">E4&gt;0</f>
        <v>0</v>
      </c>
      <c r="I4" s="1" t="b">
        <f t="shared" ref="I4:I11" si="2">AND(G4,(D4=E4))</f>
        <v>0</v>
      </c>
      <c r="J4" s="1" t="b">
        <f t="shared" ref="J4:J11" si="3">F4&gt;0</f>
        <v>0</v>
      </c>
      <c r="K4" s="1" t="b">
        <f t="shared" ref="K4:K11" si="4">AND(I4,(E4=F4))</f>
        <v>0</v>
      </c>
    </row>
    <row r="5" spans="1:12" ht="15.75" customHeight="1">
      <c r="A5" s="1" t="s">
        <v>78</v>
      </c>
      <c r="B5" s="1"/>
      <c r="C5" s="1">
        <v>4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79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80</v>
      </c>
      <c r="B7" s="1"/>
      <c r="C7" s="1">
        <v>5</v>
      </c>
      <c r="D7" s="1">
        <v>3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81</v>
      </c>
      <c r="B8" s="1"/>
      <c r="C8" s="1">
        <v>7</v>
      </c>
      <c r="D8" s="1">
        <v>3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82</v>
      </c>
      <c r="B9" s="1"/>
      <c r="C9" s="1">
        <v>6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83</v>
      </c>
      <c r="B10" s="1"/>
      <c r="C10" s="1">
        <v>7</v>
      </c>
      <c r="D10" s="1">
        <v>3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84</v>
      </c>
      <c r="B11" s="1"/>
      <c r="C11" s="1">
        <v>2</v>
      </c>
      <c r="D11" s="1">
        <v>1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B12" s="1" t="s">
        <v>56</v>
      </c>
      <c r="C12" s="1">
        <f t="shared" ref="C12:F12" si="5">SUM(C2:C11)</f>
        <v>49</v>
      </c>
      <c r="D12" s="1">
        <f t="shared" si="5"/>
        <v>19</v>
      </c>
      <c r="E12" s="1">
        <f t="shared" si="5"/>
        <v>1</v>
      </c>
      <c r="F12" s="1">
        <f t="shared" si="5"/>
        <v>0</v>
      </c>
      <c r="G12" s="1">
        <f t="shared" ref="G12:K12" si="6">COUNTIF(G3:G11,"TRUE")</f>
        <v>8</v>
      </c>
      <c r="H12" s="1">
        <f t="shared" si="6"/>
        <v>1</v>
      </c>
      <c r="I12" s="1">
        <f t="shared" si="6"/>
        <v>1</v>
      </c>
      <c r="J12" s="1">
        <f t="shared" si="6"/>
        <v>0</v>
      </c>
      <c r="K12" s="1">
        <f t="shared" si="6"/>
        <v>0</v>
      </c>
      <c r="L12" s="6">
        <f>COUNTA(E3:E11)</f>
        <v>9</v>
      </c>
    </row>
    <row r="13" spans="1:12" ht="15.75" customHeight="1">
      <c r="E13" s="1" t="s">
        <v>3</v>
      </c>
      <c r="F13" s="2"/>
      <c r="G13" s="2">
        <f>G12/L12</f>
        <v>0.88888888888888884</v>
      </c>
      <c r="H13" s="2">
        <f>H12/L12</f>
        <v>0.1111111111111111</v>
      </c>
      <c r="I13" s="2">
        <f>I12/L12</f>
        <v>0.1111111111111111</v>
      </c>
      <c r="J13" s="2">
        <f>J12/L12</f>
        <v>0</v>
      </c>
      <c r="K13" s="2">
        <f>K12/L12</f>
        <v>0</v>
      </c>
    </row>
    <row r="14" spans="1:12" ht="15.75" customHeight="1">
      <c r="E14" s="1" t="s">
        <v>57</v>
      </c>
      <c r="F14" s="2"/>
      <c r="G14" s="2"/>
      <c r="H14" s="2">
        <f>H12/G12</f>
        <v>0.125</v>
      </c>
      <c r="I14" s="2">
        <f>I12/G12</f>
        <v>0.125</v>
      </c>
      <c r="J14" s="2">
        <f>J12/G12</f>
        <v>0</v>
      </c>
      <c r="K14" s="2">
        <f>K12/G12</f>
        <v>0</v>
      </c>
    </row>
    <row r="15" spans="1:12" ht="15.75" customHeight="1">
      <c r="E15" s="1" t="s">
        <v>58</v>
      </c>
      <c r="F15" s="2"/>
      <c r="G15" s="2">
        <f>E12/C12</f>
        <v>2.0408163265306121E-2</v>
      </c>
      <c r="H15" s="2">
        <f>E12/D12</f>
        <v>5.2631578947368418E-2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4"/>
  <sheetViews>
    <sheetView workbookViewId="0">
      <selection activeCell="I3" sqref="I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85</v>
      </c>
      <c r="B3" s="1"/>
      <c r="C3" s="1">
        <v>6</v>
      </c>
      <c r="D3" s="1">
        <v>2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86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10" si="0">D4&gt;0</f>
        <v>0</v>
      </c>
      <c r="H4" s="1" t="b">
        <f t="shared" ref="H4:H10" si="1">E4&gt;0</f>
        <v>0</v>
      </c>
      <c r="I4" s="1" t="b">
        <f t="shared" ref="I4:I10" si="2">AND(G4,(D4=E4))</f>
        <v>0</v>
      </c>
      <c r="J4" s="1" t="b">
        <f t="shared" ref="J4:J10" si="3">F4&gt;0</f>
        <v>0</v>
      </c>
      <c r="K4" s="1" t="b">
        <f t="shared" ref="K4:K10" si="4">AND(I4,(E4=F4))</f>
        <v>0</v>
      </c>
    </row>
    <row r="5" spans="1:12" ht="15.75" customHeight="1">
      <c r="A5" s="1" t="s">
        <v>87</v>
      </c>
      <c r="B5" s="1"/>
      <c r="C5" s="1">
        <v>5</v>
      </c>
      <c r="D5" s="1">
        <v>3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88</v>
      </c>
      <c r="B6" s="1"/>
      <c r="C6" s="1">
        <v>7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89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90</v>
      </c>
      <c r="B8" s="1"/>
      <c r="C8" s="1">
        <v>6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91</v>
      </c>
      <c r="B9" s="1"/>
      <c r="C9" s="1">
        <v>7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92</v>
      </c>
      <c r="B10" s="1"/>
      <c r="C10" s="1">
        <v>7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B11" s="1" t="s">
        <v>56</v>
      </c>
      <c r="C11" s="1">
        <f t="shared" ref="C11:F11" si="5">SUM(C2:C10)</f>
        <v>49</v>
      </c>
      <c r="D11" s="1">
        <f t="shared" si="5"/>
        <v>7</v>
      </c>
      <c r="E11" s="1">
        <f t="shared" si="5"/>
        <v>0</v>
      </c>
      <c r="F11" s="1">
        <f t="shared" si="5"/>
        <v>0</v>
      </c>
      <c r="G11" s="1">
        <f t="shared" ref="G11:K11" si="6">COUNTIF(G3:G10,"TRUE")</f>
        <v>4</v>
      </c>
      <c r="H11" s="1">
        <f t="shared" si="6"/>
        <v>0</v>
      </c>
      <c r="I11" s="1">
        <f t="shared" si="6"/>
        <v>0</v>
      </c>
      <c r="J11" s="1">
        <f t="shared" si="6"/>
        <v>0</v>
      </c>
      <c r="K11" s="1">
        <f t="shared" si="6"/>
        <v>0</v>
      </c>
      <c r="L11" s="6">
        <f>COUNTA(E3:E10)</f>
        <v>8</v>
      </c>
    </row>
    <row r="12" spans="1:12" ht="15.75" customHeight="1">
      <c r="E12" s="1" t="s">
        <v>3</v>
      </c>
      <c r="F12" s="2"/>
      <c r="G12" s="2">
        <f>G11/L11</f>
        <v>0.5</v>
      </c>
      <c r="H12" s="2">
        <f>H11/L11</f>
        <v>0</v>
      </c>
      <c r="I12" s="2">
        <f>I11/L11</f>
        <v>0</v>
      </c>
      <c r="J12" s="2">
        <f>J11/L11</f>
        <v>0</v>
      </c>
      <c r="K12" s="2">
        <f>K11/L11</f>
        <v>0</v>
      </c>
    </row>
    <row r="13" spans="1:12" ht="15.75" customHeight="1">
      <c r="E13" s="1" t="s">
        <v>57</v>
      </c>
      <c r="F13" s="2"/>
      <c r="G13" s="2"/>
      <c r="H13" s="2">
        <f>H11/G11</f>
        <v>0</v>
      </c>
      <c r="I13" s="2">
        <f>I11/G11</f>
        <v>0</v>
      </c>
      <c r="J13" s="2">
        <f>J11/G11</f>
        <v>0</v>
      </c>
      <c r="K13" s="2">
        <f>K11/G11</f>
        <v>0</v>
      </c>
    </row>
    <row r="14" spans="1:12" ht="15.75" customHeight="1">
      <c r="E14" s="1" t="s">
        <v>58</v>
      </c>
      <c r="F14" s="2"/>
      <c r="G14" s="2">
        <f>E11/C11</f>
        <v>0</v>
      </c>
      <c r="H14" s="2">
        <f>E11/D11</f>
        <v>0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5"/>
  <sheetViews>
    <sheetView workbookViewId="0">
      <selection activeCell="G3" sqref="G3:K11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93</v>
      </c>
      <c r="B3" s="1"/>
      <c r="C3" s="1">
        <v>1</v>
      </c>
      <c r="D3" s="1">
        <v>1</v>
      </c>
      <c r="E3" s="1">
        <v>1</v>
      </c>
      <c r="F3" s="1">
        <v>1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F3&gt;0</f>
        <v>1</v>
      </c>
      <c r="K3" s="1" t="b">
        <f>AND(I3,(E3=F3))</f>
        <v>1</v>
      </c>
    </row>
    <row r="4" spans="1:12" ht="15.75" customHeight="1">
      <c r="A4" s="1" t="s">
        <v>94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11" si="0">D4&gt;0</f>
        <v>0</v>
      </c>
      <c r="H4" s="1" t="b">
        <f t="shared" ref="H4:H11" si="1">E4&gt;0</f>
        <v>0</v>
      </c>
      <c r="I4" s="1" t="b">
        <f t="shared" ref="I4:I11" si="2">AND(G4,(D4=E4))</f>
        <v>0</v>
      </c>
      <c r="J4" s="1" t="b">
        <f t="shared" ref="J4:J11" si="3">F4&gt;0</f>
        <v>0</v>
      </c>
      <c r="K4" s="1" t="b">
        <f t="shared" ref="K4:K11" si="4">AND(I4,(E4=F4))</f>
        <v>0</v>
      </c>
    </row>
    <row r="5" spans="1:12" ht="15.75" customHeight="1">
      <c r="A5" s="1" t="s">
        <v>95</v>
      </c>
      <c r="B5" s="1"/>
      <c r="C5" s="1">
        <v>7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96</v>
      </c>
      <c r="B6" s="1"/>
      <c r="C6" s="1">
        <v>8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2" ht="15.75" customHeight="1">
      <c r="A7" s="1" t="s">
        <v>97</v>
      </c>
      <c r="B7" s="1"/>
      <c r="C7" s="1">
        <v>4</v>
      </c>
      <c r="D7" s="1">
        <v>4</v>
      </c>
      <c r="E7" s="1">
        <v>4</v>
      </c>
      <c r="F7" s="1">
        <v>4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2" ht="15.75" customHeight="1">
      <c r="A8" s="1" t="s">
        <v>98</v>
      </c>
      <c r="B8" s="1"/>
      <c r="C8" s="1">
        <v>12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2" ht="15.75" customHeight="1">
      <c r="A9" s="1" t="s">
        <v>99</v>
      </c>
      <c r="B9" s="1"/>
      <c r="C9" s="1">
        <v>4</v>
      </c>
      <c r="D9" s="1">
        <v>3</v>
      </c>
      <c r="E9" s="1">
        <v>3</v>
      </c>
      <c r="F9" s="1">
        <v>3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2" ht="15.75" customHeight="1">
      <c r="A10" s="1" t="s">
        <v>100</v>
      </c>
      <c r="B10" s="1"/>
      <c r="C10" s="1">
        <v>5</v>
      </c>
      <c r="D10" s="1">
        <v>3</v>
      </c>
      <c r="E10" s="1">
        <v>3</v>
      </c>
      <c r="F10" s="1">
        <v>3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2" ht="15.75" customHeight="1">
      <c r="A11" s="1" t="s">
        <v>101</v>
      </c>
      <c r="B11" s="1"/>
      <c r="C11" s="1">
        <v>8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B12" s="1" t="s">
        <v>56</v>
      </c>
      <c r="C12" s="1">
        <f t="shared" ref="C12:F12" si="5">SUM(C2:C11)</f>
        <v>52</v>
      </c>
      <c r="D12" s="1">
        <f t="shared" si="5"/>
        <v>13</v>
      </c>
      <c r="E12" s="1">
        <f t="shared" si="5"/>
        <v>13</v>
      </c>
      <c r="F12" s="1">
        <f t="shared" si="5"/>
        <v>13</v>
      </c>
      <c r="G12" s="1">
        <f t="shared" ref="G12:K12" si="6">COUNTIF(G3:G11,"TRUE")</f>
        <v>6</v>
      </c>
      <c r="H12" s="1">
        <f t="shared" si="6"/>
        <v>6</v>
      </c>
      <c r="I12" s="1">
        <f t="shared" si="6"/>
        <v>6</v>
      </c>
      <c r="J12" s="1">
        <f t="shared" si="6"/>
        <v>6</v>
      </c>
      <c r="K12" s="1">
        <f t="shared" si="6"/>
        <v>6</v>
      </c>
      <c r="L12" s="6">
        <f>COUNTA(E3:E11)</f>
        <v>9</v>
      </c>
    </row>
    <row r="13" spans="1:12" ht="15.75" customHeight="1">
      <c r="E13" s="1" t="s">
        <v>3</v>
      </c>
      <c r="F13" s="2"/>
      <c r="G13" s="2">
        <f>G12/L12</f>
        <v>0.66666666666666663</v>
      </c>
      <c r="H13" s="2">
        <f>H12/L12</f>
        <v>0.66666666666666663</v>
      </c>
      <c r="I13" s="2">
        <f>I12/L12</f>
        <v>0.66666666666666663</v>
      </c>
      <c r="J13" s="2">
        <f>J12/L12</f>
        <v>0.66666666666666663</v>
      </c>
      <c r="K13" s="2">
        <f>K12/L12</f>
        <v>0.66666666666666663</v>
      </c>
    </row>
    <row r="14" spans="1:12" ht="15.75" customHeight="1">
      <c r="E14" s="1" t="s">
        <v>57</v>
      </c>
      <c r="F14" s="2"/>
      <c r="G14" s="2"/>
      <c r="H14" s="2">
        <f>H12/G12</f>
        <v>1</v>
      </c>
      <c r="I14" s="2">
        <f>I12/G12</f>
        <v>1</v>
      </c>
      <c r="J14" s="2">
        <f>J12/G12</f>
        <v>1</v>
      </c>
      <c r="K14" s="2">
        <f>K12/G12</f>
        <v>1</v>
      </c>
    </row>
    <row r="15" spans="1:12" ht="15.75" customHeight="1">
      <c r="E15" s="1" t="s">
        <v>58</v>
      </c>
      <c r="F15" s="2"/>
      <c r="G15" s="2">
        <f>E12/C12</f>
        <v>0.25</v>
      </c>
      <c r="H15" s="2">
        <f>E12/D12</f>
        <v>1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33"/>
  <sheetViews>
    <sheetView workbookViewId="0">
      <selection activeCell="G3" sqref="G3:K2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102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1" ht="15.75" customHeight="1">
      <c r="A4" s="1" t="s">
        <v>103</v>
      </c>
      <c r="B4" s="1"/>
      <c r="C4" s="1">
        <v>3</v>
      </c>
      <c r="D4" s="1">
        <v>1</v>
      </c>
      <c r="E4" s="1">
        <v>1</v>
      </c>
      <c r="F4" s="1">
        <v>1</v>
      </c>
      <c r="G4" s="1" t="b">
        <f t="shared" ref="G4:G29" si="0">D4&gt;0</f>
        <v>1</v>
      </c>
      <c r="H4" s="1" t="b">
        <f t="shared" ref="H4:H29" si="1">E4&gt;0</f>
        <v>1</v>
      </c>
      <c r="I4" s="1" t="b">
        <f t="shared" ref="I4:I29" si="2">AND(G4,(D4=E4))</f>
        <v>1</v>
      </c>
      <c r="J4" s="1" t="b">
        <f t="shared" ref="J4:J29" si="3">F4&gt;0</f>
        <v>1</v>
      </c>
      <c r="K4" s="1" t="b">
        <f t="shared" ref="K4:K29" si="4">AND(I4,(E4=F4))</f>
        <v>1</v>
      </c>
    </row>
    <row r="5" spans="1:11" ht="15.75" customHeight="1">
      <c r="A5" s="1" t="s">
        <v>104</v>
      </c>
      <c r="B5" s="1"/>
      <c r="C5" s="1">
        <v>5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105</v>
      </c>
      <c r="B6" s="1"/>
      <c r="C6" s="1">
        <v>4</v>
      </c>
      <c r="D6" s="1">
        <v>3</v>
      </c>
      <c r="E6" s="1">
        <v>2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0</v>
      </c>
      <c r="J6" s="1" t="b">
        <f t="shared" si="3"/>
        <v>1</v>
      </c>
      <c r="K6" s="1" t="b">
        <f t="shared" si="4"/>
        <v>0</v>
      </c>
    </row>
    <row r="7" spans="1:11" ht="15.75" customHeight="1">
      <c r="A7" s="1" t="s">
        <v>106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107</v>
      </c>
      <c r="B8" s="1"/>
      <c r="C8" s="1">
        <v>4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108</v>
      </c>
      <c r="B9" s="1"/>
      <c r="C9" s="1">
        <v>3</v>
      </c>
      <c r="D9" s="1">
        <v>3</v>
      </c>
      <c r="E9" s="1">
        <v>3</v>
      </c>
      <c r="F9" s="1">
        <v>3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109</v>
      </c>
      <c r="B10" s="1"/>
      <c r="C10" s="1">
        <v>2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110</v>
      </c>
      <c r="B11" s="1"/>
      <c r="C11" s="1">
        <v>5</v>
      </c>
      <c r="D11" s="1">
        <v>1</v>
      </c>
      <c r="E11" s="1">
        <v>1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111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112</v>
      </c>
      <c r="B13" s="1"/>
      <c r="C13" s="1">
        <v>8</v>
      </c>
      <c r="D13" s="1">
        <v>3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113</v>
      </c>
      <c r="B14" s="1"/>
      <c r="C14" s="1">
        <v>4</v>
      </c>
      <c r="D14" s="1">
        <v>3</v>
      </c>
      <c r="E14" s="1">
        <v>3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114</v>
      </c>
      <c r="B15" s="1"/>
      <c r="C15" s="1">
        <v>11</v>
      </c>
      <c r="D15" s="1">
        <v>1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115</v>
      </c>
      <c r="B16" s="1"/>
      <c r="C16" s="1">
        <v>5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116</v>
      </c>
      <c r="B17" s="1"/>
      <c r="C17" s="1">
        <v>5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117</v>
      </c>
      <c r="B18" s="1"/>
      <c r="C18" s="1">
        <v>5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118</v>
      </c>
      <c r="B19" s="1"/>
      <c r="C19" s="1">
        <v>5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119</v>
      </c>
      <c r="B20" s="1"/>
      <c r="C20" s="1">
        <v>5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120</v>
      </c>
      <c r="B21" s="1"/>
      <c r="C21" s="1">
        <v>7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121</v>
      </c>
      <c r="B22" s="1"/>
      <c r="C22" s="1">
        <v>3</v>
      </c>
      <c r="D22" s="1">
        <v>2</v>
      </c>
      <c r="E22" s="1">
        <v>2</v>
      </c>
      <c r="F22" s="1">
        <v>2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1" t="s">
        <v>122</v>
      </c>
      <c r="B23" s="1"/>
      <c r="C23" s="1">
        <v>5</v>
      </c>
      <c r="D23" s="1">
        <v>4</v>
      </c>
      <c r="E23" s="1">
        <v>4</v>
      </c>
      <c r="F23" s="1">
        <v>4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1" t="s">
        <v>123</v>
      </c>
      <c r="B24" s="1"/>
      <c r="C24" s="1">
        <v>5</v>
      </c>
      <c r="D24" s="1">
        <v>1</v>
      </c>
      <c r="E24" s="1">
        <v>1</v>
      </c>
      <c r="F24" s="1">
        <v>1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1</v>
      </c>
      <c r="K24" s="1" t="b">
        <f t="shared" si="4"/>
        <v>1</v>
      </c>
    </row>
    <row r="25" spans="1:12" ht="15.75" customHeight="1">
      <c r="A25" s="1" t="s">
        <v>124</v>
      </c>
      <c r="B25" s="1"/>
      <c r="C25" s="1">
        <v>4</v>
      </c>
      <c r="D25" s="1">
        <v>1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125</v>
      </c>
      <c r="B26" s="1"/>
      <c r="C26" s="1">
        <v>6</v>
      </c>
      <c r="D26" s="1">
        <v>4</v>
      </c>
      <c r="E26" s="1">
        <v>4</v>
      </c>
      <c r="F26" s="1">
        <v>4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2" ht="15.75" customHeight="1">
      <c r="A27" s="1" t="s">
        <v>126</v>
      </c>
      <c r="B27" s="1"/>
      <c r="C27" s="1">
        <v>6</v>
      </c>
      <c r="D27" s="1">
        <v>3</v>
      </c>
      <c r="E27" s="1">
        <v>2</v>
      </c>
      <c r="F27" s="1">
        <v>2</v>
      </c>
      <c r="G27" s="1" t="b">
        <f t="shared" si="0"/>
        <v>1</v>
      </c>
      <c r="H27" s="1" t="b">
        <f t="shared" si="1"/>
        <v>1</v>
      </c>
      <c r="I27" s="1" t="b">
        <f t="shared" si="2"/>
        <v>0</v>
      </c>
      <c r="J27" s="1" t="b">
        <f t="shared" si="3"/>
        <v>1</v>
      </c>
      <c r="K27" s="1" t="b">
        <f t="shared" si="4"/>
        <v>0</v>
      </c>
    </row>
    <row r="28" spans="1:12" ht="15.75" customHeight="1">
      <c r="A28" s="1" t="s">
        <v>127</v>
      </c>
      <c r="B28" s="1"/>
      <c r="C28" s="1">
        <v>2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128</v>
      </c>
      <c r="B29" s="1"/>
      <c r="C29" s="1">
        <v>2</v>
      </c>
      <c r="D29" s="1">
        <v>1</v>
      </c>
      <c r="E29" s="1">
        <v>0</v>
      </c>
      <c r="F29" s="1">
        <v>0</v>
      </c>
      <c r="G29" s="1" t="b">
        <f t="shared" si="0"/>
        <v>1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B30" s="1" t="s">
        <v>56</v>
      </c>
      <c r="C30" s="1">
        <f t="shared" ref="C30:F30" si="5">SUM(C2:C29)</f>
        <v>126</v>
      </c>
      <c r="D30" s="1">
        <f t="shared" si="5"/>
        <v>33</v>
      </c>
      <c r="E30" s="1">
        <f t="shared" si="5"/>
        <v>26</v>
      </c>
      <c r="F30" s="1">
        <f t="shared" si="5"/>
        <v>18</v>
      </c>
      <c r="G30" s="1">
        <f t="shared" ref="G30:K30" si="6">COUNTIF(G3:G29,"TRUE")</f>
        <v>16</v>
      </c>
      <c r="H30" s="1">
        <f t="shared" si="6"/>
        <v>13</v>
      </c>
      <c r="I30" s="1">
        <f t="shared" si="6"/>
        <v>11</v>
      </c>
      <c r="J30" s="1">
        <f t="shared" si="6"/>
        <v>8</v>
      </c>
      <c r="K30" s="1">
        <f t="shared" si="6"/>
        <v>6</v>
      </c>
      <c r="L30" s="6">
        <f>COUNTA(E3:E29)</f>
        <v>27</v>
      </c>
    </row>
    <row r="31" spans="1:12" ht="15.75" customHeight="1">
      <c r="E31" s="1" t="s">
        <v>3</v>
      </c>
      <c r="F31" s="2"/>
      <c r="G31" s="2">
        <f>G30/L30</f>
        <v>0.59259259259259256</v>
      </c>
      <c r="H31" s="2">
        <f>H30/L30</f>
        <v>0.48148148148148145</v>
      </c>
      <c r="I31" s="2">
        <f>I30/L30</f>
        <v>0.40740740740740738</v>
      </c>
      <c r="J31" s="2">
        <f>J30/L30</f>
        <v>0.29629629629629628</v>
      </c>
      <c r="K31" s="2">
        <f>K30/L30</f>
        <v>0.22222222222222221</v>
      </c>
    </row>
    <row r="32" spans="1:12" ht="15.75" customHeight="1">
      <c r="E32" s="1" t="s">
        <v>57</v>
      </c>
      <c r="F32" s="2"/>
      <c r="G32" s="2"/>
      <c r="H32" s="2">
        <f>H30/G30</f>
        <v>0.8125</v>
      </c>
      <c r="I32" s="2">
        <f>I30/G30</f>
        <v>0.6875</v>
      </c>
      <c r="J32" s="2">
        <f>J30/G30</f>
        <v>0.5</v>
      </c>
      <c r="K32" s="2">
        <f>K30/G30</f>
        <v>0.375</v>
      </c>
    </row>
    <row r="33" spans="5:8" ht="15.75" customHeight="1">
      <c r="E33" s="1" t="s">
        <v>58</v>
      </c>
      <c r="F33" s="2"/>
      <c r="G33" s="2">
        <f>E30/C30</f>
        <v>0.20634920634920634</v>
      </c>
      <c r="H33" s="2">
        <f>E30/D30</f>
        <v>0.78787878787878785</v>
      </c>
    </row>
  </sheetData>
  <hyperlinks>
    <hyperlink ref="E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9"/>
  <sheetViews>
    <sheetView workbookViewId="0">
      <selection activeCell="G3" sqref="G3:K15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129</v>
      </c>
      <c r="B3" s="1"/>
      <c r="C3" s="1">
        <v>0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130</v>
      </c>
      <c r="B4" s="1"/>
      <c r="C4" s="1">
        <v>3</v>
      </c>
      <c r="D4" s="1">
        <v>2</v>
      </c>
      <c r="E4" s="1">
        <v>2</v>
      </c>
      <c r="F4" s="1">
        <v>2</v>
      </c>
      <c r="G4" s="1" t="b">
        <f t="shared" ref="G4:G15" si="0">D4&gt;0</f>
        <v>1</v>
      </c>
      <c r="H4" s="1" t="b">
        <f t="shared" ref="H4:H15" si="1">E4&gt;0</f>
        <v>1</v>
      </c>
      <c r="I4" s="1" t="b">
        <f t="shared" ref="I4:I15" si="2">AND(G4,(D4=E4))</f>
        <v>1</v>
      </c>
      <c r="J4" s="1" t="b">
        <f t="shared" ref="J4:J15" si="3">F4&gt;0</f>
        <v>1</v>
      </c>
      <c r="K4" s="1" t="b">
        <f t="shared" ref="K4:K15" si="4">AND(I4,(E4=F4))</f>
        <v>1</v>
      </c>
    </row>
    <row r="5" spans="1:12" ht="15.75" customHeight="1">
      <c r="A5" s="1" t="s">
        <v>131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132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133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134</v>
      </c>
      <c r="B8" s="1"/>
      <c r="C8" s="1">
        <v>8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135</v>
      </c>
      <c r="B9" s="1"/>
      <c r="C9" s="1">
        <v>12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136</v>
      </c>
      <c r="B10" s="1"/>
      <c r="C10" s="1">
        <v>7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137</v>
      </c>
      <c r="B11" s="1"/>
      <c r="C11" s="1">
        <v>2</v>
      </c>
      <c r="D11" s="1">
        <v>2</v>
      </c>
      <c r="E11" s="1">
        <v>2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2" ht="15.75" customHeight="1">
      <c r="A12" s="1" t="s">
        <v>138</v>
      </c>
      <c r="B12" s="1"/>
      <c r="C12" s="1">
        <v>0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A13" s="1" t="s">
        <v>139</v>
      </c>
      <c r="B13" s="1"/>
      <c r="C13" s="1">
        <v>9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2" ht="15.75" customHeight="1">
      <c r="A14" s="1" t="s">
        <v>140</v>
      </c>
      <c r="B14" s="1"/>
      <c r="C14" s="1">
        <v>9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2" ht="15.75" customHeight="1">
      <c r="A15" s="1" t="s">
        <v>141</v>
      </c>
      <c r="B15" s="1"/>
      <c r="C15" s="1">
        <v>29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2" ht="15.75" customHeight="1">
      <c r="B16" s="1" t="s">
        <v>56</v>
      </c>
      <c r="C16" s="1">
        <f t="shared" ref="C16:F16" si="5">SUM(C2:C15)</f>
        <v>93</v>
      </c>
      <c r="D16" s="1">
        <f t="shared" si="5"/>
        <v>4</v>
      </c>
      <c r="E16" s="1">
        <f t="shared" si="5"/>
        <v>4</v>
      </c>
      <c r="F16" s="1">
        <f t="shared" si="5"/>
        <v>4</v>
      </c>
      <c r="G16" s="1">
        <f t="shared" ref="G16:K16" si="6">COUNTIF(G3:G15,"TRUE")</f>
        <v>2</v>
      </c>
      <c r="H16" s="1">
        <f t="shared" si="6"/>
        <v>2</v>
      </c>
      <c r="I16" s="1">
        <f t="shared" si="6"/>
        <v>2</v>
      </c>
      <c r="J16" s="1">
        <f t="shared" si="6"/>
        <v>2</v>
      </c>
      <c r="K16" s="1">
        <f t="shared" si="6"/>
        <v>2</v>
      </c>
      <c r="L16" s="6">
        <f>COUNTA(E3:E15)</f>
        <v>13</v>
      </c>
    </row>
    <row r="17" spans="5:11" ht="15.75" customHeight="1">
      <c r="E17" s="1" t="s">
        <v>3</v>
      </c>
      <c r="F17" s="2"/>
      <c r="G17" s="2">
        <f>G16/L16</f>
        <v>0.15384615384615385</v>
      </c>
      <c r="H17" s="2">
        <f>H16/L16</f>
        <v>0.15384615384615385</v>
      </c>
      <c r="I17" s="2">
        <f>I16/L16</f>
        <v>0.15384615384615385</v>
      </c>
      <c r="J17" s="2">
        <f>J16/L16</f>
        <v>0.15384615384615385</v>
      </c>
      <c r="K17" s="2">
        <f>K16/L16</f>
        <v>0.15384615384615385</v>
      </c>
    </row>
    <row r="18" spans="5:11" ht="15.75" customHeight="1">
      <c r="E18" s="1" t="s">
        <v>57</v>
      </c>
      <c r="F18" s="2"/>
      <c r="G18" s="2"/>
      <c r="H18" s="2">
        <f>H16/G16</f>
        <v>1</v>
      </c>
      <c r="I18" s="2">
        <f>I16/G16</f>
        <v>1</v>
      </c>
      <c r="J18" s="2">
        <f>J16/G16</f>
        <v>1</v>
      </c>
      <c r="K18" s="2">
        <f>K16/G16</f>
        <v>1</v>
      </c>
    </row>
    <row r="19" spans="5:11" ht="15.75" customHeight="1">
      <c r="E19" s="1" t="s">
        <v>58</v>
      </c>
      <c r="F19" s="2"/>
      <c r="G19" s="2">
        <f>E16/C16</f>
        <v>4.3010752688172046E-2</v>
      </c>
      <c r="H19" s="2">
        <f>E16/D16</f>
        <v>1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22"/>
  <sheetViews>
    <sheetView workbookViewId="0">
      <selection activeCell="G3" sqref="G3:K1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142</v>
      </c>
      <c r="B3" s="1"/>
      <c r="C3" s="1">
        <v>0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1" ht="15.75" customHeight="1">
      <c r="A4" s="1" t="s">
        <v>143</v>
      </c>
      <c r="B4" s="1"/>
      <c r="C4" s="1">
        <v>4</v>
      </c>
      <c r="D4" s="1">
        <v>1</v>
      </c>
      <c r="E4" s="1">
        <v>0</v>
      </c>
      <c r="F4" s="1">
        <v>0</v>
      </c>
      <c r="G4" s="1" t="b">
        <f t="shared" ref="G4:G18" si="0">D4&gt;0</f>
        <v>1</v>
      </c>
      <c r="H4" s="1" t="b">
        <f t="shared" ref="H4:H18" si="1">E4&gt;0</f>
        <v>0</v>
      </c>
      <c r="I4" s="1" t="b">
        <f t="shared" ref="I4:I18" si="2">AND(G4,(D4=E4))</f>
        <v>0</v>
      </c>
      <c r="J4" s="1" t="b">
        <f t="shared" ref="J4:J18" si="3">F4&gt;0</f>
        <v>0</v>
      </c>
      <c r="K4" s="1" t="b">
        <f t="shared" ref="K4:K18" si="4">AND(I4,(E4=F4))</f>
        <v>0</v>
      </c>
    </row>
    <row r="5" spans="1:11" ht="15.75" customHeight="1">
      <c r="A5" s="1" t="s">
        <v>144</v>
      </c>
      <c r="B5" s="1"/>
      <c r="C5" s="1">
        <v>4</v>
      </c>
      <c r="D5" s="1">
        <v>3</v>
      </c>
      <c r="E5" s="1">
        <v>2</v>
      </c>
      <c r="F5" s="1">
        <v>2</v>
      </c>
      <c r="G5" s="1" t="b">
        <f t="shared" si="0"/>
        <v>1</v>
      </c>
      <c r="H5" s="1" t="b">
        <f t="shared" si="1"/>
        <v>1</v>
      </c>
      <c r="I5" s="1" t="b">
        <f t="shared" si="2"/>
        <v>0</v>
      </c>
      <c r="J5" s="1" t="b">
        <f t="shared" si="3"/>
        <v>1</v>
      </c>
      <c r="K5" s="1" t="b">
        <f t="shared" si="4"/>
        <v>0</v>
      </c>
    </row>
    <row r="6" spans="1:11" ht="15.75" customHeight="1">
      <c r="A6" s="1" t="s">
        <v>145</v>
      </c>
      <c r="B6" s="1"/>
      <c r="C6" s="1">
        <v>4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146</v>
      </c>
      <c r="B7" s="1"/>
      <c r="C7" s="1">
        <v>6</v>
      </c>
      <c r="D7" s="1">
        <v>2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147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148</v>
      </c>
      <c r="B9" s="1"/>
      <c r="C9" s="1">
        <v>5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149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150</v>
      </c>
      <c r="B11" s="1"/>
      <c r="C11" s="1">
        <v>6</v>
      </c>
      <c r="D11" s="1">
        <v>3</v>
      </c>
      <c r="E11" s="1">
        <v>3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0</v>
      </c>
    </row>
    <row r="12" spans="1:11" ht="15.75" customHeight="1">
      <c r="A12" s="1" t="s">
        <v>151</v>
      </c>
      <c r="B12" s="1"/>
      <c r="C12" s="1">
        <v>4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152</v>
      </c>
      <c r="B13" s="1"/>
      <c r="C13" s="1">
        <v>8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153</v>
      </c>
      <c r="B14" s="1"/>
      <c r="C14" s="1">
        <v>5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154</v>
      </c>
      <c r="B15" s="1"/>
      <c r="C15" s="1">
        <v>7</v>
      </c>
      <c r="D15" s="1">
        <v>1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155</v>
      </c>
      <c r="B16" s="1"/>
      <c r="C16" s="1">
        <v>2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156</v>
      </c>
      <c r="B17" s="1"/>
      <c r="C17" s="1">
        <v>2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157</v>
      </c>
      <c r="B18" s="1"/>
      <c r="C18" s="1">
        <v>2</v>
      </c>
      <c r="D18" s="1">
        <v>2</v>
      </c>
      <c r="E18" s="1">
        <v>2</v>
      </c>
      <c r="F18" s="1">
        <v>2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B19" s="1" t="s">
        <v>56</v>
      </c>
      <c r="C19" s="1">
        <f t="shared" ref="C19:F19" si="5">SUM(C2:C18)</f>
        <v>67</v>
      </c>
      <c r="D19" s="1">
        <f t="shared" si="5"/>
        <v>13</v>
      </c>
      <c r="E19" s="1">
        <f t="shared" si="5"/>
        <v>8</v>
      </c>
      <c r="F19" s="1">
        <f t="shared" si="5"/>
        <v>7</v>
      </c>
      <c r="G19" s="1">
        <f t="shared" ref="G19:K19" si="6">COUNTIF(G3:G18,"TRUE")</f>
        <v>7</v>
      </c>
      <c r="H19" s="1">
        <f t="shared" si="6"/>
        <v>4</v>
      </c>
      <c r="I19" s="1">
        <f t="shared" si="6"/>
        <v>3</v>
      </c>
      <c r="J19" s="1">
        <f t="shared" si="6"/>
        <v>4</v>
      </c>
      <c r="K19" s="1">
        <f t="shared" si="6"/>
        <v>2</v>
      </c>
      <c r="L19" s="6">
        <f>COUNTA(E3:E18)</f>
        <v>16</v>
      </c>
    </row>
    <row r="20" spans="1:12" ht="15.75" customHeight="1">
      <c r="E20" s="1" t="s">
        <v>3</v>
      </c>
      <c r="F20" s="2"/>
      <c r="G20" s="2">
        <f>G19/L19</f>
        <v>0.4375</v>
      </c>
      <c r="H20" s="2">
        <f>H19/L19</f>
        <v>0.25</v>
      </c>
      <c r="I20" s="2">
        <f>I19/L19</f>
        <v>0.1875</v>
      </c>
      <c r="J20" s="2">
        <f>J19/L19</f>
        <v>0.25</v>
      </c>
      <c r="K20" s="2">
        <f>K19/L19</f>
        <v>0.125</v>
      </c>
    </row>
    <row r="21" spans="1:12" ht="15.75" customHeight="1">
      <c r="E21" s="1" t="s">
        <v>57</v>
      </c>
      <c r="F21" s="2"/>
      <c r="G21" s="2"/>
      <c r="H21" s="2">
        <f>H19/G19</f>
        <v>0.5714285714285714</v>
      </c>
      <c r="I21" s="2">
        <f>I19/G19</f>
        <v>0.42857142857142855</v>
      </c>
      <c r="J21" s="2">
        <f>J19/G19</f>
        <v>0.5714285714285714</v>
      </c>
      <c r="K21" s="2">
        <f>K19/G19</f>
        <v>0.2857142857142857</v>
      </c>
    </row>
    <row r="22" spans="1:12" ht="15.75" customHeight="1">
      <c r="E22" s="1" t="s">
        <v>58</v>
      </c>
      <c r="F22" s="2"/>
      <c r="G22" s="2">
        <f>E19/C19</f>
        <v>0.11940298507462686</v>
      </c>
      <c r="H22" s="2">
        <f>E19/D19</f>
        <v>0.61538461538461542</v>
      </c>
    </row>
  </sheetData>
  <hyperlinks>
    <hyperlink ref="E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1"/>
  <sheetViews>
    <sheetView workbookViewId="0">
      <selection activeCell="G3" sqref="G3:K1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158</v>
      </c>
      <c r="B3" s="1"/>
      <c r="C3" s="1">
        <v>2</v>
      </c>
      <c r="D3" s="1">
        <v>2</v>
      </c>
      <c r="E3" s="1">
        <v>2</v>
      </c>
      <c r="F3" s="1">
        <v>2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F3&gt;0</f>
        <v>1</v>
      </c>
      <c r="K3" s="1" t="b">
        <f>AND(I3,(E3=F3))</f>
        <v>1</v>
      </c>
    </row>
    <row r="4" spans="1:11" ht="15.75" customHeight="1">
      <c r="A4" s="1" t="s">
        <v>159</v>
      </c>
      <c r="B4" s="1"/>
      <c r="C4" s="1">
        <v>5</v>
      </c>
      <c r="D4" s="1">
        <v>5</v>
      </c>
      <c r="E4" s="1">
        <v>0</v>
      </c>
      <c r="F4" s="1">
        <v>0</v>
      </c>
      <c r="G4" s="1" t="b">
        <f t="shared" ref="G4:G17" si="0">D4&gt;0</f>
        <v>1</v>
      </c>
      <c r="H4" s="1" t="b">
        <f t="shared" ref="H4:H17" si="1">E4&gt;0</f>
        <v>0</v>
      </c>
      <c r="I4" s="1" t="b">
        <f t="shared" ref="I4:I17" si="2">AND(G4,(D4=E4))</f>
        <v>0</v>
      </c>
      <c r="J4" s="1" t="b">
        <f t="shared" ref="J4:J17" si="3">F4&gt;0</f>
        <v>0</v>
      </c>
      <c r="K4" s="1" t="b">
        <f t="shared" ref="K4:K17" si="4">AND(I4,(E4=F4))</f>
        <v>0</v>
      </c>
    </row>
    <row r="5" spans="1:11" ht="15.75" customHeight="1">
      <c r="A5" s="1" t="s">
        <v>160</v>
      </c>
      <c r="B5" s="1"/>
      <c r="C5" s="1">
        <v>5</v>
      </c>
      <c r="D5" s="1">
        <v>2</v>
      </c>
      <c r="E5" s="1">
        <v>2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161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162</v>
      </c>
      <c r="B7" s="1"/>
      <c r="C7" s="1">
        <v>4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163</v>
      </c>
      <c r="B8" s="1"/>
      <c r="C8" s="1">
        <v>11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164</v>
      </c>
      <c r="B9" s="1"/>
      <c r="C9" s="1">
        <v>4</v>
      </c>
      <c r="D9" s="1">
        <v>3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0</v>
      </c>
      <c r="J9" s="1" t="b">
        <f t="shared" si="3"/>
        <v>1</v>
      </c>
      <c r="K9" s="1" t="b">
        <f t="shared" si="4"/>
        <v>0</v>
      </c>
    </row>
    <row r="10" spans="1:11" ht="15.75" customHeight="1">
      <c r="A10" s="1" t="s">
        <v>165</v>
      </c>
      <c r="B10" s="1"/>
      <c r="C10" s="1">
        <v>6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166</v>
      </c>
      <c r="B11" s="1"/>
      <c r="C11" s="1">
        <v>6</v>
      </c>
      <c r="D11" s="1">
        <v>1</v>
      </c>
      <c r="E11" s="1">
        <v>1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167</v>
      </c>
      <c r="B12" s="1"/>
      <c r="C12" s="1">
        <v>6</v>
      </c>
      <c r="D12" s="1">
        <v>3</v>
      </c>
      <c r="E12" s="1">
        <v>3</v>
      </c>
      <c r="F12" s="1">
        <v>2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0</v>
      </c>
    </row>
    <row r="13" spans="1:11" ht="15.75" customHeight="1">
      <c r="A13" s="1" t="s">
        <v>168</v>
      </c>
      <c r="B13" s="1"/>
      <c r="C13" s="1">
        <v>8</v>
      </c>
      <c r="D13" s="1">
        <v>1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169</v>
      </c>
      <c r="B14" s="1"/>
      <c r="C14" s="1">
        <v>4</v>
      </c>
      <c r="D14" s="1">
        <v>2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0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1" t="s">
        <v>170</v>
      </c>
      <c r="B15" s="1"/>
      <c r="C15" s="1">
        <v>10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171</v>
      </c>
      <c r="B16" s="1"/>
      <c r="C16" s="1">
        <v>6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172</v>
      </c>
      <c r="B17" s="1"/>
      <c r="C17" s="1">
        <v>2</v>
      </c>
      <c r="D17" s="1">
        <v>2</v>
      </c>
      <c r="E17" s="1">
        <v>2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B18" s="1" t="s">
        <v>56</v>
      </c>
      <c r="C18" s="1">
        <f t="shared" ref="C18:F18" si="5">SUM(C2:C17)</f>
        <v>83</v>
      </c>
      <c r="D18" s="1">
        <f t="shared" si="5"/>
        <v>22</v>
      </c>
      <c r="E18" s="1">
        <f t="shared" si="5"/>
        <v>13</v>
      </c>
      <c r="F18" s="1">
        <f t="shared" si="5"/>
        <v>6</v>
      </c>
      <c r="G18" s="1">
        <f t="shared" ref="G18:K18" si="6">COUNTIF(G3:G17,"TRUE")</f>
        <v>10</v>
      </c>
      <c r="H18" s="1">
        <f t="shared" si="6"/>
        <v>8</v>
      </c>
      <c r="I18" s="1">
        <f t="shared" si="6"/>
        <v>6</v>
      </c>
      <c r="J18" s="1">
        <f t="shared" si="6"/>
        <v>4</v>
      </c>
      <c r="K18" s="1">
        <f t="shared" si="6"/>
        <v>1</v>
      </c>
      <c r="L18" s="6">
        <f>COUNTA(E3:E17)</f>
        <v>15</v>
      </c>
    </row>
    <row r="19" spans="1:12" ht="15.75" customHeight="1">
      <c r="E19" s="1" t="s">
        <v>3</v>
      </c>
      <c r="F19" s="2"/>
      <c r="G19" s="2">
        <f>G18/L18</f>
        <v>0.66666666666666663</v>
      </c>
      <c r="H19" s="2">
        <f>H18/L18</f>
        <v>0.53333333333333333</v>
      </c>
      <c r="I19" s="2">
        <f>I18/L18</f>
        <v>0.4</v>
      </c>
      <c r="J19" s="2">
        <f>J18/L18</f>
        <v>0.26666666666666666</v>
      </c>
      <c r="K19" s="2">
        <f>K18/L18</f>
        <v>6.6666666666666666E-2</v>
      </c>
    </row>
    <row r="20" spans="1:12" ht="15.75" customHeight="1">
      <c r="E20" s="1" t="s">
        <v>57</v>
      </c>
      <c r="F20" s="2"/>
      <c r="G20" s="2"/>
      <c r="H20" s="2">
        <f>H18/G18</f>
        <v>0.8</v>
      </c>
      <c r="I20" s="2">
        <f>I18/G18</f>
        <v>0.6</v>
      </c>
      <c r="J20" s="2">
        <f>J18/G18</f>
        <v>0.4</v>
      </c>
      <c r="K20" s="2">
        <f>K18/G18</f>
        <v>0.1</v>
      </c>
    </row>
    <row r="21" spans="1:12" ht="15.75" customHeight="1">
      <c r="E21" s="1" t="s">
        <v>58</v>
      </c>
      <c r="F21" s="2"/>
      <c r="G21" s="2">
        <f>E18/C18</f>
        <v>0.15662650602409639</v>
      </c>
      <c r="H21" s="2">
        <f>E18/D18</f>
        <v>0.59090909090909094</v>
      </c>
    </row>
  </sheetData>
  <hyperlinks>
    <hyperlink ref="E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20"/>
  <sheetViews>
    <sheetView workbookViewId="0">
      <selection activeCell="G3" sqref="G3:K1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173</v>
      </c>
      <c r="B3" s="1"/>
      <c r="C3" s="1">
        <v>5</v>
      </c>
      <c r="D3" s="1">
        <v>4</v>
      </c>
      <c r="E3" s="1">
        <v>4</v>
      </c>
      <c r="F3" s="1">
        <v>0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F3&gt;0</f>
        <v>0</v>
      </c>
      <c r="K3" s="1" t="b">
        <f>AND(I3,(E3=F3))</f>
        <v>0</v>
      </c>
    </row>
    <row r="4" spans="1:11" ht="15.75" customHeight="1">
      <c r="A4" s="1" t="s">
        <v>174</v>
      </c>
      <c r="B4" s="1"/>
      <c r="C4" s="1">
        <v>6</v>
      </c>
      <c r="D4" s="1">
        <v>3</v>
      </c>
      <c r="E4" s="1">
        <v>2</v>
      </c>
      <c r="F4" s="1">
        <v>0</v>
      </c>
      <c r="G4" s="1" t="b">
        <f t="shared" ref="G4:G16" si="0">D4&gt;0</f>
        <v>1</v>
      </c>
      <c r="H4" s="1" t="b">
        <f t="shared" ref="H4:H16" si="1">E4&gt;0</f>
        <v>1</v>
      </c>
      <c r="I4" s="1" t="b">
        <f t="shared" ref="I4:I16" si="2">AND(G4,(D4=E4))</f>
        <v>0</v>
      </c>
      <c r="J4" s="1" t="b">
        <f t="shared" ref="J4:J16" si="3">F4&gt;0</f>
        <v>0</v>
      </c>
      <c r="K4" s="1" t="b">
        <f t="shared" ref="K4:K16" si="4">AND(I4,(E4=F4))</f>
        <v>0</v>
      </c>
    </row>
    <row r="5" spans="1:11" ht="15.75" customHeight="1">
      <c r="A5" s="1" t="s">
        <v>175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176</v>
      </c>
      <c r="B6" s="1"/>
      <c r="C6" s="1">
        <v>7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177</v>
      </c>
      <c r="B7" s="1"/>
      <c r="C7" s="1">
        <v>4</v>
      </c>
      <c r="D7" s="1">
        <v>1</v>
      </c>
      <c r="E7" s="1">
        <v>1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178</v>
      </c>
      <c r="B8" s="1"/>
      <c r="C8" s="1">
        <v>3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1" t="s">
        <v>179</v>
      </c>
      <c r="B9" s="1"/>
      <c r="C9" s="1">
        <v>5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180</v>
      </c>
      <c r="B10" s="1"/>
      <c r="C10" s="1">
        <v>6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181</v>
      </c>
      <c r="B11" s="1"/>
      <c r="C11" s="1">
        <v>7</v>
      </c>
      <c r="D11" s="1">
        <v>3</v>
      </c>
      <c r="E11" s="1">
        <v>3</v>
      </c>
      <c r="F11" s="1">
        <v>3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182</v>
      </c>
      <c r="B12" s="1"/>
      <c r="C12" s="1">
        <v>5</v>
      </c>
      <c r="D12" s="1">
        <v>3</v>
      </c>
      <c r="E12" s="1">
        <v>3</v>
      </c>
      <c r="F12" s="1">
        <v>3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183</v>
      </c>
      <c r="B13" s="1"/>
      <c r="C13" s="1">
        <v>3</v>
      </c>
      <c r="D13" s="1">
        <v>1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184</v>
      </c>
      <c r="B14" s="1"/>
      <c r="C14" s="1">
        <v>6</v>
      </c>
      <c r="D14" s="1">
        <v>1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185</v>
      </c>
      <c r="B15" s="1"/>
      <c r="C15" s="1">
        <v>6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186</v>
      </c>
      <c r="B16" s="1"/>
      <c r="C16" s="1">
        <v>5</v>
      </c>
      <c r="D16" s="1">
        <v>1</v>
      </c>
      <c r="E16" s="1">
        <v>1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2:12" ht="15.75" customHeight="1">
      <c r="B17" s="1" t="s">
        <v>56</v>
      </c>
      <c r="C17" s="1">
        <f t="shared" ref="C17:F17" si="5">SUM(C2:C16)</f>
        <v>72</v>
      </c>
      <c r="D17" s="1">
        <f t="shared" si="5"/>
        <v>20</v>
      </c>
      <c r="E17" s="1">
        <f t="shared" si="5"/>
        <v>18</v>
      </c>
      <c r="F17" s="1">
        <f t="shared" si="5"/>
        <v>10</v>
      </c>
      <c r="G17" s="1">
        <f t="shared" ref="G17:K17" si="6">COUNTIF(G3:G16,"TRUE")</f>
        <v>11</v>
      </c>
      <c r="H17" s="1">
        <f t="shared" si="6"/>
        <v>10</v>
      </c>
      <c r="I17" s="1">
        <f t="shared" si="6"/>
        <v>9</v>
      </c>
      <c r="J17" s="1">
        <f t="shared" si="6"/>
        <v>6</v>
      </c>
      <c r="K17" s="1">
        <f t="shared" si="6"/>
        <v>6</v>
      </c>
      <c r="L17" s="6">
        <f>COUNTA(E3:E16)</f>
        <v>14</v>
      </c>
    </row>
    <row r="18" spans="2:12" ht="15.75" customHeight="1">
      <c r="E18" s="1" t="s">
        <v>3</v>
      </c>
      <c r="F18" s="2"/>
      <c r="G18" s="2">
        <f>G17/L17</f>
        <v>0.7857142857142857</v>
      </c>
      <c r="H18" s="2">
        <f>H17/L17</f>
        <v>0.7142857142857143</v>
      </c>
      <c r="I18" s="2">
        <f>I17/L17</f>
        <v>0.6428571428571429</v>
      </c>
      <c r="J18" s="2">
        <f>J17/L17</f>
        <v>0.42857142857142855</v>
      </c>
      <c r="K18" s="2">
        <f>K17/L17</f>
        <v>0.42857142857142855</v>
      </c>
    </row>
    <row r="19" spans="2:12" ht="15.75" customHeight="1">
      <c r="E19" s="1" t="s">
        <v>57</v>
      </c>
      <c r="F19" s="2"/>
      <c r="G19" s="2"/>
      <c r="H19" s="2">
        <f>H17/G17</f>
        <v>0.90909090909090906</v>
      </c>
      <c r="I19" s="2">
        <f>I17/G17</f>
        <v>0.81818181818181823</v>
      </c>
      <c r="J19" s="2">
        <f>J17/G17</f>
        <v>0.54545454545454541</v>
      </c>
      <c r="K19" s="2">
        <f>K17/G17</f>
        <v>0.54545454545454541</v>
      </c>
    </row>
    <row r="20" spans="2:12" ht="15.75" customHeight="1">
      <c r="E20" s="1" t="s">
        <v>58</v>
      </c>
      <c r="F20" s="2"/>
      <c r="G20" s="2">
        <f>E17/C17</f>
        <v>0.25</v>
      </c>
      <c r="H20" s="2">
        <f>E17/D17</f>
        <v>0.9</v>
      </c>
    </row>
  </sheetData>
  <hyperlinks>
    <hyperlink ref="E1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34"/>
  <sheetViews>
    <sheetView workbookViewId="0">
      <selection activeCell="G4" sqref="G4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8" t="s">
        <v>187</v>
      </c>
      <c r="B3" s="8"/>
      <c r="C3" s="9">
        <v>1</v>
      </c>
      <c r="D3" s="9">
        <v>0</v>
      </c>
      <c r="E3" s="9">
        <v>0</v>
      </c>
      <c r="F3" s="9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1" ht="15.75" customHeight="1">
      <c r="A4" s="8" t="s">
        <v>188</v>
      </c>
      <c r="B4" s="8"/>
      <c r="C4" s="9">
        <v>7</v>
      </c>
      <c r="D4" s="9">
        <v>5</v>
      </c>
      <c r="E4" s="9">
        <v>0</v>
      </c>
      <c r="F4" s="9">
        <v>0</v>
      </c>
      <c r="G4" s="1" t="b">
        <f t="shared" ref="G4:G30" si="0">D4&gt;0</f>
        <v>1</v>
      </c>
      <c r="H4" s="1" t="b">
        <f t="shared" ref="H4:H30" si="1">E4&gt;0</f>
        <v>0</v>
      </c>
      <c r="I4" s="1" t="b">
        <f t="shared" ref="I4:I30" si="2">AND(G4,(D4=E4))</f>
        <v>0</v>
      </c>
      <c r="J4" s="1" t="b">
        <f t="shared" ref="J4:J30" si="3">F4&gt;0</f>
        <v>0</v>
      </c>
      <c r="K4" s="1" t="b">
        <f t="shared" ref="K4:K30" si="4">AND(I4,(E4=F4))</f>
        <v>0</v>
      </c>
    </row>
    <row r="5" spans="1:11" ht="15.75" customHeight="1">
      <c r="A5" s="8" t="s">
        <v>189</v>
      </c>
      <c r="B5" s="8"/>
      <c r="C5" s="9">
        <v>3</v>
      </c>
      <c r="D5" s="9">
        <v>1</v>
      </c>
      <c r="E5" s="9">
        <v>1</v>
      </c>
      <c r="F5" s="9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8" t="s">
        <v>190</v>
      </c>
      <c r="B6" s="8"/>
      <c r="C6" s="9">
        <v>4</v>
      </c>
      <c r="D6" s="9">
        <v>1</v>
      </c>
      <c r="E6" s="9">
        <v>1</v>
      </c>
      <c r="F6" s="9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1" ht="15.75" customHeight="1">
      <c r="A7" s="8" t="s">
        <v>191</v>
      </c>
      <c r="B7" s="8"/>
      <c r="C7" s="9">
        <v>4</v>
      </c>
      <c r="D7" s="9">
        <v>1</v>
      </c>
      <c r="E7" s="9">
        <v>0</v>
      </c>
      <c r="F7" s="9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8" t="s">
        <v>192</v>
      </c>
      <c r="B8" s="8"/>
      <c r="C8" s="9">
        <v>4</v>
      </c>
      <c r="D8" s="9">
        <v>3</v>
      </c>
      <c r="E8" s="9">
        <v>3</v>
      </c>
      <c r="F8" s="9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8" t="s">
        <v>193</v>
      </c>
      <c r="B9" s="8"/>
      <c r="C9" s="9">
        <v>3</v>
      </c>
      <c r="D9" s="9">
        <v>1</v>
      </c>
      <c r="E9" s="9">
        <v>1</v>
      </c>
      <c r="F9" s="9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8" t="s">
        <v>194</v>
      </c>
      <c r="B10" s="8"/>
      <c r="C10" s="9">
        <v>3</v>
      </c>
      <c r="D10" s="9">
        <v>0</v>
      </c>
      <c r="E10" s="9">
        <v>0</v>
      </c>
      <c r="F10" s="9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8" t="s">
        <v>195</v>
      </c>
      <c r="B11" s="8"/>
      <c r="C11" s="9">
        <v>4</v>
      </c>
      <c r="D11" s="9">
        <v>3</v>
      </c>
      <c r="E11" s="9">
        <v>3</v>
      </c>
      <c r="F11" s="9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8" t="s">
        <v>196</v>
      </c>
      <c r="B12" s="8"/>
      <c r="C12" s="9">
        <v>5</v>
      </c>
      <c r="D12" s="9">
        <v>1</v>
      </c>
      <c r="E12" s="9">
        <v>0</v>
      </c>
      <c r="F12" s="9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8" t="s">
        <v>197</v>
      </c>
      <c r="B13" s="8"/>
      <c r="C13" s="9">
        <v>5</v>
      </c>
      <c r="D13" s="9">
        <v>0</v>
      </c>
      <c r="E13" s="9">
        <v>0</v>
      </c>
      <c r="F13" s="9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8" t="s">
        <v>198</v>
      </c>
      <c r="B14" s="8"/>
      <c r="C14" s="9">
        <v>5</v>
      </c>
      <c r="D14" s="9">
        <v>1</v>
      </c>
      <c r="E14" s="9">
        <v>1</v>
      </c>
      <c r="F14" s="9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8" t="s">
        <v>199</v>
      </c>
      <c r="B15" s="8"/>
      <c r="C15" s="9">
        <v>4</v>
      </c>
      <c r="D15" s="9">
        <v>2</v>
      </c>
      <c r="E15" s="9">
        <v>2</v>
      </c>
      <c r="F15" s="9">
        <v>2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8" t="s">
        <v>200</v>
      </c>
      <c r="B16" s="8"/>
      <c r="C16" s="9">
        <v>4</v>
      </c>
      <c r="D16" s="9">
        <v>1</v>
      </c>
      <c r="E16" s="9">
        <v>0</v>
      </c>
      <c r="F16" s="9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8" t="s">
        <v>201</v>
      </c>
      <c r="B17" s="8"/>
      <c r="C17" s="9">
        <v>6</v>
      </c>
      <c r="D17" s="9">
        <v>3</v>
      </c>
      <c r="E17" s="9">
        <v>1</v>
      </c>
      <c r="F17" s="9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8" t="s">
        <v>202</v>
      </c>
      <c r="B18" s="8"/>
      <c r="C18" s="9">
        <v>6</v>
      </c>
      <c r="D18" s="9">
        <v>5</v>
      </c>
      <c r="E18" s="9">
        <v>5</v>
      </c>
      <c r="F18" s="9">
        <v>2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0</v>
      </c>
    </row>
    <row r="19" spans="1:12" ht="15.75" customHeight="1">
      <c r="A19" s="8" t="s">
        <v>203</v>
      </c>
      <c r="B19" s="8"/>
      <c r="C19" s="9">
        <v>5</v>
      </c>
      <c r="D19" s="9">
        <v>3</v>
      </c>
      <c r="E19" s="9">
        <v>0</v>
      </c>
      <c r="F19" s="9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8" t="s">
        <v>204</v>
      </c>
      <c r="B20" s="8"/>
      <c r="C20" s="9">
        <v>5</v>
      </c>
      <c r="D20" s="9">
        <v>1</v>
      </c>
      <c r="E20" s="9">
        <v>0</v>
      </c>
      <c r="F20" s="9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8" t="s">
        <v>205</v>
      </c>
      <c r="B21" s="8"/>
      <c r="C21" s="9">
        <v>8</v>
      </c>
      <c r="D21" s="9">
        <v>0</v>
      </c>
      <c r="E21" s="9">
        <v>0</v>
      </c>
      <c r="F21" s="9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8" t="s">
        <v>206</v>
      </c>
      <c r="B22" s="8"/>
      <c r="C22" s="9">
        <v>4</v>
      </c>
      <c r="D22" s="9">
        <v>0</v>
      </c>
      <c r="E22" s="9">
        <v>0</v>
      </c>
      <c r="F22" s="9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8" t="s">
        <v>207</v>
      </c>
      <c r="B23" s="8"/>
      <c r="C23" s="9">
        <v>6</v>
      </c>
      <c r="D23" s="9">
        <v>1</v>
      </c>
      <c r="E23" s="9">
        <v>1</v>
      </c>
      <c r="F23" s="9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8" t="s">
        <v>208</v>
      </c>
      <c r="B24" s="8"/>
      <c r="C24" s="9">
        <v>7</v>
      </c>
      <c r="D24" s="9">
        <v>0</v>
      </c>
      <c r="E24" s="9">
        <v>0</v>
      </c>
      <c r="F24" s="9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8" t="s">
        <v>209</v>
      </c>
      <c r="B25" s="8"/>
      <c r="C25" s="9">
        <v>6</v>
      </c>
      <c r="D25" s="9">
        <v>5</v>
      </c>
      <c r="E25" s="9">
        <v>5</v>
      </c>
      <c r="F25" s="9">
        <v>5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A26" s="8" t="s">
        <v>210</v>
      </c>
      <c r="B26" s="8"/>
      <c r="C26" s="9">
        <v>6</v>
      </c>
      <c r="D26" s="9">
        <v>4</v>
      </c>
      <c r="E26" s="9">
        <v>4</v>
      </c>
      <c r="F26" s="9">
        <v>4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2" ht="15.75" customHeight="1">
      <c r="A27" s="8" t="s">
        <v>211</v>
      </c>
      <c r="B27" s="8"/>
      <c r="C27" s="9">
        <v>6</v>
      </c>
      <c r="D27" s="9">
        <v>3</v>
      </c>
      <c r="E27" s="9">
        <v>2</v>
      </c>
      <c r="F27" s="9">
        <v>2</v>
      </c>
      <c r="G27" s="1" t="b">
        <f t="shared" si="0"/>
        <v>1</v>
      </c>
      <c r="H27" s="1" t="b">
        <f t="shared" si="1"/>
        <v>1</v>
      </c>
      <c r="I27" s="1" t="b">
        <f t="shared" si="2"/>
        <v>0</v>
      </c>
      <c r="J27" s="1" t="b">
        <f t="shared" si="3"/>
        <v>1</v>
      </c>
      <c r="K27" s="1" t="b">
        <f t="shared" si="4"/>
        <v>0</v>
      </c>
    </row>
    <row r="28" spans="1:12" ht="15.75" customHeight="1">
      <c r="A28" s="8" t="s">
        <v>212</v>
      </c>
      <c r="B28" s="8"/>
      <c r="C28" s="9">
        <v>7</v>
      </c>
      <c r="D28" s="9">
        <v>2</v>
      </c>
      <c r="E28" s="9">
        <v>2</v>
      </c>
      <c r="F28" s="9">
        <v>0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8" t="s">
        <v>213</v>
      </c>
      <c r="B29" s="8"/>
      <c r="C29" s="9">
        <v>10</v>
      </c>
      <c r="D29" s="9">
        <v>0</v>
      </c>
      <c r="E29" s="9">
        <v>0</v>
      </c>
      <c r="F29" s="9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8" t="s">
        <v>214</v>
      </c>
      <c r="B30" s="8"/>
      <c r="C30" s="9">
        <v>6</v>
      </c>
      <c r="D30" s="9">
        <v>0</v>
      </c>
      <c r="E30" s="9">
        <v>0</v>
      </c>
      <c r="F30" s="9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B31" s="1" t="s">
        <v>56</v>
      </c>
      <c r="C31" s="1">
        <f t="shared" ref="C31:F31" si="5">SUM(C2:C30)</f>
        <v>144</v>
      </c>
      <c r="D31" s="1">
        <f t="shared" si="5"/>
        <v>47</v>
      </c>
      <c r="E31" s="1">
        <f t="shared" si="5"/>
        <v>32</v>
      </c>
      <c r="F31" s="1">
        <f t="shared" si="5"/>
        <v>18</v>
      </c>
      <c r="G31" s="1">
        <f t="shared" ref="G31:K31" si="6">COUNTIF(G3:G30,"TRUE")</f>
        <v>20</v>
      </c>
      <c r="H31" s="1">
        <f t="shared" si="6"/>
        <v>14</v>
      </c>
      <c r="I31" s="1">
        <f t="shared" si="6"/>
        <v>12</v>
      </c>
      <c r="J31" s="1">
        <f t="shared" si="6"/>
        <v>8</v>
      </c>
      <c r="K31" s="1">
        <f t="shared" si="6"/>
        <v>6</v>
      </c>
      <c r="L31" s="6">
        <f>COUNTA(E3:E30)</f>
        <v>28</v>
      </c>
    </row>
    <row r="32" spans="1:12" ht="15.75" customHeight="1">
      <c r="E32" s="1" t="s">
        <v>3</v>
      </c>
      <c r="F32" s="2"/>
      <c r="G32" s="2">
        <f>G31/L31</f>
        <v>0.7142857142857143</v>
      </c>
      <c r="H32" s="2">
        <f>H31/L31</f>
        <v>0.5</v>
      </c>
      <c r="I32" s="2">
        <f>I31/L31</f>
        <v>0.42857142857142855</v>
      </c>
      <c r="J32" s="2">
        <f>J31/L31</f>
        <v>0.2857142857142857</v>
      </c>
      <c r="K32" s="2">
        <f>K31/L31</f>
        <v>0.21428571428571427</v>
      </c>
    </row>
    <row r="33" spans="5:11" ht="15.75" customHeight="1">
      <c r="E33" s="1" t="s">
        <v>57</v>
      </c>
      <c r="F33" s="2"/>
      <c r="G33" s="2"/>
      <c r="H33" s="2">
        <f>H31/G31</f>
        <v>0.7</v>
      </c>
      <c r="I33" s="2">
        <f>I31/G31</f>
        <v>0.6</v>
      </c>
      <c r="J33" s="2">
        <f>J31/G31</f>
        <v>0.4</v>
      </c>
      <c r="K33" s="2">
        <f>K31/G31</f>
        <v>0.3</v>
      </c>
    </row>
    <row r="34" spans="5:11" ht="15.75" customHeight="1">
      <c r="E34" s="1" t="s">
        <v>58</v>
      </c>
      <c r="F34" s="2"/>
      <c r="G34" s="2">
        <f>E31/C31</f>
        <v>0.22222222222222221</v>
      </c>
      <c r="H34" s="2">
        <f>E31/D31</f>
        <v>0.68085106382978722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2025-06-11T20:17:21Z</dcterms:modified>
</cp:coreProperties>
</file>