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rash/work_misc/acs_sbol10years/FinalSubmission/ACS Supplemental Information/"/>
    </mc:Choice>
  </mc:AlternateContent>
  <xr:revisionPtr revIDLastSave="0" documentId="13_ncr:1_{B6B8C925-44D9-C144-B8EE-E6E624E79E2E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Summary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3" l="1"/>
  <c r="H4" i="13"/>
  <c r="I4" i="13"/>
  <c r="J4" i="13"/>
  <c r="K4" i="13"/>
  <c r="G5" i="13"/>
  <c r="H5" i="13"/>
  <c r="I5" i="13"/>
  <c r="J5" i="13"/>
  <c r="K5" i="13"/>
  <c r="G6" i="13"/>
  <c r="H6" i="13"/>
  <c r="I6" i="13"/>
  <c r="J6" i="13"/>
  <c r="K6" i="13"/>
  <c r="G7" i="13"/>
  <c r="H7" i="13"/>
  <c r="I7" i="13"/>
  <c r="J7" i="13"/>
  <c r="K7" i="13"/>
  <c r="G8" i="13"/>
  <c r="H8" i="13"/>
  <c r="I8" i="13"/>
  <c r="J8" i="13"/>
  <c r="K8" i="13"/>
  <c r="G9" i="13"/>
  <c r="H9" i="13"/>
  <c r="I9" i="13"/>
  <c r="J9" i="13"/>
  <c r="K9" i="13"/>
  <c r="G10" i="13"/>
  <c r="H10" i="13"/>
  <c r="I10" i="13"/>
  <c r="J10" i="13"/>
  <c r="K10" i="13"/>
  <c r="G11" i="13"/>
  <c r="H11" i="13"/>
  <c r="I11" i="13"/>
  <c r="J11" i="13"/>
  <c r="K11" i="13"/>
  <c r="G12" i="13"/>
  <c r="H12" i="13"/>
  <c r="I12" i="13"/>
  <c r="J12" i="13"/>
  <c r="K12" i="13"/>
  <c r="G13" i="13"/>
  <c r="H13" i="13"/>
  <c r="I13" i="13"/>
  <c r="J13" i="13"/>
  <c r="K13" i="13"/>
  <c r="G14" i="13"/>
  <c r="H14" i="13"/>
  <c r="I14" i="13"/>
  <c r="J14" i="13"/>
  <c r="K14" i="13"/>
  <c r="G15" i="13"/>
  <c r="H15" i="13"/>
  <c r="I15" i="13"/>
  <c r="J15" i="13"/>
  <c r="K15" i="13"/>
  <c r="G16" i="13"/>
  <c r="H16" i="13"/>
  <c r="I16" i="13"/>
  <c r="J16" i="13"/>
  <c r="K16" i="13"/>
  <c r="G17" i="13"/>
  <c r="H17" i="13"/>
  <c r="I17" i="13"/>
  <c r="J17" i="13"/>
  <c r="K17" i="13"/>
  <c r="G18" i="13"/>
  <c r="H18" i="13"/>
  <c r="I18" i="13"/>
  <c r="J18" i="13"/>
  <c r="K18" i="13"/>
  <c r="G19" i="13"/>
  <c r="H19" i="13"/>
  <c r="I19" i="13"/>
  <c r="J19" i="13"/>
  <c r="K19" i="13"/>
  <c r="G20" i="13"/>
  <c r="H20" i="13"/>
  <c r="I20" i="13"/>
  <c r="J20" i="13"/>
  <c r="K20" i="13"/>
  <c r="G21" i="13"/>
  <c r="H21" i="13"/>
  <c r="I21" i="13"/>
  <c r="J21" i="13"/>
  <c r="K21" i="13"/>
  <c r="G22" i="13"/>
  <c r="H22" i="13"/>
  <c r="I22" i="13"/>
  <c r="J22" i="13"/>
  <c r="K22" i="13"/>
  <c r="G4" i="12"/>
  <c r="H4" i="12"/>
  <c r="I4" i="12"/>
  <c r="J4" i="12"/>
  <c r="K4" i="12"/>
  <c r="G5" i="12"/>
  <c r="H5" i="12"/>
  <c r="I5" i="12"/>
  <c r="J5" i="12"/>
  <c r="K5" i="12"/>
  <c r="G6" i="12"/>
  <c r="H6" i="12"/>
  <c r="I6" i="12"/>
  <c r="J6" i="12"/>
  <c r="K6" i="12"/>
  <c r="G7" i="12"/>
  <c r="H7" i="12"/>
  <c r="I7" i="12"/>
  <c r="J7" i="12"/>
  <c r="K7" i="12"/>
  <c r="G8" i="12"/>
  <c r="H8" i="12"/>
  <c r="I8" i="12"/>
  <c r="J8" i="12"/>
  <c r="K8" i="12"/>
  <c r="G9" i="12"/>
  <c r="H9" i="12"/>
  <c r="I9" i="12"/>
  <c r="J9" i="12"/>
  <c r="K9" i="12"/>
  <c r="G10" i="12"/>
  <c r="H10" i="12"/>
  <c r="I10" i="12"/>
  <c r="J10" i="12"/>
  <c r="K10" i="12"/>
  <c r="G11" i="12"/>
  <c r="H11" i="12"/>
  <c r="I11" i="12"/>
  <c r="J11" i="12"/>
  <c r="K11" i="12"/>
  <c r="G12" i="12"/>
  <c r="H12" i="12"/>
  <c r="I12" i="12"/>
  <c r="J12" i="12"/>
  <c r="K12" i="12"/>
  <c r="G13" i="12"/>
  <c r="H13" i="12"/>
  <c r="I13" i="12"/>
  <c r="J13" i="12"/>
  <c r="K13" i="12"/>
  <c r="G14" i="12"/>
  <c r="H14" i="12"/>
  <c r="I14" i="12"/>
  <c r="J14" i="12"/>
  <c r="K14" i="12"/>
  <c r="G15" i="12"/>
  <c r="H15" i="12"/>
  <c r="I15" i="12"/>
  <c r="J15" i="12"/>
  <c r="K15" i="12"/>
  <c r="G16" i="12"/>
  <c r="H16" i="12"/>
  <c r="I16" i="12"/>
  <c r="J16" i="12"/>
  <c r="K16" i="12"/>
  <c r="G17" i="12"/>
  <c r="H17" i="12"/>
  <c r="I17" i="12"/>
  <c r="J17" i="12"/>
  <c r="K17" i="12"/>
  <c r="G18" i="12"/>
  <c r="H18" i="12"/>
  <c r="I18" i="12"/>
  <c r="J18" i="12"/>
  <c r="K18" i="12"/>
  <c r="G19" i="12"/>
  <c r="H19" i="12"/>
  <c r="I19" i="12"/>
  <c r="J19" i="12"/>
  <c r="K19" i="12"/>
  <c r="G20" i="12"/>
  <c r="H20" i="12"/>
  <c r="I20" i="12"/>
  <c r="J20" i="12"/>
  <c r="K20" i="12"/>
  <c r="G21" i="12"/>
  <c r="H21" i="12"/>
  <c r="I21" i="12"/>
  <c r="J21" i="12"/>
  <c r="K21" i="12"/>
  <c r="G22" i="12"/>
  <c r="H22" i="12"/>
  <c r="I22" i="12"/>
  <c r="J22" i="12"/>
  <c r="K22" i="12"/>
  <c r="G4" i="11"/>
  <c r="H4" i="11"/>
  <c r="I4" i="11"/>
  <c r="J4" i="11"/>
  <c r="K4" i="11"/>
  <c r="G5" i="11"/>
  <c r="H5" i="11"/>
  <c r="I5" i="11"/>
  <c r="J5" i="11"/>
  <c r="K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11" i="11"/>
  <c r="H11" i="11"/>
  <c r="I11" i="11"/>
  <c r="J11" i="11"/>
  <c r="K11" i="11"/>
  <c r="G12" i="11"/>
  <c r="H12" i="11"/>
  <c r="I12" i="11"/>
  <c r="J12" i="11"/>
  <c r="K12" i="11"/>
  <c r="G13" i="11"/>
  <c r="H13" i="11"/>
  <c r="I13" i="11"/>
  <c r="J13" i="11"/>
  <c r="K13" i="11"/>
  <c r="G14" i="11"/>
  <c r="H14" i="11"/>
  <c r="I14" i="11"/>
  <c r="J14" i="11"/>
  <c r="K14" i="11"/>
  <c r="G15" i="11"/>
  <c r="H15" i="11"/>
  <c r="I15" i="11"/>
  <c r="J15" i="11"/>
  <c r="K15" i="11"/>
  <c r="G16" i="11"/>
  <c r="H16" i="11"/>
  <c r="I16" i="11"/>
  <c r="J16" i="11"/>
  <c r="K16" i="11"/>
  <c r="G17" i="11"/>
  <c r="H17" i="11"/>
  <c r="I17" i="11"/>
  <c r="J17" i="11"/>
  <c r="K17" i="11"/>
  <c r="G18" i="11"/>
  <c r="H18" i="11"/>
  <c r="I18" i="11"/>
  <c r="J18" i="11"/>
  <c r="K18" i="11"/>
  <c r="G19" i="11"/>
  <c r="H19" i="11"/>
  <c r="I19" i="11"/>
  <c r="J19" i="11"/>
  <c r="K19" i="11"/>
  <c r="G20" i="11"/>
  <c r="H20" i="11"/>
  <c r="I20" i="11"/>
  <c r="J20" i="11"/>
  <c r="K20" i="11"/>
  <c r="G21" i="11"/>
  <c r="H21" i="11"/>
  <c r="I21" i="11"/>
  <c r="J21" i="11"/>
  <c r="K21" i="11"/>
  <c r="G22" i="11"/>
  <c r="H22" i="11"/>
  <c r="I22" i="11"/>
  <c r="J22" i="11"/>
  <c r="K22" i="11"/>
  <c r="G4" i="10"/>
  <c r="H4" i="10"/>
  <c r="I4" i="10"/>
  <c r="J4" i="10"/>
  <c r="K4" i="10"/>
  <c r="G5" i="10"/>
  <c r="H5" i="10"/>
  <c r="I5" i="10"/>
  <c r="J5" i="10"/>
  <c r="K5" i="10"/>
  <c r="G6" i="10"/>
  <c r="H6" i="10"/>
  <c r="I6" i="10"/>
  <c r="J6" i="10"/>
  <c r="K6" i="10"/>
  <c r="G7" i="10"/>
  <c r="H7" i="10"/>
  <c r="I7" i="10"/>
  <c r="J7" i="10"/>
  <c r="K7" i="10"/>
  <c r="G8" i="10"/>
  <c r="H8" i="10"/>
  <c r="I8" i="10"/>
  <c r="J8" i="10"/>
  <c r="K8" i="10"/>
  <c r="G9" i="10"/>
  <c r="H9" i="10"/>
  <c r="I9" i="10"/>
  <c r="J9" i="10"/>
  <c r="K9" i="10"/>
  <c r="G10" i="10"/>
  <c r="H10" i="10"/>
  <c r="I10" i="10"/>
  <c r="J10" i="10"/>
  <c r="K10" i="10"/>
  <c r="G11" i="10"/>
  <c r="H11" i="10"/>
  <c r="I11" i="10"/>
  <c r="J11" i="10"/>
  <c r="K11" i="10"/>
  <c r="G12" i="10"/>
  <c r="H12" i="10"/>
  <c r="I12" i="10"/>
  <c r="J12" i="10"/>
  <c r="K12" i="10"/>
  <c r="G13" i="10"/>
  <c r="H13" i="10"/>
  <c r="I13" i="10"/>
  <c r="J13" i="10"/>
  <c r="K13" i="10"/>
  <c r="G14" i="10"/>
  <c r="H14" i="10"/>
  <c r="I14" i="10"/>
  <c r="J14" i="10"/>
  <c r="K14" i="10"/>
  <c r="G15" i="10"/>
  <c r="H15" i="10"/>
  <c r="I15" i="10"/>
  <c r="J15" i="10"/>
  <c r="K15" i="10"/>
  <c r="G16" i="10"/>
  <c r="H16" i="10"/>
  <c r="I16" i="10"/>
  <c r="J16" i="10"/>
  <c r="K16" i="10"/>
  <c r="G17" i="10"/>
  <c r="H17" i="10"/>
  <c r="I17" i="10"/>
  <c r="J17" i="10"/>
  <c r="K17" i="10"/>
  <c r="G18" i="10"/>
  <c r="H18" i="10"/>
  <c r="I18" i="10"/>
  <c r="J18" i="10"/>
  <c r="K18" i="10"/>
  <c r="G19" i="10"/>
  <c r="H19" i="10"/>
  <c r="I19" i="10"/>
  <c r="J19" i="10"/>
  <c r="K19" i="10"/>
  <c r="G20" i="10"/>
  <c r="H20" i="10"/>
  <c r="I20" i="10"/>
  <c r="J20" i="10"/>
  <c r="K20" i="10"/>
  <c r="G21" i="10"/>
  <c r="H21" i="10"/>
  <c r="I21" i="10"/>
  <c r="J21" i="10"/>
  <c r="K21" i="10"/>
  <c r="G22" i="10"/>
  <c r="H22" i="10"/>
  <c r="I22" i="10"/>
  <c r="J22" i="10"/>
  <c r="K22" i="10"/>
  <c r="G4" i="9"/>
  <c r="H4" i="9"/>
  <c r="I4" i="9"/>
  <c r="J4" i="9"/>
  <c r="K4" i="9"/>
  <c r="G5" i="9"/>
  <c r="I5" i="9" s="1"/>
  <c r="K5" i="9" s="1"/>
  <c r="H5" i="9"/>
  <c r="J5" i="9"/>
  <c r="G6" i="9"/>
  <c r="I6" i="9" s="1"/>
  <c r="K6" i="9" s="1"/>
  <c r="H6" i="9"/>
  <c r="J6" i="9"/>
  <c r="G7" i="9"/>
  <c r="I7" i="9" s="1"/>
  <c r="K7" i="9" s="1"/>
  <c r="H7" i="9"/>
  <c r="J7" i="9"/>
  <c r="G8" i="9"/>
  <c r="H8" i="9"/>
  <c r="I8" i="9"/>
  <c r="K8" i="9" s="1"/>
  <c r="J8" i="9"/>
  <c r="G9" i="9"/>
  <c r="I9" i="9" s="1"/>
  <c r="K9" i="9" s="1"/>
  <c r="H9" i="9"/>
  <c r="J9" i="9"/>
  <c r="G10" i="9"/>
  <c r="H10" i="9"/>
  <c r="I10" i="9"/>
  <c r="J10" i="9"/>
  <c r="K10" i="9"/>
  <c r="G11" i="9"/>
  <c r="I11" i="9" s="1"/>
  <c r="K11" i="9" s="1"/>
  <c r="H11" i="9"/>
  <c r="J11" i="9"/>
  <c r="G12" i="9"/>
  <c r="H12" i="9"/>
  <c r="I12" i="9"/>
  <c r="J12" i="9"/>
  <c r="K12" i="9"/>
  <c r="G13" i="9"/>
  <c r="I13" i="9" s="1"/>
  <c r="K13" i="9" s="1"/>
  <c r="H13" i="9"/>
  <c r="J13" i="9"/>
  <c r="G14" i="9"/>
  <c r="H14" i="9"/>
  <c r="I14" i="9"/>
  <c r="J14" i="9"/>
  <c r="K14" i="9"/>
  <c r="G15" i="9"/>
  <c r="I15" i="9" s="1"/>
  <c r="K15" i="9" s="1"/>
  <c r="H15" i="9"/>
  <c r="J15" i="9"/>
  <c r="G16" i="9"/>
  <c r="I16" i="9" s="1"/>
  <c r="K16" i="9" s="1"/>
  <c r="H16" i="9"/>
  <c r="J16" i="9"/>
  <c r="G17" i="9"/>
  <c r="I17" i="9" s="1"/>
  <c r="K17" i="9" s="1"/>
  <c r="H17" i="9"/>
  <c r="J17" i="9"/>
  <c r="G18" i="9"/>
  <c r="H18" i="9"/>
  <c r="I18" i="9"/>
  <c r="K18" i="9" s="1"/>
  <c r="J18" i="9"/>
  <c r="G4" i="8"/>
  <c r="H4" i="8"/>
  <c r="I4" i="8"/>
  <c r="J4" i="8"/>
  <c r="K4" i="8"/>
  <c r="G5" i="8"/>
  <c r="I5" i="8" s="1"/>
  <c r="K5" i="8" s="1"/>
  <c r="H5" i="8"/>
  <c r="J5" i="8"/>
  <c r="G6" i="8"/>
  <c r="I6" i="8" s="1"/>
  <c r="K6" i="8" s="1"/>
  <c r="H6" i="8"/>
  <c r="J6" i="8"/>
  <c r="G7" i="8"/>
  <c r="I7" i="8" s="1"/>
  <c r="K7" i="8" s="1"/>
  <c r="H7" i="8"/>
  <c r="J7" i="8"/>
  <c r="G8" i="8"/>
  <c r="H8" i="8"/>
  <c r="I8" i="8"/>
  <c r="K8" i="8" s="1"/>
  <c r="J8" i="8"/>
  <c r="G9" i="8"/>
  <c r="I9" i="8" s="1"/>
  <c r="K9" i="8" s="1"/>
  <c r="H9" i="8"/>
  <c r="J9" i="8"/>
  <c r="G10" i="8"/>
  <c r="H10" i="8"/>
  <c r="I10" i="8"/>
  <c r="J10" i="8"/>
  <c r="K10" i="8"/>
  <c r="G11" i="8"/>
  <c r="I11" i="8" s="1"/>
  <c r="K11" i="8" s="1"/>
  <c r="H11" i="8"/>
  <c r="J11" i="8"/>
  <c r="G12" i="8"/>
  <c r="H12" i="8"/>
  <c r="I12" i="8"/>
  <c r="J12" i="8"/>
  <c r="K12" i="8"/>
  <c r="G13" i="8"/>
  <c r="I13" i="8" s="1"/>
  <c r="K13" i="8" s="1"/>
  <c r="H13" i="8"/>
  <c r="J13" i="8"/>
  <c r="G14" i="8"/>
  <c r="H14" i="8"/>
  <c r="I14" i="8"/>
  <c r="J14" i="8"/>
  <c r="K14" i="8"/>
  <c r="G15" i="8"/>
  <c r="I15" i="8" s="1"/>
  <c r="K15" i="8" s="1"/>
  <c r="H15" i="8"/>
  <c r="J15" i="8"/>
  <c r="G16" i="8"/>
  <c r="I16" i="8" s="1"/>
  <c r="K16" i="8" s="1"/>
  <c r="H16" i="8"/>
  <c r="J16" i="8"/>
  <c r="G17" i="8"/>
  <c r="I17" i="8" s="1"/>
  <c r="K17" i="8" s="1"/>
  <c r="H17" i="8"/>
  <c r="J17" i="8"/>
  <c r="G18" i="8"/>
  <c r="H18" i="8"/>
  <c r="I18" i="8"/>
  <c r="K18" i="8" s="1"/>
  <c r="J18" i="8"/>
  <c r="G19" i="8"/>
  <c r="I19" i="8" s="1"/>
  <c r="K19" i="8" s="1"/>
  <c r="H19" i="8"/>
  <c r="J19" i="8"/>
  <c r="G20" i="8"/>
  <c r="H20" i="8"/>
  <c r="I20" i="8"/>
  <c r="J20" i="8"/>
  <c r="K20" i="8"/>
  <c r="G21" i="8"/>
  <c r="I21" i="8" s="1"/>
  <c r="K21" i="8" s="1"/>
  <c r="H21" i="8"/>
  <c r="J21" i="8"/>
  <c r="G22" i="8"/>
  <c r="H22" i="8"/>
  <c r="I22" i="8"/>
  <c r="J22" i="8"/>
  <c r="K22" i="8"/>
  <c r="G23" i="8"/>
  <c r="I23" i="8" s="1"/>
  <c r="K23" i="8" s="1"/>
  <c r="H23" i="8"/>
  <c r="J23" i="8"/>
  <c r="G24" i="8"/>
  <c r="H24" i="8"/>
  <c r="I24" i="8"/>
  <c r="J24" i="8"/>
  <c r="K24" i="8"/>
  <c r="G25" i="8"/>
  <c r="I25" i="8" s="1"/>
  <c r="K25" i="8" s="1"/>
  <c r="H25" i="8"/>
  <c r="J25" i="8"/>
  <c r="G26" i="8"/>
  <c r="I26" i="8" s="1"/>
  <c r="K26" i="8" s="1"/>
  <c r="H26" i="8"/>
  <c r="J26" i="8"/>
  <c r="G27" i="8"/>
  <c r="I27" i="8" s="1"/>
  <c r="K27" i="8" s="1"/>
  <c r="H27" i="8"/>
  <c r="J27" i="8"/>
  <c r="G28" i="8"/>
  <c r="H28" i="8"/>
  <c r="I28" i="8"/>
  <c r="K28" i="8" s="1"/>
  <c r="J28" i="8"/>
  <c r="G29" i="8"/>
  <c r="I29" i="8" s="1"/>
  <c r="K29" i="8" s="1"/>
  <c r="H29" i="8"/>
  <c r="J29" i="8"/>
  <c r="G30" i="8"/>
  <c r="H30" i="8"/>
  <c r="I30" i="8"/>
  <c r="J30" i="8"/>
  <c r="K30" i="8"/>
  <c r="G31" i="8"/>
  <c r="I31" i="8" s="1"/>
  <c r="K31" i="8" s="1"/>
  <c r="H31" i="8"/>
  <c r="J31" i="8"/>
  <c r="G32" i="8"/>
  <c r="H32" i="8"/>
  <c r="I32" i="8"/>
  <c r="J32" i="8"/>
  <c r="K32" i="8"/>
  <c r="G33" i="8"/>
  <c r="I33" i="8" s="1"/>
  <c r="K33" i="8" s="1"/>
  <c r="H33" i="8"/>
  <c r="J33" i="8"/>
  <c r="G34" i="8"/>
  <c r="H34" i="8"/>
  <c r="I34" i="8"/>
  <c r="J34" i="8"/>
  <c r="K34" i="8"/>
  <c r="G35" i="8"/>
  <c r="I35" i="8" s="1"/>
  <c r="K35" i="8" s="1"/>
  <c r="H35" i="8"/>
  <c r="J35" i="8"/>
  <c r="G4" i="7"/>
  <c r="H4" i="7"/>
  <c r="I4" i="7"/>
  <c r="J4" i="7"/>
  <c r="K4" i="7"/>
  <c r="G5" i="7"/>
  <c r="H5" i="7"/>
  <c r="I5" i="7"/>
  <c r="J5" i="7"/>
  <c r="K5" i="7"/>
  <c r="G6" i="7"/>
  <c r="H6" i="7"/>
  <c r="I6" i="7"/>
  <c r="J6" i="7"/>
  <c r="K6" i="7"/>
  <c r="G7" i="7"/>
  <c r="H7" i="7"/>
  <c r="I7" i="7"/>
  <c r="J7" i="7"/>
  <c r="K7" i="7"/>
  <c r="G8" i="7"/>
  <c r="H8" i="7"/>
  <c r="I8" i="7"/>
  <c r="J8" i="7"/>
  <c r="K8" i="7"/>
  <c r="G9" i="7"/>
  <c r="H9" i="7"/>
  <c r="I9" i="7"/>
  <c r="J9" i="7"/>
  <c r="K9" i="7"/>
  <c r="G10" i="7"/>
  <c r="H10" i="7"/>
  <c r="I10" i="7"/>
  <c r="J10" i="7"/>
  <c r="K10" i="7"/>
  <c r="G11" i="7"/>
  <c r="H11" i="7"/>
  <c r="I11" i="7"/>
  <c r="J11" i="7"/>
  <c r="K11" i="7"/>
  <c r="G12" i="7"/>
  <c r="H12" i="7"/>
  <c r="I12" i="7"/>
  <c r="J12" i="7"/>
  <c r="K12" i="7"/>
  <c r="G13" i="7"/>
  <c r="H13" i="7"/>
  <c r="I13" i="7"/>
  <c r="J13" i="7"/>
  <c r="K13" i="7"/>
  <c r="G14" i="7"/>
  <c r="H14" i="7"/>
  <c r="I14" i="7"/>
  <c r="J14" i="7"/>
  <c r="K14" i="7"/>
  <c r="G15" i="7"/>
  <c r="H15" i="7"/>
  <c r="I15" i="7"/>
  <c r="J15" i="7"/>
  <c r="K15" i="7"/>
  <c r="G16" i="7"/>
  <c r="H16" i="7"/>
  <c r="I16" i="7"/>
  <c r="J16" i="7"/>
  <c r="K16" i="7"/>
  <c r="G17" i="7"/>
  <c r="H17" i="7"/>
  <c r="I17" i="7"/>
  <c r="J17" i="7"/>
  <c r="K17" i="7"/>
  <c r="G18" i="7"/>
  <c r="H18" i="7"/>
  <c r="I18" i="7"/>
  <c r="J18" i="7"/>
  <c r="K18" i="7"/>
  <c r="G19" i="7"/>
  <c r="H19" i="7"/>
  <c r="I19" i="7"/>
  <c r="J19" i="7"/>
  <c r="K19" i="7"/>
  <c r="G20" i="7"/>
  <c r="H20" i="7"/>
  <c r="I20" i="7"/>
  <c r="J20" i="7"/>
  <c r="K20" i="7"/>
  <c r="G21" i="7"/>
  <c r="H21" i="7"/>
  <c r="I21" i="7"/>
  <c r="J21" i="7"/>
  <c r="K21" i="7"/>
  <c r="G22" i="7"/>
  <c r="H22" i="7"/>
  <c r="I22" i="7"/>
  <c r="J22" i="7"/>
  <c r="K22" i="7"/>
  <c r="G4" i="6"/>
  <c r="H4" i="6"/>
  <c r="I4" i="6"/>
  <c r="J4" i="6"/>
  <c r="K4" i="6"/>
  <c r="G5" i="6"/>
  <c r="H5" i="6"/>
  <c r="I5" i="6"/>
  <c r="K5" i="6" s="1"/>
  <c r="J5" i="6"/>
  <c r="G6" i="6"/>
  <c r="H6" i="6"/>
  <c r="I6" i="6"/>
  <c r="J6" i="6"/>
  <c r="K6" i="6"/>
  <c r="G7" i="6"/>
  <c r="H7" i="6"/>
  <c r="I7" i="6"/>
  <c r="K7" i="6" s="1"/>
  <c r="J7" i="6"/>
  <c r="G8" i="6"/>
  <c r="H8" i="6"/>
  <c r="I8" i="6"/>
  <c r="J8" i="6"/>
  <c r="K8" i="6"/>
  <c r="G9" i="6"/>
  <c r="H9" i="6"/>
  <c r="I9" i="6"/>
  <c r="K9" i="6" s="1"/>
  <c r="J9" i="6"/>
  <c r="G10" i="6"/>
  <c r="H10" i="6"/>
  <c r="I10" i="6"/>
  <c r="J10" i="6"/>
  <c r="K10" i="6"/>
  <c r="G11" i="6"/>
  <c r="H11" i="6"/>
  <c r="I11" i="6"/>
  <c r="K11" i="6" s="1"/>
  <c r="J11" i="6"/>
  <c r="G12" i="6"/>
  <c r="H12" i="6"/>
  <c r="I12" i="6"/>
  <c r="J12" i="6"/>
  <c r="K12" i="6"/>
  <c r="G13" i="6"/>
  <c r="H13" i="6"/>
  <c r="I13" i="6"/>
  <c r="K13" i="6" s="1"/>
  <c r="J13" i="6"/>
  <c r="G14" i="6"/>
  <c r="H14" i="6"/>
  <c r="I14" i="6"/>
  <c r="J14" i="6"/>
  <c r="K14" i="6"/>
  <c r="G15" i="6"/>
  <c r="H15" i="6"/>
  <c r="I15" i="6"/>
  <c r="K15" i="6" s="1"/>
  <c r="J15" i="6"/>
  <c r="G16" i="6"/>
  <c r="H16" i="6"/>
  <c r="I16" i="6"/>
  <c r="J16" i="6"/>
  <c r="K16" i="6"/>
  <c r="G17" i="6"/>
  <c r="H17" i="6"/>
  <c r="I17" i="6"/>
  <c r="K17" i="6" s="1"/>
  <c r="J17" i="6"/>
  <c r="G18" i="6"/>
  <c r="H18" i="6"/>
  <c r="I18" i="6"/>
  <c r="J18" i="6"/>
  <c r="K18" i="6"/>
  <c r="G4" i="5"/>
  <c r="H4" i="5"/>
  <c r="I4" i="5"/>
  <c r="J4" i="5"/>
  <c r="K4" i="5"/>
  <c r="G5" i="5"/>
  <c r="H5" i="5"/>
  <c r="I5" i="5"/>
  <c r="J5" i="5"/>
  <c r="K5" i="5"/>
  <c r="G6" i="5"/>
  <c r="H6" i="5"/>
  <c r="I6" i="5"/>
  <c r="J6" i="5"/>
  <c r="K6" i="5"/>
  <c r="G7" i="5"/>
  <c r="H7" i="5"/>
  <c r="I7" i="5"/>
  <c r="J7" i="5"/>
  <c r="K7" i="5"/>
  <c r="G8" i="5"/>
  <c r="H8" i="5"/>
  <c r="I8" i="5"/>
  <c r="J8" i="5"/>
  <c r="K8" i="5"/>
  <c r="G9" i="5"/>
  <c r="H9" i="5"/>
  <c r="I9" i="5"/>
  <c r="J9" i="5"/>
  <c r="K9" i="5"/>
  <c r="G10" i="5"/>
  <c r="H10" i="5"/>
  <c r="I10" i="5"/>
  <c r="J10" i="5"/>
  <c r="K10" i="5"/>
  <c r="G11" i="5"/>
  <c r="H11" i="5"/>
  <c r="I11" i="5"/>
  <c r="J11" i="5"/>
  <c r="K11" i="5"/>
  <c r="G12" i="5"/>
  <c r="H12" i="5"/>
  <c r="I12" i="5"/>
  <c r="J12" i="5"/>
  <c r="K12" i="5"/>
  <c r="G13" i="5"/>
  <c r="H13" i="5"/>
  <c r="I13" i="5"/>
  <c r="J13" i="5"/>
  <c r="K13" i="5"/>
  <c r="G14" i="5"/>
  <c r="H14" i="5"/>
  <c r="I14" i="5"/>
  <c r="J14" i="5"/>
  <c r="K14" i="5"/>
  <c r="G15" i="5"/>
  <c r="H15" i="5"/>
  <c r="I15" i="5"/>
  <c r="J15" i="5"/>
  <c r="K15" i="5"/>
  <c r="G16" i="5"/>
  <c r="H16" i="5"/>
  <c r="I16" i="5"/>
  <c r="J16" i="5"/>
  <c r="K16" i="5"/>
  <c r="G17" i="5"/>
  <c r="H17" i="5"/>
  <c r="I17" i="5"/>
  <c r="J17" i="5"/>
  <c r="K17" i="5"/>
  <c r="G4" i="4"/>
  <c r="H4" i="4"/>
  <c r="I4" i="4"/>
  <c r="J4" i="4"/>
  <c r="K4" i="4"/>
  <c r="G5" i="4"/>
  <c r="H5" i="4"/>
  <c r="I5" i="4"/>
  <c r="J5" i="4"/>
  <c r="K5" i="4"/>
  <c r="G6" i="4"/>
  <c r="H6" i="4"/>
  <c r="I6" i="4"/>
  <c r="J6" i="4"/>
  <c r="K6" i="4"/>
  <c r="G7" i="4"/>
  <c r="H7" i="4"/>
  <c r="I7" i="4"/>
  <c r="J7" i="4"/>
  <c r="K7" i="4"/>
  <c r="G8" i="4"/>
  <c r="H8" i="4"/>
  <c r="I8" i="4"/>
  <c r="J8" i="4"/>
  <c r="K8" i="4"/>
  <c r="G9" i="4"/>
  <c r="H9" i="4"/>
  <c r="I9" i="4"/>
  <c r="J9" i="4"/>
  <c r="K9" i="4"/>
  <c r="G10" i="4"/>
  <c r="H10" i="4"/>
  <c r="I10" i="4"/>
  <c r="J10" i="4"/>
  <c r="K10" i="4"/>
  <c r="G11" i="4"/>
  <c r="H11" i="4"/>
  <c r="I11" i="4"/>
  <c r="J11" i="4"/>
  <c r="K11" i="4"/>
  <c r="G12" i="4"/>
  <c r="H12" i="4"/>
  <c r="I12" i="4"/>
  <c r="J12" i="4"/>
  <c r="K12" i="4"/>
  <c r="G13" i="4"/>
  <c r="H13" i="4"/>
  <c r="I13" i="4"/>
  <c r="J13" i="4"/>
  <c r="K13" i="4"/>
  <c r="G14" i="4"/>
  <c r="H14" i="4"/>
  <c r="I14" i="4"/>
  <c r="J14" i="4"/>
  <c r="K14" i="4"/>
  <c r="G15" i="4"/>
  <c r="H15" i="4"/>
  <c r="I15" i="4"/>
  <c r="J15" i="4"/>
  <c r="K15" i="4"/>
  <c r="G16" i="4"/>
  <c r="H16" i="4"/>
  <c r="I16" i="4"/>
  <c r="J16" i="4"/>
  <c r="K16" i="4"/>
  <c r="G17" i="4"/>
  <c r="H17" i="4"/>
  <c r="I17" i="4"/>
  <c r="J17" i="4"/>
  <c r="K17" i="4"/>
  <c r="G18" i="4"/>
  <c r="H18" i="4"/>
  <c r="I18" i="4"/>
  <c r="J18" i="4"/>
  <c r="K18" i="4"/>
  <c r="G19" i="4"/>
  <c r="H19" i="4"/>
  <c r="I19" i="4"/>
  <c r="J19" i="4"/>
  <c r="K19" i="4"/>
  <c r="G20" i="4"/>
  <c r="H20" i="4"/>
  <c r="I20" i="4"/>
  <c r="J20" i="4"/>
  <c r="K20" i="4"/>
  <c r="G21" i="4"/>
  <c r="H21" i="4"/>
  <c r="I21" i="4"/>
  <c r="J21" i="4"/>
  <c r="K21" i="4"/>
  <c r="G22" i="4"/>
  <c r="H22" i="4"/>
  <c r="I22" i="4"/>
  <c r="J22" i="4"/>
  <c r="K22" i="4"/>
  <c r="G23" i="4"/>
  <c r="H23" i="4"/>
  <c r="I23" i="4"/>
  <c r="J23" i="4"/>
  <c r="K23" i="4"/>
  <c r="G24" i="4"/>
  <c r="H24" i="4"/>
  <c r="I24" i="4"/>
  <c r="J24" i="4"/>
  <c r="K24" i="4"/>
  <c r="G4" i="3"/>
  <c r="H4" i="3"/>
  <c r="I4" i="3"/>
  <c r="J4" i="3"/>
  <c r="K4" i="3"/>
  <c r="G5" i="3"/>
  <c r="H5" i="3"/>
  <c r="I5" i="3"/>
  <c r="J5" i="3"/>
  <c r="K5" i="3"/>
  <c r="G6" i="3"/>
  <c r="H6" i="3"/>
  <c r="I6" i="3"/>
  <c r="J6" i="3"/>
  <c r="K6" i="3"/>
  <c r="G7" i="3"/>
  <c r="H7" i="3"/>
  <c r="I7" i="3"/>
  <c r="J7" i="3"/>
  <c r="K7" i="3"/>
  <c r="G8" i="3"/>
  <c r="H8" i="3"/>
  <c r="I8" i="3"/>
  <c r="J8" i="3"/>
  <c r="K8" i="3"/>
  <c r="G9" i="3"/>
  <c r="H9" i="3"/>
  <c r="I9" i="3"/>
  <c r="J9" i="3"/>
  <c r="K9" i="3"/>
  <c r="G10" i="3"/>
  <c r="H10" i="3"/>
  <c r="I10" i="3"/>
  <c r="J10" i="3"/>
  <c r="K10" i="3"/>
  <c r="G11" i="3"/>
  <c r="H11" i="3"/>
  <c r="I11" i="3"/>
  <c r="J11" i="3"/>
  <c r="K11" i="3"/>
  <c r="G12" i="3"/>
  <c r="H12" i="3"/>
  <c r="I12" i="3"/>
  <c r="J12" i="3"/>
  <c r="K12" i="3"/>
  <c r="G13" i="3"/>
  <c r="H13" i="3"/>
  <c r="I13" i="3"/>
  <c r="J13" i="3"/>
  <c r="K13" i="3"/>
  <c r="G14" i="3"/>
  <c r="H14" i="3"/>
  <c r="I14" i="3"/>
  <c r="J14" i="3"/>
  <c r="K14" i="3"/>
  <c r="G15" i="3"/>
  <c r="H15" i="3"/>
  <c r="I15" i="3"/>
  <c r="J15" i="3"/>
  <c r="K15" i="3"/>
  <c r="G16" i="3"/>
  <c r="H16" i="3"/>
  <c r="I16" i="3"/>
  <c r="J16" i="3"/>
  <c r="K16" i="3"/>
  <c r="G17" i="3"/>
  <c r="H17" i="3"/>
  <c r="I17" i="3"/>
  <c r="J17" i="3"/>
  <c r="K17" i="3"/>
  <c r="G18" i="3"/>
  <c r="H18" i="3"/>
  <c r="I18" i="3"/>
  <c r="J18" i="3"/>
  <c r="K18" i="3"/>
  <c r="G19" i="3"/>
  <c r="H19" i="3"/>
  <c r="I19" i="3"/>
  <c r="J19" i="3"/>
  <c r="K19" i="3"/>
  <c r="G20" i="3"/>
  <c r="H20" i="3"/>
  <c r="I20" i="3"/>
  <c r="J20" i="3"/>
  <c r="K20" i="3"/>
  <c r="G21" i="3"/>
  <c r="H21" i="3"/>
  <c r="I21" i="3"/>
  <c r="J21" i="3"/>
  <c r="K21" i="3"/>
  <c r="G22" i="3"/>
  <c r="H22" i="3"/>
  <c r="I22" i="3"/>
  <c r="J22" i="3"/>
  <c r="K22" i="3"/>
  <c r="G23" i="3"/>
  <c r="H23" i="3"/>
  <c r="I23" i="3"/>
  <c r="J23" i="3"/>
  <c r="K23" i="3"/>
  <c r="G4" i="2"/>
  <c r="H4" i="2"/>
  <c r="I4" i="2"/>
  <c r="J4" i="2"/>
  <c r="K4" i="2"/>
  <c r="G5" i="2"/>
  <c r="I5" i="2" s="1"/>
  <c r="K5" i="2" s="1"/>
  <c r="H5" i="2"/>
  <c r="J5" i="2"/>
  <c r="G6" i="2"/>
  <c r="H6" i="2"/>
  <c r="I6" i="2"/>
  <c r="J6" i="2"/>
  <c r="K6" i="2"/>
  <c r="G7" i="2"/>
  <c r="I7" i="2" s="1"/>
  <c r="K7" i="2" s="1"/>
  <c r="H7" i="2"/>
  <c r="J7" i="2"/>
  <c r="G8" i="2"/>
  <c r="H8" i="2"/>
  <c r="I8" i="2"/>
  <c r="J8" i="2"/>
  <c r="K8" i="2"/>
  <c r="G9" i="2"/>
  <c r="I9" i="2" s="1"/>
  <c r="K9" i="2" s="1"/>
  <c r="H9" i="2"/>
  <c r="J9" i="2"/>
  <c r="G10" i="2"/>
  <c r="H10" i="2"/>
  <c r="I10" i="2"/>
  <c r="J10" i="2"/>
  <c r="K10" i="2"/>
  <c r="G11" i="2"/>
  <c r="I11" i="2" s="1"/>
  <c r="K11" i="2" s="1"/>
  <c r="H11" i="2"/>
  <c r="J11" i="2"/>
  <c r="G12" i="2"/>
  <c r="H12" i="2"/>
  <c r="I12" i="2"/>
  <c r="J12" i="2"/>
  <c r="K12" i="2"/>
  <c r="G13" i="2"/>
  <c r="I13" i="2" s="1"/>
  <c r="K13" i="2" s="1"/>
  <c r="H13" i="2"/>
  <c r="J13" i="2"/>
  <c r="G14" i="2"/>
  <c r="H14" i="2"/>
  <c r="I14" i="2"/>
  <c r="J14" i="2"/>
  <c r="K14" i="2"/>
  <c r="G15" i="2"/>
  <c r="I15" i="2" s="1"/>
  <c r="K15" i="2" s="1"/>
  <c r="H15" i="2"/>
  <c r="J15" i="2"/>
  <c r="G16" i="2"/>
  <c r="H16" i="2"/>
  <c r="I16" i="2"/>
  <c r="J16" i="2"/>
  <c r="K16" i="2"/>
  <c r="G17" i="2"/>
  <c r="I17" i="2" s="1"/>
  <c r="K17" i="2" s="1"/>
  <c r="H17" i="2"/>
  <c r="J17" i="2"/>
  <c r="G18" i="2"/>
  <c r="H18" i="2"/>
  <c r="I18" i="2"/>
  <c r="J18" i="2"/>
  <c r="K18" i="2"/>
  <c r="G19" i="2"/>
  <c r="I19" i="2" s="1"/>
  <c r="K19" i="2" s="1"/>
  <c r="H19" i="2"/>
  <c r="J19" i="2"/>
  <c r="G20" i="2"/>
  <c r="H20" i="2"/>
  <c r="I20" i="2"/>
  <c r="J20" i="2"/>
  <c r="K20" i="2"/>
  <c r="G21" i="2"/>
  <c r="I21" i="2" s="1"/>
  <c r="K21" i="2" s="1"/>
  <c r="H21" i="2"/>
  <c r="J21" i="2"/>
  <c r="J3" i="13"/>
  <c r="H3" i="13"/>
  <c r="G3" i="13"/>
  <c r="I3" i="13" s="1"/>
  <c r="K3" i="13" s="1"/>
  <c r="J3" i="12"/>
  <c r="H3" i="12"/>
  <c r="G3" i="12"/>
  <c r="I3" i="12" s="1"/>
  <c r="K3" i="12" s="1"/>
  <c r="J3" i="11"/>
  <c r="H3" i="11"/>
  <c r="G3" i="11"/>
  <c r="I3" i="11" s="1"/>
  <c r="K3" i="11" s="1"/>
  <c r="J3" i="10"/>
  <c r="H3" i="10"/>
  <c r="G3" i="10"/>
  <c r="I3" i="10" s="1"/>
  <c r="K3" i="10" s="1"/>
  <c r="J3" i="9"/>
  <c r="H3" i="9"/>
  <c r="G3" i="9"/>
  <c r="I3" i="9" s="1"/>
  <c r="K3" i="9" s="1"/>
  <c r="J3" i="8"/>
  <c r="H3" i="8"/>
  <c r="G3" i="8"/>
  <c r="I3" i="8" s="1"/>
  <c r="K3" i="8" s="1"/>
  <c r="J3" i="7"/>
  <c r="H3" i="7"/>
  <c r="G3" i="7"/>
  <c r="I3" i="7" s="1"/>
  <c r="K3" i="7" s="1"/>
  <c r="J3" i="6"/>
  <c r="H3" i="6"/>
  <c r="G3" i="6"/>
  <c r="I3" i="6" s="1"/>
  <c r="K3" i="6" s="1"/>
  <c r="J3" i="5"/>
  <c r="H3" i="5"/>
  <c r="G3" i="5"/>
  <c r="I3" i="5" s="1"/>
  <c r="K3" i="5" s="1"/>
  <c r="J3" i="4"/>
  <c r="H3" i="4"/>
  <c r="G3" i="4"/>
  <c r="I3" i="4" s="1"/>
  <c r="K3" i="4" s="1"/>
  <c r="J3" i="3"/>
  <c r="H3" i="3"/>
  <c r="G3" i="3"/>
  <c r="I3" i="3" s="1"/>
  <c r="K3" i="3" s="1"/>
  <c r="J3" i="2"/>
  <c r="I3" i="2"/>
  <c r="K3" i="2" s="1"/>
  <c r="H3" i="2"/>
  <c r="G3" i="2"/>
  <c r="L23" i="13"/>
  <c r="F23" i="13"/>
  <c r="E23" i="13"/>
  <c r="D23" i="13"/>
  <c r="C14" i="1" s="1"/>
  <c r="C23" i="13"/>
  <c r="B17" i="1" s="1"/>
  <c r="L23" i="12"/>
  <c r="F23" i="12"/>
  <c r="E23" i="12"/>
  <c r="D13" i="1" s="1"/>
  <c r="D23" i="12"/>
  <c r="C23" i="12"/>
  <c r="L23" i="11"/>
  <c r="F23" i="11"/>
  <c r="E23" i="11"/>
  <c r="H26" i="11" s="1"/>
  <c r="D23" i="11"/>
  <c r="C23" i="11"/>
  <c r="B12" i="1" s="1"/>
  <c r="H26" i="10"/>
  <c r="L23" i="10"/>
  <c r="K11" i="1" s="1"/>
  <c r="F23" i="10"/>
  <c r="E23" i="10"/>
  <c r="D23" i="10"/>
  <c r="C23" i="10"/>
  <c r="B11" i="1" s="1"/>
  <c r="T11" i="1" s="1"/>
  <c r="L19" i="9"/>
  <c r="K10" i="1" s="1"/>
  <c r="F19" i="9"/>
  <c r="E19" i="9"/>
  <c r="G22" i="9" s="1"/>
  <c r="D19" i="9"/>
  <c r="C10" i="1" s="1"/>
  <c r="C19" i="9"/>
  <c r="B10" i="1" s="1"/>
  <c r="H39" i="8"/>
  <c r="L36" i="8"/>
  <c r="K9" i="1" s="1"/>
  <c r="F36" i="8"/>
  <c r="E36" i="8"/>
  <c r="D9" i="1" s="1"/>
  <c r="D36" i="8"/>
  <c r="C9" i="1" s="1"/>
  <c r="C36" i="8"/>
  <c r="B9" i="1" s="1"/>
  <c r="L23" i="7"/>
  <c r="F23" i="7"/>
  <c r="E23" i="7"/>
  <c r="D8" i="1" s="1"/>
  <c r="D23" i="7"/>
  <c r="C8" i="1" s="1"/>
  <c r="C23" i="7"/>
  <c r="B8" i="1" s="1"/>
  <c r="L19" i="6"/>
  <c r="K7" i="1" s="1"/>
  <c r="F19" i="6"/>
  <c r="E19" i="6"/>
  <c r="D7" i="1" s="1"/>
  <c r="D19" i="6"/>
  <c r="C7" i="1" s="1"/>
  <c r="C19" i="6"/>
  <c r="B7" i="1" s="1"/>
  <c r="L18" i="5"/>
  <c r="K6" i="1" s="1"/>
  <c r="F18" i="5"/>
  <c r="E6" i="1" s="1"/>
  <c r="E18" i="5"/>
  <c r="D6" i="1" s="1"/>
  <c r="D18" i="5"/>
  <c r="C6" i="1" s="1"/>
  <c r="C18" i="5"/>
  <c r="B6" i="1" s="1"/>
  <c r="L25" i="4"/>
  <c r="K5" i="1" s="1"/>
  <c r="F25" i="4"/>
  <c r="E25" i="4"/>
  <c r="H28" i="4" s="1"/>
  <c r="D25" i="4"/>
  <c r="C5" i="1" s="1"/>
  <c r="C25" i="4"/>
  <c r="B5" i="1" s="1"/>
  <c r="L24" i="3"/>
  <c r="K4" i="1" s="1"/>
  <c r="F24" i="3"/>
  <c r="E24" i="3"/>
  <c r="D24" i="3"/>
  <c r="C4" i="1" s="1"/>
  <c r="C24" i="3"/>
  <c r="B4" i="1" s="1"/>
  <c r="L22" i="2"/>
  <c r="K3" i="1" s="1"/>
  <c r="F22" i="2"/>
  <c r="E3" i="1" s="1"/>
  <c r="V3" i="1" s="1"/>
  <c r="E22" i="2"/>
  <c r="D22" i="2"/>
  <c r="C22" i="2"/>
  <c r="K14" i="1"/>
  <c r="E14" i="1"/>
  <c r="V14" i="1" s="1"/>
  <c r="B14" i="1"/>
  <c r="K13" i="1"/>
  <c r="E13" i="1"/>
  <c r="V13" i="1" s="1"/>
  <c r="C13" i="1"/>
  <c r="B13" i="1"/>
  <c r="K12" i="1"/>
  <c r="E12" i="1"/>
  <c r="D12" i="1"/>
  <c r="U12" i="1" s="1"/>
  <c r="C12" i="1"/>
  <c r="E11" i="1"/>
  <c r="D11" i="1"/>
  <c r="U11" i="1" s="1"/>
  <c r="C11" i="1"/>
  <c r="E10" i="1"/>
  <c r="E9" i="1"/>
  <c r="V9" i="1" s="1"/>
  <c r="K8" i="1"/>
  <c r="E8" i="1"/>
  <c r="V8" i="1" s="1"/>
  <c r="E7" i="1"/>
  <c r="E5" i="1"/>
  <c r="V5" i="1" s="1"/>
  <c r="E4" i="1"/>
  <c r="C3" i="1"/>
  <c r="B3" i="1"/>
  <c r="H26" i="13" l="1"/>
  <c r="T12" i="1"/>
  <c r="V12" i="1"/>
  <c r="G26" i="11"/>
  <c r="V11" i="1"/>
  <c r="D10" i="1"/>
  <c r="T10" i="1" s="1"/>
  <c r="U10" i="1"/>
  <c r="G39" i="8"/>
  <c r="H26" i="7"/>
  <c r="G22" i="6"/>
  <c r="G21" i="5"/>
  <c r="C15" i="1"/>
  <c r="V4" i="1"/>
  <c r="I19" i="9"/>
  <c r="H10" i="1" s="1"/>
  <c r="O10" i="1" s="1"/>
  <c r="G23" i="11"/>
  <c r="G24" i="11" s="1"/>
  <c r="J23" i="12"/>
  <c r="I13" i="1" s="1"/>
  <c r="I23" i="12"/>
  <c r="H13" i="1" s="1"/>
  <c r="O13" i="1" s="1"/>
  <c r="H19" i="9"/>
  <c r="H20" i="9" s="1"/>
  <c r="K23" i="12"/>
  <c r="J13" i="1" s="1"/>
  <c r="H23" i="12"/>
  <c r="H24" i="12" s="1"/>
  <c r="K23" i="7"/>
  <c r="K24" i="7" s="1"/>
  <c r="G36" i="8"/>
  <c r="G37" i="8" s="1"/>
  <c r="K36" i="8"/>
  <c r="J9" i="1" s="1"/>
  <c r="J19" i="6"/>
  <c r="I7" i="1" s="1"/>
  <c r="H36" i="8"/>
  <c r="G9" i="1" s="1"/>
  <c r="K19" i="9"/>
  <c r="K20" i="9" s="1"/>
  <c r="I23" i="11"/>
  <c r="H12" i="1" s="1"/>
  <c r="G23" i="12"/>
  <c r="J23" i="11"/>
  <c r="J24" i="11" s="1"/>
  <c r="G24" i="3"/>
  <c r="G25" i="3" s="1"/>
  <c r="J36" i="8"/>
  <c r="J37" i="8" s="1"/>
  <c r="G23" i="10"/>
  <c r="F11" i="1" s="1"/>
  <c r="M11" i="1" s="1"/>
  <c r="K23" i="11"/>
  <c r="G23" i="13"/>
  <c r="G24" i="13" s="1"/>
  <c r="I36" i="8"/>
  <c r="I37" i="8" s="1"/>
  <c r="K24" i="3"/>
  <c r="J4" i="1" s="1"/>
  <c r="G23" i="7"/>
  <c r="G24" i="7" s="1"/>
  <c r="H23" i="10"/>
  <c r="H24" i="10" s="1"/>
  <c r="K19" i="6"/>
  <c r="K20" i="6" s="1"/>
  <c r="J23" i="7"/>
  <c r="J24" i="7" s="1"/>
  <c r="H18" i="5"/>
  <c r="G6" i="1" s="1"/>
  <c r="J18" i="5"/>
  <c r="I6" i="1" s="1"/>
  <c r="H22" i="2"/>
  <c r="H23" i="2" s="1"/>
  <c r="J23" i="10"/>
  <c r="I11" i="1" s="1"/>
  <c r="I22" i="2"/>
  <c r="I23" i="2" s="1"/>
  <c r="G19" i="9"/>
  <c r="G20" i="9" s="1"/>
  <c r="K23" i="10"/>
  <c r="K24" i="10" s="1"/>
  <c r="J24" i="3"/>
  <c r="I4" i="1" s="1"/>
  <c r="H23" i="11"/>
  <c r="H23" i="13"/>
  <c r="H24" i="13" s="1"/>
  <c r="I24" i="3"/>
  <c r="H4" i="1" s="1"/>
  <c r="O4" i="1" s="1"/>
  <c r="J22" i="2"/>
  <c r="I3" i="1" s="1"/>
  <c r="K18" i="5"/>
  <c r="K19" i="5" s="1"/>
  <c r="H23" i="7"/>
  <c r="G8" i="1" s="1"/>
  <c r="I23" i="7"/>
  <c r="H8" i="1" s="1"/>
  <c r="O8" i="1" s="1"/>
  <c r="I23" i="13"/>
  <c r="H14" i="1" s="1"/>
  <c r="O14" i="1" s="1"/>
  <c r="G18" i="5"/>
  <c r="K22" i="2"/>
  <c r="J3" i="1" s="1"/>
  <c r="H25" i="4"/>
  <c r="H26" i="4" s="1"/>
  <c r="I25" i="4"/>
  <c r="H5" i="1" s="1"/>
  <c r="O5" i="1" s="1"/>
  <c r="G19" i="6"/>
  <c r="I23" i="10"/>
  <c r="H11" i="1" s="1"/>
  <c r="J23" i="13"/>
  <c r="J24" i="13" s="1"/>
  <c r="I18" i="5"/>
  <c r="H6" i="1" s="1"/>
  <c r="O6" i="1" s="1"/>
  <c r="K23" i="13"/>
  <c r="J14" i="1" s="1"/>
  <c r="J25" i="4"/>
  <c r="I5" i="1" s="1"/>
  <c r="H19" i="6"/>
  <c r="H24" i="3"/>
  <c r="H25" i="3" s="1"/>
  <c r="K25" i="4"/>
  <c r="J5" i="1" s="1"/>
  <c r="I19" i="6"/>
  <c r="H7" i="1" s="1"/>
  <c r="O7" i="1" s="1"/>
  <c r="J19" i="9"/>
  <c r="T13" i="1"/>
  <c r="U13" i="1"/>
  <c r="V10" i="1"/>
  <c r="G25" i="4"/>
  <c r="D3" i="1"/>
  <c r="H25" i="2"/>
  <c r="G25" i="2"/>
  <c r="B15" i="1"/>
  <c r="V6" i="1"/>
  <c r="T6" i="1"/>
  <c r="U6" i="1"/>
  <c r="T9" i="1"/>
  <c r="U9" i="1"/>
  <c r="T8" i="1"/>
  <c r="U8" i="1"/>
  <c r="E15" i="1"/>
  <c r="G22" i="2"/>
  <c r="G28" i="4"/>
  <c r="K15" i="1"/>
  <c r="V7" i="1"/>
  <c r="H27" i="3"/>
  <c r="T7" i="1"/>
  <c r="U7" i="1"/>
  <c r="H21" i="5"/>
  <c r="H22" i="6"/>
  <c r="G26" i="7"/>
  <c r="H22" i="9"/>
  <c r="G26" i="10"/>
  <c r="G26" i="12"/>
  <c r="G27" i="3"/>
  <c r="H26" i="12"/>
  <c r="G26" i="13"/>
  <c r="D4" i="1"/>
  <c r="D5" i="1"/>
  <c r="D14" i="1"/>
  <c r="I20" i="9" l="1"/>
  <c r="V15" i="1"/>
  <c r="H25" i="11"/>
  <c r="I25" i="11"/>
  <c r="I24" i="12"/>
  <c r="J24" i="12"/>
  <c r="G13" i="1"/>
  <c r="N13" i="1" s="1"/>
  <c r="K24" i="12"/>
  <c r="I12" i="1"/>
  <c r="J25" i="11"/>
  <c r="K25" i="11"/>
  <c r="H3" i="1"/>
  <c r="K37" i="8"/>
  <c r="J8" i="1"/>
  <c r="G10" i="1"/>
  <c r="N10" i="1" s="1"/>
  <c r="F12" i="1"/>
  <c r="M12" i="1" s="1"/>
  <c r="I21" i="9"/>
  <c r="F8" i="1"/>
  <c r="M8" i="1" s="1"/>
  <c r="I38" i="8"/>
  <c r="I8" i="1"/>
  <c r="K26" i="3"/>
  <c r="K25" i="12"/>
  <c r="H37" i="8"/>
  <c r="H38" i="8"/>
  <c r="F9" i="1"/>
  <c r="M9" i="1" s="1"/>
  <c r="F13" i="1"/>
  <c r="Q13" i="1" s="1"/>
  <c r="J38" i="8"/>
  <c r="J25" i="7"/>
  <c r="G24" i="12"/>
  <c r="J7" i="1"/>
  <c r="J10" i="1"/>
  <c r="J25" i="12"/>
  <c r="H24" i="11"/>
  <c r="J6" i="1"/>
  <c r="K21" i="9"/>
  <c r="K25" i="3"/>
  <c r="J25" i="13"/>
  <c r="I14" i="1"/>
  <c r="K23" i="2"/>
  <c r="G11" i="1"/>
  <c r="N11" i="1" s="1"/>
  <c r="I24" i="11"/>
  <c r="K25" i="7"/>
  <c r="K24" i="11"/>
  <c r="K38" i="8"/>
  <c r="I25" i="12"/>
  <c r="J20" i="6"/>
  <c r="J21" i="6"/>
  <c r="J25" i="10"/>
  <c r="J19" i="5"/>
  <c r="I24" i="2"/>
  <c r="K25" i="10"/>
  <c r="G12" i="1"/>
  <c r="R11" i="1"/>
  <c r="G24" i="10"/>
  <c r="H25" i="10"/>
  <c r="J11" i="1"/>
  <c r="S11" i="1" s="1"/>
  <c r="I20" i="5"/>
  <c r="H25" i="13"/>
  <c r="I9" i="1"/>
  <c r="H19" i="5"/>
  <c r="G14" i="1"/>
  <c r="N14" i="1" s="1"/>
  <c r="J26" i="4"/>
  <c r="F4" i="1"/>
  <c r="M4" i="1" s="1"/>
  <c r="J12" i="1"/>
  <c r="J24" i="10"/>
  <c r="O12" i="1"/>
  <c r="K25" i="13"/>
  <c r="K26" i="4"/>
  <c r="J21" i="9"/>
  <c r="I21" i="6"/>
  <c r="K24" i="13"/>
  <c r="H21" i="6"/>
  <c r="I25" i="3"/>
  <c r="G3" i="1"/>
  <c r="N3" i="1" s="1"/>
  <c r="J26" i="3"/>
  <c r="H25" i="7"/>
  <c r="H9" i="1"/>
  <c r="O9" i="1" s="1"/>
  <c r="I27" i="4"/>
  <c r="H25" i="12"/>
  <c r="H21" i="9"/>
  <c r="G7" i="1"/>
  <c r="N7" i="1" s="1"/>
  <c r="G5" i="1"/>
  <c r="N5" i="1" s="1"/>
  <c r="I25" i="7"/>
  <c r="I26" i="4"/>
  <c r="Q11" i="1"/>
  <c r="H20" i="6"/>
  <c r="F10" i="1"/>
  <c r="M10" i="1" s="1"/>
  <c r="F14" i="1"/>
  <c r="M14" i="1" s="1"/>
  <c r="G4" i="1"/>
  <c r="N4" i="1" s="1"/>
  <c r="I24" i="13"/>
  <c r="I20" i="6"/>
  <c r="H26" i="3"/>
  <c r="I25" i="13"/>
  <c r="I19" i="5"/>
  <c r="J25" i="3"/>
  <c r="K20" i="5"/>
  <c r="J20" i="9"/>
  <c r="O11" i="1"/>
  <c r="G19" i="5"/>
  <c r="F6" i="1"/>
  <c r="P6" i="1" s="1"/>
  <c r="I10" i="1"/>
  <c r="H20" i="5"/>
  <c r="I24" i="10"/>
  <c r="I24" i="7"/>
  <c r="G20" i="6"/>
  <c r="F7" i="1"/>
  <c r="M7" i="1" s="1"/>
  <c r="I25" i="10"/>
  <c r="K21" i="6"/>
  <c r="I26" i="3"/>
  <c r="H27" i="4"/>
  <c r="J23" i="2"/>
  <c r="H24" i="7"/>
  <c r="J20" i="5"/>
  <c r="O3" i="1"/>
  <c r="K27" i="4"/>
  <c r="J27" i="4"/>
  <c r="G23" i="2"/>
  <c r="F3" i="1"/>
  <c r="D15" i="1"/>
  <c r="U3" i="1"/>
  <c r="T3" i="1"/>
  <c r="U14" i="1"/>
  <c r="T14" i="1"/>
  <c r="K24" i="2"/>
  <c r="J24" i="2"/>
  <c r="H24" i="2"/>
  <c r="G26" i="4"/>
  <c r="F5" i="1"/>
  <c r="U5" i="1"/>
  <c r="T5" i="1"/>
  <c r="U4" i="1"/>
  <c r="T4" i="1"/>
  <c r="N6" i="1"/>
  <c r="N8" i="1"/>
  <c r="N9" i="1"/>
  <c r="P9" i="1" l="1"/>
  <c r="Q12" i="1"/>
  <c r="Q8" i="1"/>
  <c r="P13" i="1"/>
  <c r="S13" i="1"/>
  <c r="P12" i="1"/>
  <c r="M13" i="1"/>
  <c r="R12" i="1"/>
  <c r="S12" i="1"/>
  <c r="S8" i="1"/>
  <c r="P8" i="1"/>
  <c r="R8" i="1"/>
  <c r="R13" i="1"/>
  <c r="R9" i="1"/>
  <c r="S9" i="1"/>
  <c r="P11" i="1"/>
  <c r="N12" i="1"/>
  <c r="H15" i="1"/>
  <c r="O15" i="1" s="1"/>
  <c r="J15" i="1"/>
  <c r="R4" i="1"/>
  <c r="Q4" i="1"/>
  <c r="S4" i="1"/>
  <c r="P10" i="1"/>
  <c r="R10" i="1"/>
  <c r="G15" i="1"/>
  <c r="N15" i="1" s="1"/>
  <c r="P14" i="1"/>
  <c r="P3" i="1"/>
  <c r="P4" i="1"/>
  <c r="Q9" i="1"/>
  <c r="S10" i="1"/>
  <c r="I15" i="1"/>
  <c r="R7" i="1"/>
  <c r="R14" i="1"/>
  <c r="Q14" i="1"/>
  <c r="R6" i="1"/>
  <c r="S14" i="1"/>
  <c r="Q10" i="1"/>
  <c r="Q7" i="1"/>
  <c r="M6" i="1"/>
  <c r="Q6" i="1"/>
  <c r="S7" i="1"/>
  <c r="S3" i="1"/>
  <c r="Q3" i="1"/>
  <c r="P7" i="1"/>
  <c r="S6" i="1"/>
  <c r="M5" i="1"/>
  <c r="R5" i="1"/>
  <c r="Q5" i="1"/>
  <c r="P5" i="1"/>
  <c r="T15" i="1"/>
  <c r="U15" i="1"/>
  <c r="M3" i="1"/>
  <c r="F15" i="1"/>
  <c r="M15" i="1" s="1"/>
  <c r="R3" i="1"/>
  <c r="S5" i="1"/>
  <c r="S15" i="1" l="1"/>
  <c r="P15" i="1"/>
  <c r="R15" i="1"/>
  <c r="Q15" i="1"/>
</calcChain>
</file>

<file path=xl/sharedStrings.xml><?xml version="1.0" encoding="utf-8"?>
<sst xmlns="http://schemas.openxmlformats.org/spreadsheetml/2006/main" count="473" uniqueCount="288">
  <si>
    <t>Year: 2017</t>
  </si>
  <si>
    <t>Figures</t>
  </si>
  <si>
    <t>Papers</t>
  </si>
  <si>
    <t>% of all papers</t>
  </si>
  <si>
    <t>% of SBOL possible papers</t>
  </si>
  <si>
    <t>Year</t>
  </si>
  <si>
    <t>Total</t>
  </si>
  <si>
    <t>SBOL possible</t>
  </si>
  <si>
    <t>SBOL compliant</t>
  </si>
  <si>
    <t>Best Practices</t>
  </si>
  <si>
    <t>Partial Compliant</t>
  </si>
  <si>
    <t>Fully Compliant</t>
  </si>
  <si>
    <t>Partial Best</t>
  </si>
  <si>
    <t>Fully Best</t>
  </si>
  <si>
    <t>Part Best</t>
  </si>
  <si>
    <t>Full Best</t>
  </si>
  <si>
    <t>% of Figures</t>
  </si>
  <si>
    <t>% Possible Figures</t>
  </si>
  <si>
    <t>% Best Practices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</si>
  <si>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</si>
  <si>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</si>
  <si>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</si>
  <si>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</si>
  <si>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</si>
  <si>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</si>
  <si>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</si>
  <si>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</si>
  <si>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</si>
  <si>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</si>
  <si>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</si>
  <si>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</si>
  <si>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Analyzed</t>
  </si>
  <si>
    <t xml:space="preserve">Compliance rubric: </t>
  </si>
  <si>
    <t>https://docs.google.com/document/d/1vK8DdeN5QbFqKy0h2uLIuuB89hU_Zlj_o41NX1BVtAY/edit?usp=sharing</t>
  </si>
  <si>
    <t>Article</t>
  </si>
  <si>
    <t># Figures</t>
  </si>
  <si>
    <t># Appropriate for SBOL Visual</t>
  </si>
  <si>
    <t># Compliant with SBOL Visual</t>
  </si>
  <si>
    <t>SBOL Possible</t>
  </si>
  <si>
    <t>SBOL Used</t>
  </si>
  <si>
    <t>SBOL Uniformly Used</t>
  </si>
  <si>
    <t>Best Practices Used</t>
  </si>
  <si>
    <t>Best Practices Uniformly Used</t>
  </si>
  <si>
    <t>Fourteen Ways to Reroute Cooperative Communication in the Lactose Repressor: Engineering Regulatory Proteins with Alternate Repressive Functions</t>
  </si>
  <si>
    <t>Virus-Enabled Optimization and Delivery of the Genetic Machinery for Efficient Unnatural Amino Acid Mutagenesis in Mammalian Cells and Tissues</t>
  </si>
  <si>
    <t>Affibody Scaffolds Improve Sesquiterpene Production in Saccharomyces cerevisiae</t>
  </si>
  <si>
    <t>Innovating a Nonconventional Yeast Platform for Producing Shikimate as the Building Block of High-Value Aromatics</t>
  </si>
  <si>
    <t>In Vitro Reconstruction of Nonribosomal Peptide Biosynthesis Directly from DNA Using Cell-Free Protein Synthesis</t>
  </si>
  <si>
    <t>Rapid and Inexpensive Evaluation of Nonstandard Amino Acid Incorporation in Escherichia coli</t>
  </si>
  <si>
    <t>Designing Synthetic Flexible Gene Regulation Networks Using RNA Devices in Cyanobacteria</t>
  </si>
  <si>
    <t>Functional Reconstitution of a Fungal Natural Product Gene Cluster by Advanced Genome Editing</t>
  </si>
  <si>
    <t>Engineering an Obligate Photoautotrophic Cyanobacterium to Utilize Glycerol for Growth and Chemical Production</t>
  </si>
  <si>
    <t>Chemical Reaction Networks for Computing Polynomials</t>
  </si>
  <si>
    <t>Availability: A Metric for Nucleic Acid Strand Displacement Systems</t>
  </si>
  <si>
    <t>CRISPR Perturbation of Gene Expression Alters Bacterial Fitness under Stress and Reveals Underlying Epistatic Constraints</t>
  </si>
  <si>
    <t>Evolving Orthogonal Suppressor tRNAs To Incorporate Modified Amino Acids</t>
  </si>
  <si>
    <t>Rapid Thermostabilization of Bacillus thuringiensis Serovar Konkukian 97–27 Dehydroshikimate Dehydratase through a Structure-Based Enzyme Design and Whole Cell Activity Assay</t>
  </si>
  <si>
    <t>Short Synthetic Terminators for Assembly of Transcription Units in Vitro and Stable Chromosomal Integration in Yeast S. cerevisiae</t>
  </si>
  <si>
    <t>Comprehensive in Vitro Analysis of Acyltransferase Domain Exchanges in Modular Polyketide Synthases and Its Application for Short-Chain Ketone Production</t>
  </si>
  <si>
    <t>Improving Metabolic Pathway Efficiency by Statistical Model-Based Multivariate Regulatory Metabolic Engineering</t>
  </si>
  <si>
    <t>Development of Next Generation Synthetic Biology Tools for Use in Streptomyces venezuelae</t>
  </si>
  <si>
    <t>Wet Lab Accelerator: A Web-Based Application Democratizing Laboratory Automation for Synthetic Biology</t>
  </si>
  <si>
    <t>Totals:</t>
  </si>
  <si>
    <t>% of SBOL-possible papers</t>
  </si>
  <si>
    <t>% of all / possible figures</t>
  </si>
  <si>
    <t>Controlling Citrate Synthase Expression by CRISPR/Cas9 Genome Editing for n-Butanol Production in Escherichia coli</t>
  </si>
  <si>
    <t>DNA Strand-Displacement Timer Circuits</t>
  </si>
  <si>
    <t>Expanded Genetic Alphabets: Managing Nucleotides That Lack Tautomeric, Protonated, or Deprotonated Versions Complementary to Natural Nucleotides</t>
  </si>
  <si>
    <t>Engineering of Taxadiene Synthase for Improved Selectivity and Yield of a Key Taxol Biosynthetic Intermediate</t>
  </si>
  <si>
    <t>Relief of Xylose Binding to Cellobiose Phosphorylase by a Single Distal Mutation</t>
  </si>
  <si>
    <t>Paired Design of dCas9 as a Systematic Platform for the Detection of Featured Nucleic Acid Sequences in Pathogenic Strains</t>
  </si>
  <si>
    <t>Discovery of a Phosphonoacetic Acid Derived Natural Product by Pathway Refactoring</t>
  </si>
  <si>
    <t>Direct Combinatorial Pathway Optimization</t>
  </si>
  <si>
    <t>Application of Noncanonical Amino Acids for Protein Labeling in a Genomically Recoded Escherichia coli</t>
  </si>
  <si>
    <t>Artificial Symmetry-Breaking for Morphogenetic Engineering Bacterial Colonies</t>
  </si>
  <si>
    <t>Synthetic Biogenesis of Bacterial Amyloid Nanomaterials with Tunable Inorganic–Organic Interfaces and Electrical Conductivity</t>
  </si>
  <si>
    <t>Recycling Carbon Dioxide during Xylose Fermentation by Engineered Saccharomyces cerevisiae</t>
  </si>
  <si>
    <t>Development of Escherichia coli Strains That Withstand Membrane Protein-Induced Toxicity and Achieve High-Level Recombinant Membrane Protein Production</t>
  </si>
  <si>
    <t>Maintenance and Function of a Plant Chromosome in Human Cells</t>
  </si>
  <si>
    <t>Engineering Modular Biosensors to Confer Metabolite-Responsive Regulation of Transcription</t>
  </si>
  <si>
    <t>A General Tool for Engineering the NAD/NADP Cofactor Preference of Oxidoreductases</t>
  </si>
  <si>
    <t>Resource Sharing Controls Gene Expression Bursting</t>
  </si>
  <si>
    <t>Characterization of Endogenous and Reduced Promoters for Oxygen-Limited Processes Using Escherichia coli</t>
  </si>
  <si>
    <t>Engineered Photoactivatable Genetic Switches Based on the Bacterium Phage T7 RNA Polymerase</t>
  </si>
  <si>
    <t>Cyanobacterial Surface Display System Mediates Engineered Interspecies and Abiotic Binding</t>
  </si>
  <si>
    <t>Reproducibility of High-Throughput Plate-Reader Experiments in Synthetic Biology</t>
  </si>
  <si>
    <t>A Single Deoxynucleoside Kinase Variant from Drosophila melanogaster Synthesizes Monophosphates of Nucleosides That Are Components of an Expanded Genetic System</t>
  </si>
  <si>
    <t>Nonhierarchical Flux Regulation Exposes the Fitness Burden Associated with Lactate Production in Synechocystis sp. PCC6803</t>
  </si>
  <si>
    <t>Standardized Markerless Gene Integration for Pathway Engineering in Yarrowia lipolytica</t>
  </si>
  <si>
    <t>A Novel Synthetic Pathway Enables Microbial Production of Polyphenols Independent from the Endogenous Aromatic Amino Acid Metabolism</t>
  </si>
  <si>
    <t>A Simple Combinatorial Codon Mutagenesis Method for Targeted Protein Engineering</t>
  </si>
  <si>
    <t>Polyketide Bioderivatization Using the Promiscuous Acyltransferase KirCII</t>
  </si>
  <si>
    <t>The Impact of Chromatin Dynamics on Cas9-Mediated Genome Editing in Human Cells</t>
  </si>
  <si>
    <t>Development of a Transcription Factor-Based Lactam Biosensor</t>
  </si>
  <si>
    <t>Introduction of Premature Stop Codons as an Evolutionary Strategy To Rescue Signaling Network Function</t>
  </si>
  <si>
    <t>Entrainment of a Bacterial Synthetic Gene Oscillator through Proteolytic Queueing</t>
  </si>
  <si>
    <t>Autoinduced AND Gate Controls Metabolic Pathway Dynamically in Response to Microbial Communities and Cell Physiological State</t>
  </si>
  <si>
    <t>Synthetic Core Promoters as Universal Parts for Fine-Tuning Expression in Different Yeast Species</t>
  </si>
  <si>
    <t>Streamlining the Design-to-Build Transition with Build-Optimization Software Tools</t>
  </si>
  <si>
    <t>New Orthogonal Transcriptional Switches Derived from Tet Repressor Homologues for Saccharomyces cerevisiae Regulated by 2,4-Diacetylphloroglucinol and Other Ligands</t>
  </si>
  <si>
    <t>In-Silico Analysis and Implementation of a Multicellular Feedback Control Strategy in a Synthetic Bacterial Consortium</t>
  </si>
  <si>
    <t>Reprogramming the Transcriptional Response to Hypoxia with a Chromosomally Encoded Cyclic Peptide HIF-1 Inhibitor</t>
  </si>
  <si>
    <t>Selective Inactivation of Functional RNAs by Ribozyme-Catalyzed Covalent Modification</t>
  </si>
  <si>
    <t>Combining Sense and Nonsense Codon Reassignment for Site-Selective Protein Modification with Unnatural Amino Acids</t>
  </si>
  <si>
    <t>Robust Synthetic Circuits for Two-Dimensional Control of Gene Expression in Yeast</t>
  </si>
  <si>
    <t>A Novel Approach for Gene Expression Optimization through Native Promoter and 5′ UTR Combinations Based on RNA-seq, Ribo-seq, and TSS-seq of Streptomyces coelicolor</t>
  </si>
  <si>
    <t>Quantitative Trait Loci (QTL)-Guided Metabolic Engineering of a Complex Trait</t>
  </si>
  <si>
    <t>Engineering Synthetic Proteins to Generate Ca2+ Signals in Mammalian Cells</t>
  </si>
  <si>
    <t>A New Era of Genome Integration—Simply Cut and Paste!</t>
  </si>
  <si>
    <t>Engineering a Thermostable Keto Acid Decarboxylase Using Directed Evolution and Computationally Directed Protein Design</t>
  </si>
  <si>
    <t>Quantitative Tracking of Combinatorially Engineered Populations with Multiplexed Binary Assemblies</t>
  </si>
  <si>
    <t>Design and Experimental Validation of Small Activating RNAs Targeting an Exogenous Promoter in Human Cells</t>
  </si>
  <si>
    <t>Cell-Free Translation Is More Variable than Transcription</t>
  </si>
  <si>
    <t>Retargeting a Dual-Acting sRNA for Multiple mRNA Transcript Regulation</t>
  </si>
  <si>
    <t>Global Metabolic Engineering of Glycolytic Pathway via Multicopy Integration in Saccharomyces cerevisiae</t>
  </si>
  <si>
    <t>Genetically Encodable Bacterial Flavin Transferase for Fluorogenic Protein Modification in Mammalian Cells</t>
  </si>
  <si>
    <t>Fully Automated One-Step Synthesis of Single-Transcript TALEN Pairs Using a Biological Foundry</t>
  </si>
  <si>
    <t>Orthogonal Genetic Regulation in Human Cells Using Chemically Induced CRISPR/Cas9 Activators</t>
  </si>
  <si>
    <t>A Non-natural Protein Rescues Cells Deleted for a Key Enzyme in Central Metabolism</t>
  </si>
  <si>
    <t>In Vitro Reconstitution and Optimization of the Entire Pathway to Convert Glucose into Fatty Acid</t>
  </si>
  <si>
    <t>Effect of Genomic Integration Location on Heterologous Protein Expression and Metabolic Engineering in E. coli</t>
  </si>
  <si>
    <t>Controlling Multicycle Replication of Live-Attenuated HIV-1 Using an Unnatural Genetic Switch</t>
  </si>
  <si>
    <t>SBOLme: a Repository of SBOL Parts for Metabolic Engineering</t>
  </si>
  <si>
    <t>Programmable DNA-Guided Artificial Restriction Enzymes</t>
  </si>
  <si>
    <t>A DNA Bubble-Mediated Gene Regulation System Based on Thrombin-Bound DNA Aptamers</t>
  </si>
  <si>
    <t>Riboswitch-Based Reversible Dual Color Sensor</t>
  </si>
  <si>
    <t>Biophysics of Artificially Expanded Genetic Information Systems. Thermodynamics of DNA Duplexes Containing Matches and Mismatches Involving 2-Amino-3-nitropyridin-6-one (Z) and Imidazo[1,2-a]-1,3,5-triazin-4(8H)one (P)</t>
  </si>
  <si>
    <t>Refactoring the Embden–Meyerhof–Parnas Pathway as a Whole of Portable GlucoBricks for Implantation of Glycolytic Modules in Gram-Negative Bacteria</t>
  </si>
  <si>
    <t>Endoribonuclease-Based Two-Component Repressor Systems for Tight Gene Expression Control in Plants</t>
  </si>
  <si>
    <t>AGOS: A Plug-and-Play Method for the Assembly of Artificial Gene Operons into Functional Biosynthetic Gene Clusters</t>
  </si>
  <si>
    <t>CipA and CipB as Scaffolds To Organize Proteins into Crystalline Inclusions</t>
  </si>
  <si>
    <t>Biosensor-Based Evolution and Elucidation of a Biosynthetic Pathway in Escherichia coli</t>
  </si>
  <si>
    <t>Efficient Genome Editing of a Facultative Thermophile Using Mesophilic spCas9</t>
  </si>
  <si>
    <t>Mechanistic Modeling of Genetic Circuits for ArsR Arsenic Regulation</t>
  </si>
  <si>
    <t>An Engineered Survival-Selection Assay for Extracellular Protein Expression Uncovers Hypersecretory Phenotypes in Escherichia coli</t>
  </si>
  <si>
    <t>Application of an Acyl-CoA Ligase from Streptomyces aizunensis for Lactam Biosynthesis</t>
  </si>
  <si>
    <t>Cloning, Stability, and Modification of Mycoplasma hominis Genome in Yeast</t>
  </si>
  <si>
    <t>sgRNA Scorer 2.0: A Species-Independent Model To Predict CRISPR/Cas9 Activity</t>
  </si>
  <si>
    <t>Increasing Malonyl-CoA Derived Product through Controlling the Transcription Regulators of Phospholipid Synthesis in Saccharomyces cerevisiae</t>
  </si>
  <si>
    <t>Engineering Iron Responses in Mammalian Cells by Signal-Induced Protein Proximity</t>
  </si>
  <si>
    <t>Positive Feedback Genetic Circuit Incorporating a Constitutively Active Mutant Gal3 into Yeast GAL Induction System</t>
  </si>
  <si>
    <t>Quantitative Analysis of Synthetic Cell Lineage Tracing Using Nuclease Barcoding</t>
  </si>
  <si>
    <t>Recursive DNA Assembly Using Protected Oligonucleotide Duplex Assisted Cloning (PODAC)</t>
  </si>
  <si>
    <t>Inducible Control of mRNA Transport Using Reprogrammable RNA-Binding Proteins</t>
  </si>
  <si>
    <t>Extracellular Self-Assembly of Functional and Tunable Protein Conjugates from Bacillus subtilis</t>
  </si>
  <si>
    <t>A Family of Single Copy repABC-Type Shuttle Vectors Stably Maintained in the Alpha-Proteobacterium Sinorhizobium meliloti</t>
  </si>
  <si>
    <t>Tailoring Escherichia coli for the l-Rhamnose PBAD Promoter-Based Production of Membrane and Secretory Proteins</t>
  </si>
  <si>
    <t>Heterologous Biosynthesis of Spinosad: An Omics-Guided Large Polyketide Synthase Gene Cluster Reconstitution in Streptomyces</t>
  </si>
  <si>
    <t>A Secretion-Amplification Role for Salmonella enterica Translocon Protein SipD</t>
  </si>
  <si>
    <t>A Modular Toolkit for Generating Pichia pastoris Secretion Libraries</t>
  </si>
  <si>
    <t>Development of a Biosensor Concept to Detect the Production of Cluster-Specific Secondary Metabolites</t>
  </si>
  <si>
    <t>A Scalable Epitope Tagging Approach for High Throughput ChIP-Seq Analysis</t>
  </si>
  <si>
    <t>Formation of Nitrogenase NifDK Tetramers in the Mitochondria of Saccharomyces cerevisiae</t>
  </si>
  <si>
    <t>Manipulation of the Precursor Supply in Yeast Significantly Enhances the Accumulation of Prenylated β-Carbolines</t>
  </si>
  <si>
    <t>Obtaining a Panel of Cascade Promoter-5′-UTR Complexes in Escherichia coli</t>
  </si>
  <si>
    <t>Tuning of Recombinant Protein Expression in Escherichia coli by Manipulating Transcription, Translation Initiation Rates, and Incorporation of Noncanonical Amino Acids</t>
  </si>
  <si>
    <t>Assembly Domain-Based Optogenetic System for the Efficient Control of Cellular Signaling</t>
  </si>
  <si>
    <t>Construction of a Chassis for a Tripartite Protein-Based Molecular Motor</t>
  </si>
  <si>
    <t>The Impact of DNA Topology and Guide Length on Target Selection by a Cytosine-Specific Cas9</t>
  </si>
  <si>
    <t>DNAplotlib: Programmable Visualization of Genetic Designs and Associated Data</t>
  </si>
  <si>
    <t>A Visual Language for Protein Design</t>
  </si>
  <si>
    <t>A Straightforward Approach for 3D Bacterial Printing</t>
  </si>
  <si>
    <t>Predicting the Dynamics and Heterogeneity of Genomic DNA Content within Bacterial Populations across Variable Growth Regimes</t>
  </si>
  <si>
    <t>Designing Uniquely Addressable Bio-orthogonal Synthetic Scaffolds for DNA and RNA Origami</t>
  </si>
  <si>
    <t>SBOLDesigner 2: An Intuitive Tool for Structural Genetic Design</t>
  </si>
  <si>
    <t>A Validator and Converter for the Synthetic Biology Open Language</t>
  </si>
  <si>
    <t>Simulation Approach for Timing Analysis of Genetic Logic Circuits</t>
  </si>
  <si>
    <t>Automated Design Framework for Synthetic Biology Exploiting Pareto Optimality</t>
  </si>
  <si>
    <t>Simbiotics: A Multiscale Integrative Platform for 3D Modeling of Bacterial Populations</t>
  </si>
  <si>
    <t>ROC’n’Ribo: Characterizing a Riboswitching Expression System by Modeling Single-Cell Data</t>
  </si>
  <si>
    <t>sbml-diff: A Tool for Visually Comparing SBML Models in Synthetic Biology</t>
  </si>
  <si>
    <t>BioBlocks: Programming Protocols in Biology Made Easier</t>
  </si>
  <si>
    <t>A Phytochrome-Derived Photoswitch for Intracellular Transport</t>
  </si>
  <si>
    <t>Engineering Pak1 Allosteric Switches</t>
  </si>
  <si>
    <t>Resource Competition Shapes the Response of Genetic Circuits</t>
  </si>
  <si>
    <t>Efficient Transcriptional Gene Repression by Type V-A CRISPR-Cpf1 from Eubacterium eligens</t>
  </si>
  <si>
    <t>Deep Sequencing Analysis of Aptazyme Variants Based on a Pistol Ribozyme</t>
  </si>
  <si>
    <t>Improvement of Squalene Production from CO2 in Synechococcus elongatus PCC 7942 by Metabolic Engineering and Scalable Production in a Photobioreactor</t>
  </si>
  <si>
    <t>A Glucose-Sensing Toggle Switch for Autonomous, High Productivity Genetic Control</t>
  </si>
  <si>
    <t>Measurement of In Vivo Protein Binding Affinities in a Signaling Network with Mass Spectrometry</t>
  </si>
  <si>
    <t>A Modular High-Throughput In Vivo Screening Platform Based on Chimeric Bacterial Receptors</t>
  </si>
  <si>
    <t>Cogenerating Synthetic Parts toward a Self-Replicating System</t>
  </si>
  <si>
    <t>Ultrasensitive Scaffold-Dependent Protease Sensors with Large Dynamic Range</t>
  </si>
  <si>
    <t>Expression of Heterologous Sigma Factor Expands the Searchable Space for Biofuel Tolerance Mechanisms</t>
  </si>
  <si>
    <t>Genome Engineering of Virulent Lactococcal Phages Using CRISPR-Cas9</t>
  </si>
  <si>
    <t>Deconvolution of Gene Expression Noise into Spatial Dynamics of Transcription Factor–Promoter Interplay</t>
  </si>
  <si>
    <t>Development of a CHO-Based Cell-Free Platform for Synthesis of Active Monoclonal Antibodies</t>
  </si>
  <si>
    <t>EMMA: An Extensible Mammalian Modular Assembly Toolkit for the Rapid Design and Production of Diverse Expression Vectors</t>
  </si>
  <si>
    <t>Construction and Rescue of a Functional Synthetic Baculovirus</t>
  </si>
  <si>
    <t>Repurposing a Two-Component System-Based Biosensor for the Killing of Vibrio cholerae</t>
  </si>
  <si>
    <t>Designing a New Entry Point into Isoprenoid Metabolism by Exploiting Fructose-6-Phosphate Aldolase Side Reactivity of Escherichia coli</t>
  </si>
  <si>
    <t>Nanopore Logic Operation with DNA to RNA Transcription in a Droplet System</t>
  </si>
  <si>
    <t>Amplifying Riboswitch Signal Output Using Cellular Wiring</t>
  </si>
  <si>
    <t>Rational Design of an Ultrasensitive Quorum-Sensing Switch</t>
  </si>
  <si>
    <t>Control of the Yeast Mating Pathway by Reconstitution of Functional α-Factor Using Split Intein-Catalyzed Reactions</t>
  </si>
  <si>
    <t>Design of a Toolbox of RNA Thermometers</t>
  </si>
  <si>
    <t>Genome-Wide Abolishment of Mobile Genetic Elements Using Genome Shuffling and CRISPR/Cas-Assisted MAGE Allows the Efficient Stabilization of a Bacterial Chassis</t>
  </si>
  <si>
    <t>Modularly Constructed Synthetic Granzyme B Molecule Enables Interrogation of Intracellular Proteases for Targeted Cytotoxicity</t>
  </si>
  <si>
    <t>A New Improved and Extended Version of the Multicell Bacterial Simulator gro</t>
  </si>
  <si>
    <t>Enhancing Protein Production Yield from Chinese Hamster Ovary Cells by CRISPR Interference</t>
  </si>
  <si>
    <t>A Synthetic Alternative to Canonical One-Carbon Metabolism</t>
  </si>
  <si>
    <t>Synthetic Protein Scaffolds for Biosynthetic Pathway Colocalization on Lipid Droplet Membranes</t>
  </si>
  <si>
    <t>Centromeric DNA Facilitates Nonconventional Yeast Genetic Engineering</t>
  </si>
  <si>
    <t>Positive Detection of GPCR Antagonists Using a System for Inverted Expression of a Fluorescent Reporter Gene</t>
  </si>
  <si>
    <t>Autonomous Cell Migration to CSF1 Sources via a Synthetic Protein-Based System</t>
  </si>
  <si>
    <t>Programming Post-Translational Control over the Metabolic Labeling of Cellular Proteins with a Noncanonical Amino Acid</t>
  </si>
  <si>
    <t>Sort-Seq Approach to Engineering a Formaldehyde-Inducible Promoter for Dynamically Regulated Escherichia coli Growth on Methanol</t>
  </si>
  <si>
    <t>Decoupling Resource-Coupled Gene Expression in Living Cells</t>
  </si>
  <si>
    <t>Engineered CRISPR Systems for Next Generation Gene Therapies</t>
  </si>
  <si>
    <t>Engineering a Native Inducible Expression System in Shewanella oneidensis to Control Extracellular Electron Transfer</t>
  </si>
  <si>
    <t>Screening of Pro–Asp Sequences Exposed on Bacteriophage M13 as an Ideal Anchor for Gold Nanocubes</t>
  </si>
  <si>
    <t>Switching Protein Localization by Site-Directed RNA Editing under Control of Light</t>
  </si>
  <si>
    <t>Multiplex Genome Editing by Natural Transformation (MuGENT) for Synthetic Biology in Vibrio natriegens</t>
  </si>
  <si>
    <t>Artificial OFF-Riboswitches That Downregulate Internal Ribosome Entry without Hybridization Switches in a Eukaryotic Cell-Free Translation System</t>
  </si>
  <si>
    <t>A Synthetic Recombinase-Based Feedback Loop Results in Robust Expression</t>
  </si>
  <si>
    <t>Rapid Generation of Universal Synthetic Promoters for Controlled Gene Expression in Both Gas-Fermenting and Saccharolytic Clostridium Species</t>
  </si>
  <si>
    <t>CRISPRi–sRNA: Transcriptional–Translational Regulation of Extracellular Electron Transfer in Shewanella oneidensis</t>
  </si>
  <si>
    <t>In Vitro Metabolic Engineering of Amorpha-4,11-diene Biosynthesis at Enhanced Rate and Specific Yield of Production</t>
  </si>
  <si>
    <t>Scalable Device for Automated Microbial Electroporation in a Digital Microfluidic Platform</t>
  </si>
  <si>
    <t>A Fluorescent Split Aptamer for Visualizing RNA–RNA Assembly In Vivo</t>
  </si>
  <si>
    <t>Engineered Assimilation of Exogenous and Endogenous Formate in Escherichia coli</t>
  </si>
  <si>
    <t>Catch and Release: Engineered Allosterically Regulated β-Roll Peptides Enable On/Off Biomolecular Recognition</t>
  </si>
  <si>
    <t>Plant-Derived Transcription Factors for Orthologous Regulation of Gene Expression in the Yeast Saccharomyces cerevisiae</t>
  </si>
  <si>
    <t>New Prodigiosin Derivatives Obtained by Mutasynthesis in Pseudomonas putida</t>
  </si>
  <si>
    <t>Tunable Control of an Escherichia coli Expression System for the Overproduction of Membrane Proteins by Titrated Expression of a Mutant lac Repressor</t>
  </si>
  <si>
    <t>Design and Characterization of DNA Strand-Displacement Circuits in Serum-Supplemented Cell Medium</t>
  </si>
  <si>
    <t>Establishing an Artificial Pathway for De Novo Biosynthesis of Vanillyl Alcohol in Escherichia coli</t>
  </si>
  <si>
    <t>Mini Photobioreactors for in Vivo Real-Time Characterization and Evolutionary Tuning of Bacterial Optogenetic Circuit</t>
  </si>
  <si>
    <t>CAGE: Chromatin Analogous Gene Expression</t>
  </si>
  <si>
    <t>Developing a Genetically Encoded, Cross-Species Biosensor for Detecting Ammonium and Regulating Biosynthesis of Cyanophycin</t>
  </si>
  <si>
    <t>An Orthogonal Multi-input Integration System to Control Gene Expression in Escherichia coli</t>
  </si>
  <si>
    <t>Rapid and Programmable Protein Mutagenesis Using Plasmid Recombineering</t>
  </si>
  <si>
    <t>Synthetic Biology Parts for the Storage of Increased Genetic Information in Cells</t>
  </si>
  <si>
    <t>A Synthetic Circuit for Mercury Bioremediation Using Self-Assembling Functional Amyloids</t>
  </si>
  <si>
    <t>Fundamental Design Principles for Transcription-Factor-Based Metabolite Biosensors</t>
  </si>
  <si>
    <t>Development of a Bacterial Biosensor for Rapid Screening of Yeast p-Coumaric Acid Production</t>
  </si>
  <si>
    <t>Production of Medium Chain Fatty Acids by Yarrowia lipolytica: Combining Molecular Design and TALEN to Engineer the Fatty Acid Synthase</t>
  </si>
  <si>
    <t>Evidence for Improved Encapsulated Pathway Behavior in a Bacterial Microcompartment through Shell Protein Engineering</t>
  </si>
  <si>
    <t>A Versatile Toolbox for the Control of Protein Levels Using Nε-Acetyl-l-lysine Dependent Amber Suppression</t>
  </si>
  <si>
    <t>Engineered Control of Genetic Variability Reveals Interplay among Quorum Sensing, Feedback Regulation, and Biochemical Noise</t>
  </si>
  <si>
    <t>Experimentally Validated Model Enables Debottlenecking of in Vitro Protein Synthesis and Identifies a Control Shift under in Vivo Conditions</t>
  </si>
  <si>
    <t>De Novo Biosynthesis of Glutarate via α-Keto Acid Carbon Chain Extension and Decarboxylation Pathway in Escherichia coli</t>
  </si>
  <si>
    <t>Enabling Graded and Large-Scale Multiplex of Desired Genes Using a Dual-Mode dCas9 Activator in Saccharomyces cerevisiae</t>
  </si>
  <si>
    <t>Unique Thermal Stability of Unnatural Hydrophobic Ds Bases in Double-Stranded DNAs</t>
  </si>
  <si>
    <t>Engineering of Bacteriophage T4 Genome Using CRISPR-Cas9</t>
  </si>
  <si>
    <t>Multiple T-DNA Delivery to Plants Using Novel Mini Binary Vectors with Compatible Replication Origins</t>
  </si>
  <si>
    <t>BSim 2.0: An Advanced Agent-Based Cell Simulator</t>
  </si>
  <si>
    <t>Development of Chemical and Metabolite Sensors for Rhodococcus opacus PD630</t>
  </si>
  <si>
    <t>A Microfluidic Biodisplay</t>
  </si>
  <si>
    <t>Bacterial Microcolonies in Gel Beads for High-Throughput Screening of Libraries in Synthetic Biology</t>
  </si>
  <si>
    <t>The Timing of Transcriptional Regulation in Synthetic Gene Circuits</t>
  </si>
  <si>
    <t>An Engineered Optogenetic Switch for Spatiotemporal Control of Gene Expression, Cell Differentiation, and Tissue Morphogenesis</t>
  </si>
  <si>
    <t>Adoption of the Q Transcriptional System for Regulating Gene Expression in Stem Cells</t>
  </si>
  <si>
    <t>Manipulating Cellular Activities Using an Ultrasound–Chemical Hybrid Tool</t>
  </si>
  <si>
    <t>Rapid Isolation of Centromeres from Scheffersomyces stipitis</t>
  </si>
  <si>
    <t>Controlling Bdellovibrio bacteriovorus Gene Expression and Predation Using Synthetic Riboswitches</t>
  </si>
  <si>
    <t>Multiplexing Engineered Receptors for Multiparametric Evaluation of Environmental Ligands</t>
  </si>
  <si>
    <t>A Tug-of-War Mechanism for Pattern Formation in a Genetic Network</t>
  </si>
  <si>
    <t>A Small-Molecule Inducible Synthetic Circuit for Control of the SOS Gene Network without DNA Damage</t>
  </si>
  <si>
    <t>Development of Artificial Riboswitches for Monitoring of Naringenin In Vivo</t>
  </si>
  <si>
    <t>Yeast Terminator Function Can Be Modulated and Designed on the Basis of Predictions of Nucleosome Occupancy</t>
  </si>
  <si>
    <t>Inefficient Ribosomal Skipping Enables Simultaneous Secretion and Display of Proteins in Saccharomyces cerevisiae</t>
  </si>
  <si>
    <t>Orthogonal Ribosome Biofirewall</t>
  </si>
  <si>
    <t>Structure and Biophysics for a Six Letter DNA Alphabet that Includes Imidazo[1,2-a]-1,3,5-triazine-2(8H)-4(3H)-dione (X) and 2,4-Diaminopyrimidine (K)</t>
  </si>
  <si>
    <t>Genetic Design via Combinatorial Constraint Specification</t>
  </si>
  <si>
    <t>Systematic Approaches to Efficiently Produce 2,3-Butanediol in a Marine Cyanobacterium</t>
  </si>
  <si>
    <t>Construction of Recombinant Pdu Metabolosome Shells for Small Molecule Production in Corynebacterium glutamicum</t>
  </si>
  <si>
    <t>Dynamic Blue Light-Inducible T7 RNA Polymerases (Opto-T7RNAPs) for Precise Spatiotemporal Gene Expression Control</t>
  </si>
  <si>
    <t>Blue Light Switchable Bacterial Adhesion as a Key Step toward the Design of Biofilms</t>
  </si>
  <si>
    <t>NOT Gate Genetic Circuits to Control Gene Expression in Cyanobacteria</t>
  </si>
  <si>
    <t>Production of Functional Anti-Ebola Antibodies in Pichia pastoris</t>
  </si>
  <si>
    <t>Control of Adipogenic Differentiation in Mesenchymal Stem Cells via Endogenous Gene Activation Using CRISPR-Cas9</t>
  </si>
  <si>
    <t>Rapid and Scalable Preparation of Bacterial Lysates for Cell-Free Gene Expression</t>
  </si>
  <si>
    <t>Managing the SOS Response for Enhanced CRISPR-Cas-Based Recombineering in E. coli through Transient Inhibition of Host RecA Activity</t>
  </si>
  <si>
    <t>Single-Cell Microfluidics to Study the Effects of Genome Deletion on Bacterial Growth Behavior</t>
  </si>
  <si>
    <t>Rational Modular RNA Engineering Based on In Vivo Profiling of Structural Accessibility</t>
  </si>
  <si>
    <t>Rational Design of an Anticalin-Type Sugar-Binding Protein Using a Genetically Encoded Boronate Side Chain</t>
  </si>
  <si>
    <t>The Experiment Data Depot: A Web-Based Software Tool for Biological Experimental Data Storage, Sharing, and Visualization</t>
  </si>
  <si>
    <t>Split2 Protein-Ligation Generates Active IL-6-Type Hyper-Cytokines from Inactive Precursors</t>
  </si>
  <si>
    <t>Leaf LIMS: A Flexible Laboratory Information Management System with a Synthetic Biology Focus</t>
  </si>
  <si>
    <t xml:space="preserve">Engineering Isoprene Synthase Expression and Activity in Cyanobacteria </t>
  </si>
  <si>
    <t>A Cell-Free Biosensor for Detecting Quorum Sensing Molecules in P. aeruginosa-Infected Respiratory Samples</t>
  </si>
  <si>
    <t>The Tolerome: A Database of Transcriptome-Level Contributions to Diverse Escherichia coli Resistance and Tolerance Phenotypes</t>
  </si>
  <si>
    <t>Strategies for Editing Virulent Staphylococcal Phages Using CRISPR-Cas10</t>
  </si>
  <si>
    <t>Maltose Utilization as a Novel Selection Strategy for Continuous Evolution of Microbes with Enhanced Metabolite Production</t>
  </si>
  <si>
    <t>Development of a Terpenoid-Production Platform in Streptomyces reveromyceticus SN-593</t>
  </si>
  <si>
    <t>Combining CRISPR and CRISPRi Systems for Metabolic Engineering of E. coli and 1,4-BDO Biosynthesis</t>
  </si>
  <si>
    <t>Genetic Constructor: An Online DNA Design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</si>
</sst>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00"/>
      <name val="Roboto"/>
    </font>
    <font>
      <sz val="10"/>
      <color rgb="FF000000"/>
      <name val="Roboto"/>
    </font>
    <font>
      <sz val="9"/>
      <color rgb="FF000000"/>
      <name val="&quot;Google Sans Mono&quot;"/>
    </font>
    <font>
      <u/>
      <sz val="10"/>
      <color rgb="FF000000"/>
      <name val="Roboto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synbio.6b00201" TargetMode="External"/><Relationship Id="rId13" Type="http://schemas.openxmlformats.org/officeDocument/2006/relationships/hyperlink" Target="https://pubs.acs.org/doi/10.1021/acssynbio.6b00050" TargetMode="External"/><Relationship Id="rId18" Type="http://schemas.openxmlformats.org/officeDocument/2006/relationships/hyperlink" Target="https://pubs.acs.org/doi/10.1021/acssynbio.6b00187" TargetMode="External"/><Relationship Id="rId3" Type="http://schemas.openxmlformats.org/officeDocument/2006/relationships/hyperlink" Target="https://pubs.acs.org/doi/10.1021/acssynbio.6b00092" TargetMode="External"/><Relationship Id="rId7" Type="http://schemas.openxmlformats.org/officeDocument/2006/relationships/hyperlink" Target="https://pubs.acs.org/doi/10.1021/acssynbio.6b00192" TargetMode="External"/><Relationship Id="rId12" Type="http://schemas.openxmlformats.org/officeDocument/2006/relationships/hyperlink" Target="https://pubs.acs.org/doi/10.1021/acssynbio.5b00231" TargetMode="External"/><Relationship Id="rId17" Type="http://schemas.openxmlformats.org/officeDocument/2006/relationships/hyperlink" Target="https://pubs.acs.org/doi/10.1021/acssynbio.6b00176" TargetMode="External"/><Relationship Id="rId2" Type="http://schemas.openxmlformats.org/officeDocument/2006/relationships/hyperlink" Target="https://pubs.acs.org/doi/10.1021/acssynbio.6b00048" TargetMode="External"/><Relationship Id="rId16" Type="http://schemas.openxmlformats.org/officeDocument/2006/relationships/hyperlink" Target="https://pubs.acs.org/doi/10.1021/acssynbio.6b00165" TargetMode="External"/><Relationship Id="rId20" Type="http://schemas.openxmlformats.org/officeDocument/2006/relationships/hyperlink" Target="https://pubs.acs.org/doi/10.1021/acssynbio.6b00108" TargetMode="External"/><Relationship Id="rId1" Type="http://schemas.openxmlformats.org/officeDocument/2006/relationships/hyperlink" Target="https://docs.google.com/document/d/1vK8DdeN5QbFqKy0h2uLIuuB89hU_Zlj_o41NX1BVtAY/edit?usp=sharing" TargetMode="External"/><Relationship Id="rId6" Type="http://schemas.openxmlformats.org/officeDocument/2006/relationships/hyperlink" Target="https://pubs.acs.org/doi/10.1021/acssynbio.6b00160" TargetMode="External"/><Relationship Id="rId11" Type="http://schemas.openxmlformats.org/officeDocument/2006/relationships/hyperlink" Target="https://pubs.acs.org/doi/10.1021/acssynbio.5b00163" TargetMode="External"/><Relationship Id="rId5" Type="http://schemas.openxmlformats.org/officeDocument/2006/relationships/hyperlink" Target="https://pubs.acs.org/doi/10.1021/acssynbio.6b00132" TargetMode="External"/><Relationship Id="rId15" Type="http://schemas.openxmlformats.org/officeDocument/2006/relationships/hyperlink" Target="https://pubs.acs.org/doi/10.1021/acssynbio.6b00159" TargetMode="External"/><Relationship Id="rId10" Type="http://schemas.openxmlformats.org/officeDocument/2006/relationships/hyperlink" Target="https://pubs.acs.org/doi/10.1021/acssynbio.6b00239" TargetMode="External"/><Relationship Id="rId19" Type="http://schemas.openxmlformats.org/officeDocument/2006/relationships/hyperlink" Target="https://pubs.acs.org/doi/10.1021/acssynbio.6b00202" TargetMode="External"/><Relationship Id="rId4" Type="http://schemas.openxmlformats.org/officeDocument/2006/relationships/hyperlink" Target="https://pubs.acs.org/doi/10.1021/acssynbio.6b00109" TargetMode="External"/><Relationship Id="rId9" Type="http://schemas.openxmlformats.org/officeDocument/2006/relationships/hyperlink" Target="https://pubs.acs.org/doi/10.1021/acssynbio.6b00203" TargetMode="External"/><Relationship Id="rId14" Type="http://schemas.openxmlformats.org/officeDocument/2006/relationships/hyperlink" Target="https://pubs.acs.org/doi/10.1021/acssynbio.6b0014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synbio.6b00299" TargetMode="External"/><Relationship Id="rId13" Type="http://schemas.openxmlformats.org/officeDocument/2006/relationships/hyperlink" Target="https://pubs.acs.org/doi/10.1021/acssynbio.6b00167" TargetMode="External"/><Relationship Id="rId18" Type="http://schemas.openxmlformats.org/officeDocument/2006/relationships/hyperlink" Target="https://pubs.acs.org/doi/10.1021/acssynbio.6b00189" TargetMode="External"/><Relationship Id="rId3" Type="http://schemas.openxmlformats.org/officeDocument/2006/relationships/hyperlink" Target="https://pubs.acs.org/doi/10.1021/acssynbio.6b00170" TargetMode="External"/><Relationship Id="rId21" Type="http://schemas.openxmlformats.org/officeDocument/2006/relationships/hyperlink" Target="https://pubs.acs.org/doi/10.1021/acssynbio.6b00254" TargetMode="External"/><Relationship Id="rId7" Type="http://schemas.openxmlformats.org/officeDocument/2006/relationships/hyperlink" Target="https://pubs.acs.org/doi/10.1021/acssynbio.6b00215" TargetMode="External"/><Relationship Id="rId12" Type="http://schemas.openxmlformats.org/officeDocument/2006/relationships/hyperlink" Target="https://pubs.acs.org/doi/10.1021/acssynbio.6b00166" TargetMode="External"/><Relationship Id="rId17" Type="http://schemas.openxmlformats.org/officeDocument/2006/relationships/hyperlink" Target="https://pubs.acs.org/doi/10.1021/acssynbio.6b00188" TargetMode="External"/><Relationship Id="rId2" Type="http://schemas.openxmlformats.org/officeDocument/2006/relationships/hyperlink" Target="https://pubs.acs.org/doi/10.1021/acssynbio.6b00134" TargetMode="External"/><Relationship Id="rId16" Type="http://schemas.openxmlformats.org/officeDocument/2006/relationships/hyperlink" Target="https://pubs.acs.org/doi/10.1021/acssynbio.6b00184" TargetMode="External"/><Relationship Id="rId20" Type="http://schemas.openxmlformats.org/officeDocument/2006/relationships/hyperlink" Target="https://pubs.acs.org/doi/10.1021/acssynbio.6b00248" TargetMode="External"/><Relationship Id="rId1" Type="http://schemas.openxmlformats.org/officeDocument/2006/relationships/hyperlink" Target="https://docs.google.com/document/d/1vK8DdeN5QbFqKy0h2uLIuuB89hU_Zlj_o41NX1BVtAY/edit?usp=sharing" TargetMode="External"/><Relationship Id="rId6" Type="http://schemas.openxmlformats.org/officeDocument/2006/relationships/hyperlink" Target="https://pubs.acs.org/doi/10.1021/acssynbio.6b00211" TargetMode="External"/><Relationship Id="rId11" Type="http://schemas.openxmlformats.org/officeDocument/2006/relationships/hyperlink" Target="https://pubs.acs.org/doi/10.1021/acssynbio.6b00149" TargetMode="External"/><Relationship Id="rId5" Type="http://schemas.openxmlformats.org/officeDocument/2006/relationships/hyperlink" Target="https://pubs.acs.org/doi/10.1021/acssynbio.6b00206" TargetMode="External"/><Relationship Id="rId15" Type="http://schemas.openxmlformats.org/officeDocument/2006/relationships/hyperlink" Target="https://pubs.acs.org/doi/10.1021/acssynbio.6b00180" TargetMode="External"/><Relationship Id="rId10" Type="http://schemas.openxmlformats.org/officeDocument/2006/relationships/hyperlink" Target="https://pubs.acs.org/doi/10.1021/acssynbio.6b00138" TargetMode="External"/><Relationship Id="rId19" Type="http://schemas.openxmlformats.org/officeDocument/2006/relationships/hyperlink" Target="https://pubs.acs.org/doi/10.1021/acssynbio.6b00233" TargetMode="External"/><Relationship Id="rId4" Type="http://schemas.openxmlformats.org/officeDocument/2006/relationships/hyperlink" Target="https://pubs.acs.org/doi/10.1021/acssynbio.6b00193" TargetMode="External"/><Relationship Id="rId9" Type="http://schemas.openxmlformats.org/officeDocument/2006/relationships/hyperlink" Target="https://pubs.acs.org/doi/10.1021/acssynbio.6b00122" TargetMode="External"/><Relationship Id="rId14" Type="http://schemas.openxmlformats.org/officeDocument/2006/relationships/hyperlink" Target="https://pubs.acs.org/doi/10.1021/acssynbio.6b00174" TargetMode="External"/><Relationship Id="rId22" Type="http://schemas.openxmlformats.org/officeDocument/2006/relationships/hyperlink" Target="https://pubs.acs.org/doi/10.1021/acssynbio.6b0019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synbio.5b00299" TargetMode="External"/><Relationship Id="rId13" Type="http://schemas.openxmlformats.org/officeDocument/2006/relationships/hyperlink" Target="https://pubs.acs.org/doi/10.1021/acssynbio.6b00178" TargetMode="External"/><Relationship Id="rId18" Type="http://schemas.openxmlformats.org/officeDocument/2006/relationships/hyperlink" Target="https://pubs.acs.org/doi/10.1021/acssynbio.6b00222" TargetMode="External"/><Relationship Id="rId3" Type="http://schemas.openxmlformats.org/officeDocument/2006/relationships/hyperlink" Target="https://pubs.acs.org/doi/10.1021/acssynbio.6b00235" TargetMode="External"/><Relationship Id="rId21" Type="http://schemas.openxmlformats.org/officeDocument/2006/relationships/hyperlink" Target="https://pubs.acs.org/doi/10.1021/acssynbio.6b00263" TargetMode="External"/><Relationship Id="rId7" Type="http://schemas.openxmlformats.org/officeDocument/2006/relationships/hyperlink" Target="https://pubs.acs.org/doi/10.1021/acssynbio.6b00341" TargetMode="External"/><Relationship Id="rId12" Type="http://schemas.openxmlformats.org/officeDocument/2006/relationships/hyperlink" Target="https://pubs.acs.org/doi/10.1021/acssynbio.6b00177" TargetMode="External"/><Relationship Id="rId17" Type="http://schemas.openxmlformats.org/officeDocument/2006/relationships/hyperlink" Target="https://pubs.acs.org/doi/10.1021/acssynbio.6b00219" TargetMode="External"/><Relationship Id="rId2" Type="http://schemas.openxmlformats.org/officeDocument/2006/relationships/hyperlink" Target="https://pubs.acs.org/doi/10.1021/acssynbio.6b00228" TargetMode="External"/><Relationship Id="rId16" Type="http://schemas.openxmlformats.org/officeDocument/2006/relationships/hyperlink" Target="https://pubs.acs.org/doi/10.1021/acssynbio.6b00220" TargetMode="External"/><Relationship Id="rId20" Type="http://schemas.openxmlformats.org/officeDocument/2006/relationships/hyperlink" Target="https://pubs.acs.org/doi/10.1021/acssynbio.6b00251" TargetMode="External"/><Relationship Id="rId1" Type="http://schemas.openxmlformats.org/officeDocument/2006/relationships/hyperlink" Target="https://docs.google.com/document/d/1vK8DdeN5QbFqKy0h2uLIuuB89hU_Zlj_o41NX1BVtAY/edit?usp=sharing" TargetMode="External"/><Relationship Id="rId6" Type="http://schemas.openxmlformats.org/officeDocument/2006/relationships/hyperlink" Target="https://pubs.acs.org/doi/10.1021/acssynbio.6b00297" TargetMode="External"/><Relationship Id="rId11" Type="http://schemas.openxmlformats.org/officeDocument/2006/relationships/hyperlink" Target="https://pubs.acs.org/doi/10.1021/acssynbio.6b00157" TargetMode="External"/><Relationship Id="rId5" Type="http://schemas.openxmlformats.org/officeDocument/2006/relationships/hyperlink" Target="https://pubs.acs.org/doi/10.1021/acssynbio.6b00291" TargetMode="External"/><Relationship Id="rId15" Type="http://schemas.openxmlformats.org/officeDocument/2006/relationships/hyperlink" Target="https://pubs.acs.org/doi/10.1021/acssynbio.6b00205" TargetMode="External"/><Relationship Id="rId23" Type="http://schemas.openxmlformats.org/officeDocument/2006/relationships/hyperlink" Target="https://pubs.acs.org/doi/10.1021/acssynbio.6b00310" TargetMode="External"/><Relationship Id="rId10" Type="http://schemas.openxmlformats.org/officeDocument/2006/relationships/hyperlink" Target="https://pubs.acs.org/doi/10.1021/acssynbio.6b00142" TargetMode="External"/><Relationship Id="rId19" Type="http://schemas.openxmlformats.org/officeDocument/2006/relationships/hyperlink" Target="https://pubs.acs.org/doi/10.1021/acssynbio.6b00245" TargetMode="External"/><Relationship Id="rId4" Type="http://schemas.openxmlformats.org/officeDocument/2006/relationships/hyperlink" Target="https://pubs.acs.org/doi/10.1021/acssynbio.6b00285" TargetMode="External"/><Relationship Id="rId9" Type="http://schemas.openxmlformats.org/officeDocument/2006/relationships/hyperlink" Target="https://pubs.acs.org/doi/10.1021/acssynbio.6b00136" TargetMode="External"/><Relationship Id="rId14" Type="http://schemas.openxmlformats.org/officeDocument/2006/relationships/hyperlink" Target="https://pubs.acs.org/doi/10.1021/acssynbio.6b00200" TargetMode="External"/><Relationship Id="rId22" Type="http://schemas.openxmlformats.org/officeDocument/2006/relationships/hyperlink" Target="https://pubs.acs.org/doi/10.1021/acssynbio.6b00264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synbio.6b00281" TargetMode="External"/><Relationship Id="rId13" Type="http://schemas.openxmlformats.org/officeDocument/2006/relationships/hyperlink" Target="https://pubs.acs.org/doi/10.1021/acssynbio.6b00348" TargetMode="External"/><Relationship Id="rId3" Type="http://schemas.openxmlformats.org/officeDocument/2006/relationships/hyperlink" Target="https://pubs.acs.org/doi/10.1021/acssynbio.6b00240" TargetMode="External"/><Relationship Id="rId7" Type="http://schemas.openxmlformats.org/officeDocument/2006/relationships/hyperlink" Target="https://pubs.acs.org/doi/10.1021/acssynbio.6b00261" TargetMode="External"/><Relationship Id="rId12" Type="http://schemas.openxmlformats.org/officeDocument/2006/relationships/hyperlink" Target="https://pubs.acs.org/doi/10.1021/acssynbio.6b00336" TargetMode="External"/><Relationship Id="rId2" Type="http://schemas.openxmlformats.org/officeDocument/2006/relationships/hyperlink" Target="https://pubs.acs.org/doi/10.1021/acssynbio.6b00331" TargetMode="External"/><Relationship Id="rId16" Type="http://schemas.openxmlformats.org/officeDocument/2006/relationships/hyperlink" Target="https://pubs.acs.org/doi/10.1021/acssynbio.6b00278" TargetMode="External"/><Relationship Id="rId1" Type="http://schemas.openxmlformats.org/officeDocument/2006/relationships/hyperlink" Target="https://docs.google.com/document/d/1vK8DdeN5QbFqKy0h2uLIuuB89hU_Zlj_o41NX1BVtAY/edit?usp=sharing" TargetMode="External"/><Relationship Id="rId6" Type="http://schemas.openxmlformats.org/officeDocument/2006/relationships/hyperlink" Target="https://pubs.acs.org/doi/10.1021/acssynbio.6b00250" TargetMode="External"/><Relationship Id="rId11" Type="http://schemas.openxmlformats.org/officeDocument/2006/relationships/hyperlink" Target="https://pubs.acs.org/doi/10.1021/acssynbio.6b00313" TargetMode="External"/><Relationship Id="rId5" Type="http://schemas.openxmlformats.org/officeDocument/2006/relationships/hyperlink" Target="https://pubs.acs.org/doi/10.1021/acssynbio.6b00125" TargetMode="External"/><Relationship Id="rId15" Type="http://schemas.openxmlformats.org/officeDocument/2006/relationships/hyperlink" Target="https://pubs.acs.org/doi/10.1021/acssynbio.6b00373" TargetMode="External"/><Relationship Id="rId10" Type="http://schemas.openxmlformats.org/officeDocument/2006/relationships/hyperlink" Target="https://pubs.acs.org/doi/10.1021/acssynbio.6b00293" TargetMode="External"/><Relationship Id="rId4" Type="http://schemas.openxmlformats.org/officeDocument/2006/relationships/hyperlink" Target="https://pubs.acs.org/doi/10.1021/acssynbio.6b00376" TargetMode="External"/><Relationship Id="rId9" Type="http://schemas.openxmlformats.org/officeDocument/2006/relationships/hyperlink" Target="https://pubs.acs.org/doi/10.1021/acssynbio.6b00284" TargetMode="External"/><Relationship Id="rId14" Type="http://schemas.openxmlformats.org/officeDocument/2006/relationships/hyperlink" Target="https://pubs.acs.org/doi/10.1021/acssynbio.6b00350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synbio.6b00319" TargetMode="External"/><Relationship Id="rId13" Type="http://schemas.openxmlformats.org/officeDocument/2006/relationships/hyperlink" Target="https://pubs.acs.org/doi/10.1021/acssynbio.6b00366" TargetMode="External"/><Relationship Id="rId3" Type="http://schemas.openxmlformats.org/officeDocument/2006/relationships/hyperlink" Target="https://pubs.acs.org/doi/10.1021/acssynbio.6b00391" TargetMode="External"/><Relationship Id="rId7" Type="http://schemas.openxmlformats.org/officeDocument/2006/relationships/hyperlink" Target="https://pubs.acs.org/doi/10.1021/acssynbio.6b00295" TargetMode="External"/><Relationship Id="rId12" Type="http://schemas.openxmlformats.org/officeDocument/2006/relationships/hyperlink" Target="https://pubs.acs.org/doi/10.1021/acssynbio.6b00364" TargetMode="External"/><Relationship Id="rId17" Type="http://schemas.openxmlformats.org/officeDocument/2006/relationships/hyperlink" Target="https://pubs.acs.org/doi/10.1021/acssynbio.6b00346" TargetMode="External"/><Relationship Id="rId2" Type="http://schemas.openxmlformats.org/officeDocument/2006/relationships/hyperlink" Target="https://pubs.acs.org/doi/10.1021/acssynbio.6b00324" TargetMode="External"/><Relationship Id="rId16" Type="http://schemas.openxmlformats.org/officeDocument/2006/relationships/hyperlink" Target="https://pubs.acs.org/doi/10.1021/acssynbio.6b00343" TargetMode="External"/><Relationship Id="rId1" Type="http://schemas.openxmlformats.org/officeDocument/2006/relationships/hyperlink" Target="https://docs.google.com/document/d/1vK8DdeN5QbFqKy0h2uLIuuB89hU_Zlj_o41NX1BVtAY/edit?usp=sharing" TargetMode="External"/><Relationship Id="rId6" Type="http://schemas.openxmlformats.org/officeDocument/2006/relationships/hyperlink" Target="https://pubs.acs.org/doi/10.1021/acssynbio.6b00230" TargetMode="External"/><Relationship Id="rId11" Type="http://schemas.openxmlformats.org/officeDocument/2006/relationships/hyperlink" Target="https://pubs.acs.org/doi/10.1021/acssynbio.6b00339" TargetMode="External"/><Relationship Id="rId5" Type="http://schemas.openxmlformats.org/officeDocument/2006/relationships/hyperlink" Target="https://pubs.acs.org/doi/10.1021/acssynbio.6b00224" TargetMode="External"/><Relationship Id="rId15" Type="http://schemas.openxmlformats.org/officeDocument/2006/relationships/hyperlink" Target="https://pubs.acs.org/doi/10.1021/acssynbio.6b00379" TargetMode="External"/><Relationship Id="rId10" Type="http://schemas.openxmlformats.org/officeDocument/2006/relationships/hyperlink" Target="https://pubs.acs.org/doi/10.1021/acssynbio.6b00328" TargetMode="External"/><Relationship Id="rId4" Type="http://schemas.openxmlformats.org/officeDocument/2006/relationships/hyperlink" Target="https://pubs.acs.org/doi/10.1021/acssynbio.6b00199" TargetMode="External"/><Relationship Id="rId9" Type="http://schemas.openxmlformats.org/officeDocument/2006/relationships/hyperlink" Target="https://pubs.acs.org/doi/10.1021/acssynbio.6b00323" TargetMode="External"/><Relationship Id="rId14" Type="http://schemas.openxmlformats.org/officeDocument/2006/relationships/hyperlink" Target="https://pubs.acs.org/doi/10.1021/acssynbio.6b00372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synbio.6b00320" TargetMode="External"/><Relationship Id="rId13" Type="http://schemas.openxmlformats.org/officeDocument/2006/relationships/hyperlink" Target="https://pubs.acs.org/doi/10.1021/acssynbio.6b00353" TargetMode="External"/><Relationship Id="rId18" Type="http://schemas.openxmlformats.org/officeDocument/2006/relationships/hyperlink" Target="https://pubs.acs.org/doi/10.1021/acssynbio.7b00019" TargetMode="External"/><Relationship Id="rId3" Type="http://schemas.openxmlformats.org/officeDocument/2006/relationships/hyperlink" Target="https://pubs.acs.org/doi/10.1021/acssynbio.6b00262" TargetMode="External"/><Relationship Id="rId21" Type="http://schemas.openxmlformats.org/officeDocument/2006/relationships/hyperlink" Target="https://pubs.acs.org/doi/10.1021/acssynbio.7b00050" TargetMode="External"/><Relationship Id="rId7" Type="http://schemas.openxmlformats.org/officeDocument/2006/relationships/hyperlink" Target="https://pubs.acs.org/doi/10.1021/acssynbio.6b00292" TargetMode="External"/><Relationship Id="rId12" Type="http://schemas.openxmlformats.org/officeDocument/2006/relationships/hyperlink" Target="https://pubs.acs.org/doi/10.1021/acssynbio.6b00337" TargetMode="External"/><Relationship Id="rId17" Type="http://schemas.openxmlformats.org/officeDocument/2006/relationships/hyperlink" Target="https://pubs.acs.org/doi/10.1021/acssynbio.7b00006" TargetMode="External"/><Relationship Id="rId2" Type="http://schemas.openxmlformats.org/officeDocument/2006/relationships/hyperlink" Target="https://pubs.acs.org/doi/10.1021/acssynbio.6b00255" TargetMode="External"/><Relationship Id="rId16" Type="http://schemas.openxmlformats.org/officeDocument/2006/relationships/hyperlink" Target="https://pubs.acs.org/doi/10.1021/acssynbio.6b00387" TargetMode="External"/><Relationship Id="rId20" Type="http://schemas.openxmlformats.org/officeDocument/2006/relationships/hyperlink" Target="https://pubs.acs.org/doi/10.1021/acssynbio.7b00037" TargetMode="External"/><Relationship Id="rId1" Type="http://schemas.openxmlformats.org/officeDocument/2006/relationships/hyperlink" Target="https://docs.google.com/document/d/1vK8DdeN5QbFqKy0h2uLIuuB89hU_Zlj_o41NX1BVtAY/edit?usp=sharing" TargetMode="External"/><Relationship Id="rId6" Type="http://schemas.openxmlformats.org/officeDocument/2006/relationships/hyperlink" Target="https://pubs.acs.org/doi/10.1021/acssynbio.7b00025" TargetMode="External"/><Relationship Id="rId11" Type="http://schemas.openxmlformats.org/officeDocument/2006/relationships/hyperlink" Target="https://pubs.acs.org/doi/10.1021/acssynbio.6b00335" TargetMode="External"/><Relationship Id="rId5" Type="http://schemas.openxmlformats.org/officeDocument/2006/relationships/hyperlink" Target="https://pubs.acs.org/doi/10.1021/acssynbio.7b00017" TargetMode="External"/><Relationship Id="rId15" Type="http://schemas.openxmlformats.org/officeDocument/2006/relationships/hyperlink" Target="https://pubs.acs.org/doi/10.1021/acssynbio.6b00371" TargetMode="External"/><Relationship Id="rId10" Type="http://schemas.openxmlformats.org/officeDocument/2006/relationships/hyperlink" Target="https://pubs.acs.org/doi/10.1021/acssynbio.6b00330" TargetMode="External"/><Relationship Id="rId19" Type="http://schemas.openxmlformats.org/officeDocument/2006/relationships/hyperlink" Target="https://pubs.acs.org/doi/10.1021/acssynbio.7b00022" TargetMode="External"/><Relationship Id="rId4" Type="http://schemas.openxmlformats.org/officeDocument/2006/relationships/hyperlink" Target="https://pubs.acs.org/doi/10.1021/acssynbio.6b00309" TargetMode="External"/><Relationship Id="rId9" Type="http://schemas.openxmlformats.org/officeDocument/2006/relationships/hyperlink" Target="https://pubs.acs.org/doi/10.1021/acssynbio.6b00321" TargetMode="External"/><Relationship Id="rId14" Type="http://schemas.openxmlformats.org/officeDocument/2006/relationships/hyperlink" Target="https://pubs.acs.org/doi/10.1021/acssynbio.6b00358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s.acs.org/doi/10.1021/acssynbio.6b00273" TargetMode="External"/><Relationship Id="rId18" Type="http://schemas.openxmlformats.org/officeDocument/2006/relationships/hyperlink" Target="https://pubs.acs.org/doi/10.1021/acssynbio.6b00368" TargetMode="External"/><Relationship Id="rId26" Type="http://schemas.openxmlformats.org/officeDocument/2006/relationships/hyperlink" Target="https://pubs.acs.org/doi/10.1021/acssynbio.6b00375" TargetMode="External"/><Relationship Id="rId3" Type="http://schemas.openxmlformats.org/officeDocument/2006/relationships/hyperlink" Target="https://pubs.acs.org/doi/10.1021/acssynbio.6b00286" TargetMode="External"/><Relationship Id="rId21" Type="http://schemas.openxmlformats.org/officeDocument/2006/relationships/hyperlink" Target="https://pubs.acs.org/doi/10.1021/acssynbio.6b00257" TargetMode="External"/><Relationship Id="rId34" Type="http://schemas.openxmlformats.org/officeDocument/2006/relationships/hyperlink" Target="https://pubs.acs.org/doi/10.1021/acssynbio.7b00101" TargetMode="External"/><Relationship Id="rId7" Type="http://schemas.openxmlformats.org/officeDocument/2006/relationships/hyperlink" Target="https://pubs.acs.org/doi/10.1021/acssynbio.6b00275" TargetMode="External"/><Relationship Id="rId12" Type="http://schemas.openxmlformats.org/officeDocument/2006/relationships/hyperlink" Target="https://pubs.acs.org/doi/10.1021/acssynbio.6b00322" TargetMode="External"/><Relationship Id="rId17" Type="http://schemas.openxmlformats.org/officeDocument/2006/relationships/hyperlink" Target="https://pubs.acs.org/doi/10.1021/acssynbio.6b00361" TargetMode="External"/><Relationship Id="rId25" Type="http://schemas.openxmlformats.org/officeDocument/2006/relationships/hyperlink" Target="https://pubs.acs.org/doi/10.1021/acssynbio.6b00370" TargetMode="External"/><Relationship Id="rId33" Type="http://schemas.openxmlformats.org/officeDocument/2006/relationships/hyperlink" Target="https://pubs.acs.org/doi/10.1021/acssynbio.7b00072" TargetMode="External"/><Relationship Id="rId2" Type="http://schemas.openxmlformats.org/officeDocument/2006/relationships/hyperlink" Target="https://pubs.acs.org/doi/10.1021/acssynbio.6b00252" TargetMode="External"/><Relationship Id="rId16" Type="http://schemas.openxmlformats.org/officeDocument/2006/relationships/hyperlink" Target="https://pubs.acs.org/doi/10.1021/acssynbio.6b00359" TargetMode="External"/><Relationship Id="rId20" Type="http://schemas.openxmlformats.org/officeDocument/2006/relationships/hyperlink" Target="https://pubs.acs.org/doi/10.1021/acssynbio.7b00083" TargetMode="External"/><Relationship Id="rId29" Type="http://schemas.openxmlformats.org/officeDocument/2006/relationships/hyperlink" Target="https://pubs.acs.org/doi/10.1021/acssynbio.7b00001" TargetMode="External"/><Relationship Id="rId1" Type="http://schemas.openxmlformats.org/officeDocument/2006/relationships/hyperlink" Target="https://docs.google.com/document/d/1vK8DdeN5QbFqKy0h2uLIuuB89hU_Zlj_o41NX1BVtAY/edit?usp=sharing" TargetMode="External"/><Relationship Id="rId6" Type="http://schemas.openxmlformats.org/officeDocument/2006/relationships/hyperlink" Target="https://pubs.acs.org/doi/10.1021/acssynbio.6b00271" TargetMode="External"/><Relationship Id="rId11" Type="http://schemas.openxmlformats.org/officeDocument/2006/relationships/hyperlink" Target="https://pubs.acs.org/doi/10.1021/acssynbio.6b00315" TargetMode="External"/><Relationship Id="rId24" Type="http://schemas.openxmlformats.org/officeDocument/2006/relationships/hyperlink" Target="https://pubs.acs.org/doi/10.1021/acssynbio.6b00342" TargetMode="External"/><Relationship Id="rId32" Type="http://schemas.openxmlformats.org/officeDocument/2006/relationships/hyperlink" Target="https://pubs.acs.org/doi/10.1021/acssynbio.7b00058" TargetMode="External"/><Relationship Id="rId5" Type="http://schemas.openxmlformats.org/officeDocument/2006/relationships/hyperlink" Target="https://pubs.acs.org/doi/10.1021/acssynbio.5b00217" TargetMode="External"/><Relationship Id="rId15" Type="http://schemas.openxmlformats.org/officeDocument/2006/relationships/hyperlink" Target="https://pubs.acs.org/doi/10.1021/acssynbio.6b00333" TargetMode="External"/><Relationship Id="rId23" Type="http://schemas.openxmlformats.org/officeDocument/2006/relationships/hyperlink" Target="https://pubs.acs.org/doi/10.1021/acssynbio.6b00288" TargetMode="External"/><Relationship Id="rId28" Type="http://schemas.openxmlformats.org/officeDocument/2006/relationships/hyperlink" Target="https://pubs.acs.org/doi/10.1021/acssynbio.6b00397" TargetMode="External"/><Relationship Id="rId10" Type="http://schemas.openxmlformats.org/officeDocument/2006/relationships/hyperlink" Target="https://pubs.acs.org/doi/10.1021/acssynbio.6b00306" TargetMode="External"/><Relationship Id="rId19" Type="http://schemas.openxmlformats.org/officeDocument/2006/relationships/hyperlink" Target="https://pubs.acs.org/doi/10.1021/acssynbio.7b00057" TargetMode="External"/><Relationship Id="rId31" Type="http://schemas.openxmlformats.org/officeDocument/2006/relationships/hyperlink" Target="https://pubs.acs.org/doi/10.1021/acssynbio.7b00028" TargetMode="External"/><Relationship Id="rId4" Type="http://schemas.openxmlformats.org/officeDocument/2006/relationships/hyperlink" Target="https://pubs.acs.org/doi/10.1021/acssynbio.6b00395" TargetMode="External"/><Relationship Id="rId9" Type="http://schemas.openxmlformats.org/officeDocument/2006/relationships/hyperlink" Target="https://pubs.acs.org/doi/10.1021/acssynbio.6b00296" TargetMode="External"/><Relationship Id="rId14" Type="http://schemas.openxmlformats.org/officeDocument/2006/relationships/hyperlink" Target="https://pubs.acs.org/doi/10.1021/acssynbio.6b00304" TargetMode="External"/><Relationship Id="rId22" Type="http://schemas.openxmlformats.org/officeDocument/2006/relationships/hyperlink" Target="https://pubs.acs.org/doi/10.1021/acssynbio.6b00282" TargetMode="External"/><Relationship Id="rId27" Type="http://schemas.openxmlformats.org/officeDocument/2006/relationships/hyperlink" Target="https://pubs.acs.org/doi/10.1021/acssynbio.6b00388" TargetMode="External"/><Relationship Id="rId30" Type="http://schemas.openxmlformats.org/officeDocument/2006/relationships/hyperlink" Target="https://pubs.acs.org/doi/10.1021/acssynbio.7b00016" TargetMode="External"/><Relationship Id="rId8" Type="http://schemas.openxmlformats.org/officeDocument/2006/relationships/hyperlink" Target="https://pubs.acs.org/doi/10.1021/acssynbio.6b00277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synbio.7b00003" TargetMode="External"/><Relationship Id="rId13" Type="http://schemas.openxmlformats.org/officeDocument/2006/relationships/hyperlink" Target="https://pubs.acs.org/doi/10.1021/acssynbio.7b00056" TargetMode="External"/><Relationship Id="rId3" Type="http://schemas.openxmlformats.org/officeDocument/2006/relationships/hyperlink" Target="https://pubs.acs.org/doi/10.1021/acssynbio.6b00367" TargetMode="External"/><Relationship Id="rId7" Type="http://schemas.openxmlformats.org/officeDocument/2006/relationships/hyperlink" Target="https://pubs.acs.org/doi/10.1021/acssynbio.6b00392" TargetMode="External"/><Relationship Id="rId12" Type="http://schemas.openxmlformats.org/officeDocument/2006/relationships/hyperlink" Target="https://pubs.acs.org/doi/10.1021/acssynbio.7b00046" TargetMode="External"/><Relationship Id="rId17" Type="http://schemas.openxmlformats.org/officeDocument/2006/relationships/hyperlink" Target="https://pubs.acs.org/doi/10.1021/acssynbio.7b00119" TargetMode="External"/><Relationship Id="rId2" Type="http://schemas.openxmlformats.org/officeDocument/2006/relationships/hyperlink" Target="https://pubs.acs.org/doi/10.1021/acssynbio.6b00191" TargetMode="External"/><Relationship Id="rId16" Type="http://schemas.openxmlformats.org/officeDocument/2006/relationships/hyperlink" Target="https://pubs.acs.org/doi/10.1021/acssynbio.7b00114" TargetMode="External"/><Relationship Id="rId1" Type="http://schemas.openxmlformats.org/officeDocument/2006/relationships/hyperlink" Target="https://docs.google.com/document/d/1vK8DdeN5QbFqKy0h2uLIuuB89hU_Zlj_o41NX1BVtAY/edit?usp=sharing" TargetMode="External"/><Relationship Id="rId6" Type="http://schemas.openxmlformats.org/officeDocument/2006/relationships/hyperlink" Target="https://pubs.acs.org/doi/10.1021/acssynbio.6b00378" TargetMode="External"/><Relationship Id="rId11" Type="http://schemas.openxmlformats.org/officeDocument/2006/relationships/hyperlink" Target="https://pubs.acs.org/doi/10.1021/acssynbio.7b00041" TargetMode="External"/><Relationship Id="rId5" Type="http://schemas.openxmlformats.org/officeDocument/2006/relationships/hyperlink" Target="https://pubs.acs.org/doi/10.1021/acssynbio.6b00301" TargetMode="External"/><Relationship Id="rId15" Type="http://schemas.openxmlformats.org/officeDocument/2006/relationships/hyperlink" Target="https://pubs.acs.org/doi/10.1021/acssynbio.7b00100" TargetMode="External"/><Relationship Id="rId10" Type="http://schemas.openxmlformats.org/officeDocument/2006/relationships/hyperlink" Target="https://pubs.acs.org/doi/10.1021/acssynbio.7b00029" TargetMode="External"/><Relationship Id="rId4" Type="http://schemas.openxmlformats.org/officeDocument/2006/relationships/hyperlink" Target="https://pubs.acs.org/doi/10.1021/acssynbio.7b00078" TargetMode="External"/><Relationship Id="rId9" Type="http://schemas.openxmlformats.org/officeDocument/2006/relationships/hyperlink" Target="https://pubs.acs.org/doi/10.1021/acssynbio.7b00020" TargetMode="External"/><Relationship Id="rId14" Type="http://schemas.openxmlformats.org/officeDocument/2006/relationships/hyperlink" Target="https://pubs.acs.org/doi/10.1021/acssynbio.7b00076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synbio.7b00131" TargetMode="External"/><Relationship Id="rId13" Type="http://schemas.openxmlformats.org/officeDocument/2006/relationships/hyperlink" Target="https://pubs.acs.org/doi/10.1021/acssynbio.7b00059" TargetMode="External"/><Relationship Id="rId18" Type="http://schemas.openxmlformats.org/officeDocument/2006/relationships/hyperlink" Target="https://pubs.acs.org/doi/10.1021/acssynbio.7b00102" TargetMode="External"/><Relationship Id="rId3" Type="http://schemas.openxmlformats.org/officeDocument/2006/relationships/hyperlink" Target="https://pubs.acs.org/doi/10.1021/acssynbio.6b00349" TargetMode="External"/><Relationship Id="rId21" Type="http://schemas.openxmlformats.org/officeDocument/2006/relationships/hyperlink" Target="https://pubs.acs.org/doi/10.1021/acssynbio.7b00091" TargetMode="External"/><Relationship Id="rId7" Type="http://schemas.openxmlformats.org/officeDocument/2006/relationships/hyperlink" Target="https://pubs.acs.org/doi/10.1021/acssynbio.7b00124" TargetMode="External"/><Relationship Id="rId12" Type="http://schemas.openxmlformats.org/officeDocument/2006/relationships/hyperlink" Target="https://pubs.acs.org/doi/10.1021/acssynbio.7b00007" TargetMode="External"/><Relationship Id="rId17" Type="http://schemas.openxmlformats.org/officeDocument/2006/relationships/hyperlink" Target="https://pubs.acs.org/doi/10.1021/acssynbio.7b00099" TargetMode="External"/><Relationship Id="rId2" Type="http://schemas.openxmlformats.org/officeDocument/2006/relationships/hyperlink" Target="https://pubs.acs.org/doi/10.1021/acssynbio.7b00011" TargetMode="External"/><Relationship Id="rId16" Type="http://schemas.openxmlformats.org/officeDocument/2006/relationships/hyperlink" Target="https://pubs.acs.org/doi/10.1021/acssynbio.7b00094" TargetMode="External"/><Relationship Id="rId20" Type="http://schemas.openxmlformats.org/officeDocument/2006/relationships/hyperlink" Target="https://pubs.acs.org/doi/10.1021/acssynbio.7b00129" TargetMode="External"/><Relationship Id="rId1" Type="http://schemas.openxmlformats.org/officeDocument/2006/relationships/hyperlink" Target="https://docs.google.com/document/d/1vK8DdeN5QbFqKy0h2uLIuuB89hU_Zlj_o41NX1BVtAY/edit?usp=sharing" TargetMode="External"/><Relationship Id="rId6" Type="http://schemas.openxmlformats.org/officeDocument/2006/relationships/hyperlink" Target="https://pubs.acs.org/doi/10.1021/acssynbio.7b00116" TargetMode="External"/><Relationship Id="rId11" Type="http://schemas.openxmlformats.org/officeDocument/2006/relationships/hyperlink" Target="https://pubs.acs.org/doi/10.1021/acssynbio.6b00377" TargetMode="External"/><Relationship Id="rId5" Type="http://schemas.openxmlformats.org/officeDocument/2006/relationships/hyperlink" Target="https://pubs.acs.org/doi/10.1021/acssynbio.7b00113" TargetMode="External"/><Relationship Id="rId15" Type="http://schemas.openxmlformats.org/officeDocument/2006/relationships/hyperlink" Target="https://pubs.acs.org/doi/10.1021/acssynbio.7b00089" TargetMode="External"/><Relationship Id="rId10" Type="http://schemas.openxmlformats.org/officeDocument/2006/relationships/hyperlink" Target="https://pubs.acs.org/doi/10.1021/acssynbio.6b00374" TargetMode="External"/><Relationship Id="rId19" Type="http://schemas.openxmlformats.org/officeDocument/2006/relationships/hyperlink" Target="https://pubs.acs.org/doi/10.1021/acssynbio.7b00105" TargetMode="External"/><Relationship Id="rId4" Type="http://schemas.openxmlformats.org/officeDocument/2006/relationships/hyperlink" Target="https://pubs.acs.org/doi/10.1021/acssynbio.7b00106" TargetMode="External"/><Relationship Id="rId9" Type="http://schemas.openxmlformats.org/officeDocument/2006/relationships/hyperlink" Target="https://pubs.acs.org/doi/10.1021/acssynbio.7b00155" TargetMode="External"/><Relationship Id="rId14" Type="http://schemas.openxmlformats.org/officeDocument/2006/relationships/hyperlink" Target="https://pubs.acs.org/doi/10.1021/acssynbio.7b00086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synbio.7b00172" TargetMode="External"/><Relationship Id="rId13" Type="http://schemas.openxmlformats.org/officeDocument/2006/relationships/hyperlink" Target="https://pubs.acs.org/doi/10.1021/acssynbio.7b00087" TargetMode="External"/><Relationship Id="rId18" Type="http://schemas.openxmlformats.org/officeDocument/2006/relationships/hyperlink" Target="https://pubs.acs.org/doi/10.1021/acssynbio.7b00179" TargetMode="External"/><Relationship Id="rId3" Type="http://schemas.openxmlformats.org/officeDocument/2006/relationships/hyperlink" Target="https://pubs.acs.org/doi/10.1021/acssynbio.7b00069" TargetMode="External"/><Relationship Id="rId21" Type="http://schemas.openxmlformats.org/officeDocument/2006/relationships/hyperlink" Target="https://pubs.acs.org/doi/10.1021/acssynbio.7b00192" TargetMode="External"/><Relationship Id="rId7" Type="http://schemas.openxmlformats.org/officeDocument/2006/relationships/hyperlink" Target="https://pubs.acs.org/doi/10.1021/acssynbio.7b00137" TargetMode="External"/><Relationship Id="rId12" Type="http://schemas.openxmlformats.org/officeDocument/2006/relationships/hyperlink" Target="https://pubs.acs.org/doi/10.1021/acssynbio.7b00048" TargetMode="External"/><Relationship Id="rId17" Type="http://schemas.openxmlformats.org/officeDocument/2006/relationships/hyperlink" Target="https://pubs.acs.org/doi/10.1021/acssynbio.7b00165" TargetMode="External"/><Relationship Id="rId2" Type="http://schemas.openxmlformats.org/officeDocument/2006/relationships/hyperlink" Target="https://pubs.acs.org/doi/10.1021/acssynbio.7b00045" TargetMode="External"/><Relationship Id="rId16" Type="http://schemas.openxmlformats.org/officeDocument/2006/relationships/hyperlink" Target="https://pubs.acs.org/doi/10.1021/acssynbio.7b00163" TargetMode="External"/><Relationship Id="rId20" Type="http://schemas.openxmlformats.org/officeDocument/2006/relationships/hyperlink" Target="https://pubs.acs.org/doi/10.1021/acssynbio.7b00121" TargetMode="External"/><Relationship Id="rId1" Type="http://schemas.openxmlformats.org/officeDocument/2006/relationships/hyperlink" Target="https://docs.google.com/document/d/1vK8DdeN5QbFqKy0h2uLIuuB89hU_Zlj_o41NX1BVtAY/edit?usp=sharing" TargetMode="External"/><Relationship Id="rId6" Type="http://schemas.openxmlformats.org/officeDocument/2006/relationships/hyperlink" Target="https://pubs.acs.org/doi/10.1021/acssynbio.7b00115" TargetMode="External"/><Relationship Id="rId11" Type="http://schemas.openxmlformats.org/officeDocument/2006/relationships/hyperlink" Target="https://pubs.acs.org/doi/10.1021/acssynbio.7b00042" TargetMode="External"/><Relationship Id="rId5" Type="http://schemas.openxmlformats.org/officeDocument/2006/relationships/hyperlink" Target="https://pubs.acs.org/doi/10.1021/acssynbio.7b00112" TargetMode="External"/><Relationship Id="rId15" Type="http://schemas.openxmlformats.org/officeDocument/2006/relationships/hyperlink" Target="https://pubs.acs.org/doi/10.1021/acssynbio.7b00136" TargetMode="External"/><Relationship Id="rId10" Type="http://schemas.openxmlformats.org/officeDocument/2006/relationships/hyperlink" Target="https://pubs.acs.org/doi/10.1021/acssynbio.7b00034" TargetMode="External"/><Relationship Id="rId19" Type="http://schemas.openxmlformats.org/officeDocument/2006/relationships/hyperlink" Target="https://pubs.acs.org/doi/10.1021/acssynbio.6b00354" TargetMode="External"/><Relationship Id="rId4" Type="http://schemas.openxmlformats.org/officeDocument/2006/relationships/hyperlink" Target="https://pubs.acs.org/doi/10.1021/acssynbio.7b00109" TargetMode="External"/><Relationship Id="rId9" Type="http://schemas.openxmlformats.org/officeDocument/2006/relationships/hyperlink" Target="https://pubs.acs.org/doi/10.1021/acssynbio.7b00009" TargetMode="External"/><Relationship Id="rId14" Type="http://schemas.openxmlformats.org/officeDocument/2006/relationships/hyperlink" Target="https://pubs.acs.org/doi/10.1021/acssynbio.7b00117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pubs.acs.org/doi/10.1021/acssynbio.7b00166" TargetMode="External"/><Relationship Id="rId13" Type="http://schemas.openxmlformats.org/officeDocument/2006/relationships/hyperlink" Target="https://pubs.acs.org/doi/10.1021/acssynbio.7b00128" TargetMode="External"/><Relationship Id="rId18" Type="http://schemas.openxmlformats.org/officeDocument/2006/relationships/hyperlink" Target="https://pubs.acs.org/doi/10.1021/acssynbio.7b00154" TargetMode="External"/><Relationship Id="rId3" Type="http://schemas.openxmlformats.org/officeDocument/2006/relationships/hyperlink" Target="https://pubs.acs.org/doi/10.1021/acssynbio.7b00111" TargetMode="External"/><Relationship Id="rId21" Type="http://schemas.openxmlformats.org/officeDocument/2006/relationships/hyperlink" Target="https://pubs.acs.org/doi/10.1021/acssynbio.7b00169" TargetMode="External"/><Relationship Id="rId7" Type="http://schemas.openxmlformats.org/officeDocument/2006/relationships/hyperlink" Target="https://pubs.acs.org/doi/10.1021/acssynbio.7b00162" TargetMode="External"/><Relationship Id="rId12" Type="http://schemas.openxmlformats.org/officeDocument/2006/relationships/hyperlink" Target="https://pubs.acs.org/doi/10.1021/acssynbio.7b00108" TargetMode="External"/><Relationship Id="rId17" Type="http://schemas.openxmlformats.org/officeDocument/2006/relationships/hyperlink" Target="https://pubs.acs.org/doi/10.1021/acssynbio.7b00150" TargetMode="External"/><Relationship Id="rId2" Type="http://schemas.openxmlformats.org/officeDocument/2006/relationships/hyperlink" Target="https://pubs.acs.org/doi/10.1021/acssynbio.7b00088" TargetMode="External"/><Relationship Id="rId16" Type="http://schemas.openxmlformats.org/officeDocument/2006/relationships/hyperlink" Target="https://pubs.acs.org/doi/10.1021/acssynbio.7b00148" TargetMode="External"/><Relationship Id="rId20" Type="http://schemas.openxmlformats.org/officeDocument/2006/relationships/hyperlink" Target="https://pubs.acs.org/doi/10.1021/acssynbio.7b00167" TargetMode="External"/><Relationship Id="rId1" Type="http://schemas.openxmlformats.org/officeDocument/2006/relationships/hyperlink" Target="https://docs.google.com/document/d/1vK8DdeN5QbFqKy0h2uLIuuB89hU_Zlj_o41NX1BVtAY/edit?usp=sharing" TargetMode="External"/><Relationship Id="rId6" Type="http://schemas.openxmlformats.org/officeDocument/2006/relationships/hyperlink" Target="https://pubs.acs.org/doi/10.1021/acssynbio.7b00149" TargetMode="External"/><Relationship Id="rId11" Type="http://schemas.openxmlformats.org/officeDocument/2006/relationships/hyperlink" Target="https://pubs.acs.org/doi/10.1021/acssynbio.7b00077" TargetMode="External"/><Relationship Id="rId5" Type="http://schemas.openxmlformats.org/officeDocument/2006/relationships/hyperlink" Target="https://pubs.acs.org/doi/10.1021/acssynbio.7b00147" TargetMode="External"/><Relationship Id="rId15" Type="http://schemas.openxmlformats.org/officeDocument/2006/relationships/hyperlink" Target="https://pubs.acs.org/doi/10.1021/acssynbio.7b00144" TargetMode="External"/><Relationship Id="rId10" Type="http://schemas.openxmlformats.org/officeDocument/2006/relationships/hyperlink" Target="https://pubs.acs.org/doi/10.1021/acssynbio.6b00279" TargetMode="External"/><Relationship Id="rId19" Type="http://schemas.openxmlformats.org/officeDocument/2006/relationships/hyperlink" Target="https://pubs.acs.org/doi/10.1021/acssynbio.7b00157" TargetMode="External"/><Relationship Id="rId4" Type="http://schemas.openxmlformats.org/officeDocument/2006/relationships/hyperlink" Target="https://pubs.acs.org/doi/10.1021/acssynbio.7b00118" TargetMode="External"/><Relationship Id="rId9" Type="http://schemas.openxmlformats.org/officeDocument/2006/relationships/hyperlink" Target="https://pubs.acs.org/doi/10.1021/acssynbio.7b00171" TargetMode="External"/><Relationship Id="rId14" Type="http://schemas.openxmlformats.org/officeDocument/2006/relationships/hyperlink" Target="https://pubs.acs.org/doi/10.1021/acssynbio.7b00138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"/>
  <sheetViews>
    <sheetView tabSelected="1" topLeftCell="D1" workbookViewId="0"/>
  </sheetViews>
  <sheetFormatPr baseColWidth="10" defaultColWidth="12.6640625" defaultRowHeight="15.75" customHeight="1"/>
  <cols>
    <col min="2" max="2" width="8.83203125" customWidth="1"/>
    <col min="3" max="3" width="15" customWidth="1"/>
    <col min="4" max="4" width="12.6640625" customWidth="1"/>
    <col min="5" max="5" width="13" customWidth="1"/>
    <col min="6" max="6" width="14.6640625" customWidth="1"/>
    <col min="7" max="7" width="17.6640625" customWidth="1"/>
    <col min="8" max="8" width="17.1640625" customWidth="1"/>
    <col min="9" max="9" width="15.33203125" customWidth="1"/>
    <col min="10" max="10" width="14.83203125" customWidth="1"/>
    <col min="11" max="11" width="8.83203125" customWidth="1"/>
    <col min="12" max="12" width="5.6640625" customWidth="1"/>
    <col min="13" max="13" width="15.83203125" customWidth="1"/>
    <col min="14" max="14" width="15.6640625" customWidth="1"/>
    <col min="15" max="15" width="18.83203125" customWidth="1"/>
    <col min="16" max="16" width="15.83203125" customWidth="1"/>
    <col min="17" max="17" width="12.6640625" customWidth="1"/>
    <col min="18" max="18" width="13.1640625" customWidth="1"/>
    <col min="19" max="19" width="10.33203125" customWidth="1"/>
    <col min="20" max="20" width="10.6640625" customWidth="1"/>
    <col min="21" max="21" width="14.6640625" customWidth="1"/>
    <col min="22" max="22" width="9" customWidth="1"/>
  </cols>
  <sheetData>
    <row r="1" spans="1:22" ht="15.75" customHeight="1">
      <c r="A1" s="1" t="s">
        <v>0</v>
      </c>
      <c r="B1" s="11" t="s">
        <v>1</v>
      </c>
      <c r="C1" s="12"/>
      <c r="D1" s="12"/>
      <c r="E1" s="12"/>
      <c r="F1" s="11" t="s">
        <v>2</v>
      </c>
      <c r="G1" s="12"/>
      <c r="H1" s="12"/>
      <c r="I1" s="12"/>
      <c r="J1" s="12"/>
      <c r="K1" s="12"/>
      <c r="M1" s="11" t="s">
        <v>3</v>
      </c>
      <c r="N1" s="12"/>
      <c r="O1" s="12"/>
      <c r="P1" s="11" t="s">
        <v>4</v>
      </c>
      <c r="Q1" s="12"/>
    </row>
    <row r="2" spans="1:2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7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6</v>
      </c>
      <c r="M2" s="1" t="s">
        <v>7</v>
      </c>
      <c r="N2" s="1" t="s">
        <v>10</v>
      </c>
      <c r="O2" s="1" t="s">
        <v>11</v>
      </c>
      <c r="P2" s="1" t="s">
        <v>10</v>
      </c>
      <c r="Q2" s="1" t="s">
        <v>11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</row>
    <row r="3" spans="1:22" ht="15.75" customHeight="1">
      <c r="A3" s="1" t="s">
        <v>19</v>
      </c>
      <c r="B3" s="1">
        <f>January!C22</f>
        <v>99</v>
      </c>
      <c r="C3" s="1">
        <f>January!D22</f>
        <v>23</v>
      </c>
      <c r="D3" s="1">
        <f>January!E22</f>
        <v>13</v>
      </c>
      <c r="E3" s="1">
        <f>January!F22</f>
        <v>9</v>
      </c>
      <c r="F3" s="1">
        <f>January!G22</f>
        <v>11</v>
      </c>
      <c r="G3" s="1">
        <f>January!H22</f>
        <v>6</v>
      </c>
      <c r="H3" s="1">
        <f>January!I22</f>
        <v>4</v>
      </c>
      <c r="I3" s="1">
        <f>January!J22</f>
        <v>5</v>
      </c>
      <c r="J3" s="1">
        <f>January!K22</f>
        <v>3</v>
      </c>
      <c r="K3" s="1">
        <f>January!L22</f>
        <v>19</v>
      </c>
      <c r="M3" s="2">
        <f t="shared" ref="M3:O3" si="0">F3/$K3</f>
        <v>0.57894736842105265</v>
      </c>
      <c r="N3" s="2">
        <f t="shared" si="0"/>
        <v>0.31578947368421051</v>
      </c>
      <c r="O3" s="2">
        <f t="shared" si="0"/>
        <v>0.21052631578947367</v>
      </c>
      <c r="P3" s="2">
        <f t="shared" ref="P3:Q3" si="1">G3/$F3</f>
        <v>0.54545454545454541</v>
      </c>
      <c r="Q3" s="2">
        <f t="shared" si="1"/>
        <v>0.36363636363636365</v>
      </c>
      <c r="R3" s="2">
        <f t="shared" ref="R3:R15" si="2">I3/F3</f>
        <v>0.45454545454545453</v>
      </c>
      <c r="S3" s="2">
        <f t="shared" ref="S3:S15" si="3">J3/F3</f>
        <v>0.27272727272727271</v>
      </c>
      <c r="T3" s="3">
        <f t="shared" ref="T3:T15" si="4">D3/$B3</f>
        <v>0.13131313131313133</v>
      </c>
      <c r="U3" s="3">
        <f t="shared" ref="U3:U15" si="5">D3/C3</f>
        <v>0.56521739130434778</v>
      </c>
      <c r="V3" s="2">
        <f t="shared" ref="V3:V15" si="6">E3/C3</f>
        <v>0.39130434782608697</v>
      </c>
    </row>
    <row r="4" spans="1:22" ht="15.75" customHeight="1">
      <c r="A4" s="1" t="s">
        <v>20</v>
      </c>
      <c r="B4" s="1">
        <f>February!C24</f>
        <v>100</v>
      </c>
      <c r="C4" s="1">
        <f>February!D24</f>
        <v>12</v>
      </c>
      <c r="D4" s="1">
        <f>February!E24</f>
        <v>11</v>
      </c>
      <c r="E4" s="1">
        <f>February!F24</f>
        <v>5</v>
      </c>
      <c r="F4" s="1">
        <f>February!G24</f>
        <v>8</v>
      </c>
      <c r="G4" s="1">
        <f>February!H24</f>
        <v>7</v>
      </c>
      <c r="H4" s="1">
        <f>February!I24</f>
        <v>7</v>
      </c>
      <c r="I4" s="1">
        <f>February!J24</f>
        <v>2</v>
      </c>
      <c r="J4" s="1">
        <f>February!K24</f>
        <v>1</v>
      </c>
      <c r="K4" s="1">
        <f>February!L24</f>
        <v>21</v>
      </c>
      <c r="M4" s="2">
        <f t="shared" ref="M4:O4" si="7">F4/$K4</f>
        <v>0.38095238095238093</v>
      </c>
      <c r="N4" s="2">
        <f t="shared" si="7"/>
        <v>0.33333333333333331</v>
      </c>
      <c r="O4" s="2">
        <f t="shared" si="7"/>
        <v>0.33333333333333331</v>
      </c>
      <c r="P4" s="2">
        <f t="shared" ref="P4:Q4" si="8">G4/$F4</f>
        <v>0.875</v>
      </c>
      <c r="Q4" s="2">
        <f t="shared" si="8"/>
        <v>0.875</v>
      </c>
      <c r="R4" s="2">
        <f t="shared" si="2"/>
        <v>0.25</v>
      </c>
      <c r="S4" s="2">
        <f t="shared" si="3"/>
        <v>0.125</v>
      </c>
      <c r="T4" s="3">
        <f t="shared" si="4"/>
        <v>0.11</v>
      </c>
      <c r="U4" s="3">
        <f t="shared" si="5"/>
        <v>0.91666666666666663</v>
      </c>
      <c r="V4" s="2">
        <f t="shared" si="6"/>
        <v>0.41666666666666669</v>
      </c>
    </row>
    <row r="5" spans="1:22" ht="15.75" customHeight="1">
      <c r="A5" s="1" t="s">
        <v>21</v>
      </c>
      <c r="B5" s="1">
        <f>March!C25</f>
        <v>103</v>
      </c>
      <c r="C5" s="1">
        <f>March!D25</f>
        <v>23</v>
      </c>
      <c r="D5" s="1">
        <f>March!E25</f>
        <v>12</v>
      </c>
      <c r="E5" s="1">
        <f>March!F25</f>
        <v>3</v>
      </c>
      <c r="F5" s="1">
        <f>March!G25</f>
        <v>11</v>
      </c>
      <c r="G5" s="1">
        <f>March!H25</f>
        <v>7</v>
      </c>
      <c r="H5" s="1">
        <f>March!I25</f>
        <v>5</v>
      </c>
      <c r="I5" s="1">
        <f>March!J25</f>
        <v>2</v>
      </c>
      <c r="J5" s="1">
        <f>March!K25</f>
        <v>0</v>
      </c>
      <c r="K5" s="1">
        <f>March!L25</f>
        <v>22</v>
      </c>
      <c r="M5" s="2">
        <f t="shared" ref="M5:O5" si="9">F5/$K5</f>
        <v>0.5</v>
      </c>
      <c r="N5" s="2">
        <f t="shared" si="9"/>
        <v>0.31818181818181818</v>
      </c>
      <c r="O5" s="2">
        <f t="shared" si="9"/>
        <v>0.22727272727272727</v>
      </c>
      <c r="P5" s="2">
        <f t="shared" ref="P5:Q5" si="10">G5/$F5</f>
        <v>0.63636363636363635</v>
      </c>
      <c r="Q5" s="2">
        <f t="shared" si="10"/>
        <v>0.45454545454545453</v>
      </c>
      <c r="R5" s="2">
        <f t="shared" si="2"/>
        <v>0.18181818181818182</v>
      </c>
      <c r="S5" s="2">
        <f t="shared" si="3"/>
        <v>0</v>
      </c>
      <c r="T5" s="3">
        <f t="shared" si="4"/>
        <v>0.11650485436893204</v>
      </c>
      <c r="U5" s="3">
        <f t="shared" si="5"/>
        <v>0.52173913043478259</v>
      </c>
      <c r="V5" s="2">
        <f t="shared" si="6"/>
        <v>0.13043478260869565</v>
      </c>
    </row>
    <row r="6" spans="1:22" ht="15.75" customHeight="1">
      <c r="A6" s="1" t="s">
        <v>22</v>
      </c>
      <c r="B6" s="1">
        <f>April!C18</f>
        <v>81</v>
      </c>
      <c r="C6" s="1">
        <f>April!D18</f>
        <v>15</v>
      </c>
      <c r="D6" s="1">
        <f>April!E18</f>
        <v>5</v>
      </c>
      <c r="E6" s="1">
        <f>April!F18</f>
        <v>3</v>
      </c>
      <c r="F6" s="1">
        <f>April!G18</f>
        <v>9</v>
      </c>
      <c r="G6" s="1">
        <f>April!H18</f>
        <v>4</v>
      </c>
      <c r="H6" s="1">
        <f>April!I18</f>
        <v>3</v>
      </c>
      <c r="I6" s="1">
        <f>April!J18</f>
        <v>2</v>
      </c>
      <c r="J6" s="1">
        <f>April!K18</f>
        <v>1</v>
      </c>
      <c r="K6" s="1">
        <f>April!L18</f>
        <v>15</v>
      </c>
      <c r="M6" s="2">
        <f t="shared" ref="M6:O6" si="11">F6/$K6</f>
        <v>0.6</v>
      </c>
      <c r="N6" s="2">
        <f t="shared" si="11"/>
        <v>0.26666666666666666</v>
      </c>
      <c r="O6" s="2">
        <f t="shared" si="11"/>
        <v>0.2</v>
      </c>
      <c r="P6" s="2">
        <f t="shared" ref="P6:Q6" si="12">G6/$F6</f>
        <v>0.44444444444444442</v>
      </c>
      <c r="Q6" s="2">
        <f t="shared" si="12"/>
        <v>0.33333333333333331</v>
      </c>
      <c r="R6" s="2">
        <f t="shared" si="2"/>
        <v>0.22222222222222221</v>
      </c>
      <c r="S6" s="2">
        <f t="shared" si="3"/>
        <v>0.1111111111111111</v>
      </c>
      <c r="T6" s="3">
        <f t="shared" si="4"/>
        <v>6.1728395061728392E-2</v>
      </c>
      <c r="U6" s="3">
        <f t="shared" si="5"/>
        <v>0.33333333333333331</v>
      </c>
      <c r="V6" s="2">
        <f t="shared" si="6"/>
        <v>0.2</v>
      </c>
    </row>
    <row r="7" spans="1:22" ht="15.75" customHeight="1">
      <c r="A7" s="1" t="s">
        <v>23</v>
      </c>
      <c r="B7" s="1">
        <f>May!C19</f>
        <v>83</v>
      </c>
      <c r="C7" s="1">
        <f>May!D19</f>
        <v>15</v>
      </c>
      <c r="D7" s="1">
        <f>May!E19</f>
        <v>11</v>
      </c>
      <c r="E7" s="1">
        <f>May!F19</f>
        <v>8</v>
      </c>
      <c r="F7" s="1">
        <f>May!G19</f>
        <v>7</v>
      </c>
      <c r="G7" s="1">
        <f>May!H19</f>
        <v>6</v>
      </c>
      <c r="H7" s="1">
        <f>May!I19</f>
        <v>4</v>
      </c>
      <c r="I7" s="1">
        <f>May!J19</f>
        <v>4</v>
      </c>
      <c r="J7" s="1">
        <f>May!K19</f>
        <v>2</v>
      </c>
      <c r="K7" s="1">
        <f>May!L19</f>
        <v>16</v>
      </c>
      <c r="M7" s="2">
        <f t="shared" ref="M7:O7" si="13">F7/$K7</f>
        <v>0.4375</v>
      </c>
      <c r="N7" s="2">
        <f t="shared" si="13"/>
        <v>0.375</v>
      </c>
      <c r="O7" s="2">
        <f t="shared" si="13"/>
        <v>0.25</v>
      </c>
      <c r="P7" s="2">
        <f t="shared" ref="P7:Q7" si="14">G7/$F7</f>
        <v>0.8571428571428571</v>
      </c>
      <c r="Q7" s="2">
        <f t="shared" si="14"/>
        <v>0.5714285714285714</v>
      </c>
      <c r="R7" s="2">
        <f t="shared" si="2"/>
        <v>0.5714285714285714</v>
      </c>
      <c r="S7" s="2">
        <f t="shared" si="3"/>
        <v>0.2857142857142857</v>
      </c>
      <c r="T7" s="3">
        <f t="shared" si="4"/>
        <v>0.13253012048192772</v>
      </c>
      <c r="U7" s="3">
        <f t="shared" si="5"/>
        <v>0.73333333333333328</v>
      </c>
      <c r="V7" s="2">
        <f t="shared" si="6"/>
        <v>0.53333333333333333</v>
      </c>
    </row>
    <row r="8" spans="1:22" ht="15.75" customHeight="1">
      <c r="A8" s="1" t="s">
        <v>24</v>
      </c>
      <c r="B8" s="1">
        <f>June!C23</f>
        <v>105</v>
      </c>
      <c r="C8" s="1">
        <f>June!D23</f>
        <v>29</v>
      </c>
      <c r="D8" s="1">
        <f>June!E23</f>
        <v>26</v>
      </c>
      <c r="E8" s="1">
        <f>June!F23</f>
        <v>18</v>
      </c>
      <c r="F8" s="1">
        <f>June!G23</f>
        <v>12</v>
      </c>
      <c r="G8" s="1">
        <f>June!H23</f>
        <v>12</v>
      </c>
      <c r="H8" s="1">
        <f>June!I23</f>
        <v>11</v>
      </c>
      <c r="I8" s="1">
        <f>June!J23</f>
        <v>9</v>
      </c>
      <c r="J8" s="1">
        <f>June!K23</f>
        <v>7</v>
      </c>
      <c r="K8" s="1">
        <f>June!L23</f>
        <v>20</v>
      </c>
      <c r="M8" s="2">
        <f t="shared" ref="M8:O8" si="15">F8/$K8</f>
        <v>0.6</v>
      </c>
      <c r="N8" s="2">
        <f t="shared" si="15"/>
        <v>0.6</v>
      </c>
      <c r="O8" s="2">
        <f t="shared" si="15"/>
        <v>0.55000000000000004</v>
      </c>
      <c r="P8" s="2">
        <f t="shared" ref="P8:Q8" si="16">G8/$F8</f>
        <v>1</v>
      </c>
      <c r="Q8" s="2">
        <f t="shared" si="16"/>
        <v>0.91666666666666663</v>
      </c>
      <c r="R8" s="2">
        <f t="shared" si="2"/>
        <v>0.75</v>
      </c>
      <c r="S8" s="2">
        <f t="shared" si="3"/>
        <v>0.58333333333333337</v>
      </c>
      <c r="T8" s="3">
        <f t="shared" si="4"/>
        <v>0.24761904761904763</v>
      </c>
      <c r="U8" s="3">
        <f t="shared" si="5"/>
        <v>0.89655172413793105</v>
      </c>
      <c r="V8" s="2">
        <f t="shared" si="6"/>
        <v>0.62068965517241381</v>
      </c>
    </row>
    <row r="9" spans="1:22" ht="15.75" customHeight="1">
      <c r="A9" s="1" t="s">
        <v>25</v>
      </c>
      <c r="B9" s="1">
        <f>July!C36</f>
        <v>192</v>
      </c>
      <c r="C9" s="1">
        <f>July!D36</f>
        <v>42</v>
      </c>
      <c r="D9" s="1">
        <f>July!E36</f>
        <v>36</v>
      </c>
      <c r="E9" s="1">
        <f>July!F36</f>
        <v>30</v>
      </c>
      <c r="F9" s="1">
        <f>July!G36</f>
        <v>17</v>
      </c>
      <c r="G9" s="1">
        <f>July!H36</f>
        <v>14</v>
      </c>
      <c r="H9" s="1">
        <f>July!I36</f>
        <v>13</v>
      </c>
      <c r="I9" s="1">
        <f>July!J36</f>
        <v>12</v>
      </c>
      <c r="J9" s="1">
        <f>July!K36</f>
        <v>10</v>
      </c>
      <c r="K9" s="1">
        <f>July!L36</f>
        <v>33</v>
      </c>
      <c r="M9" s="2">
        <f t="shared" ref="M9:O9" si="17">F9/$K9</f>
        <v>0.51515151515151514</v>
      </c>
      <c r="N9" s="2">
        <f t="shared" si="17"/>
        <v>0.42424242424242425</v>
      </c>
      <c r="O9" s="2">
        <f t="shared" si="17"/>
        <v>0.39393939393939392</v>
      </c>
      <c r="P9" s="2">
        <f t="shared" ref="P9:Q9" si="18">G9/$F9</f>
        <v>0.82352941176470584</v>
      </c>
      <c r="Q9" s="2">
        <f t="shared" si="18"/>
        <v>0.76470588235294112</v>
      </c>
      <c r="R9" s="2">
        <f t="shared" si="2"/>
        <v>0.70588235294117652</v>
      </c>
      <c r="S9" s="2">
        <f t="shared" si="3"/>
        <v>0.58823529411764708</v>
      </c>
      <c r="T9" s="3">
        <f t="shared" si="4"/>
        <v>0.1875</v>
      </c>
      <c r="U9" s="3">
        <f t="shared" si="5"/>
        <v>0.8571428571428571</v>
      </c>
      <c r="V9" s="2">
        <f t="shared" si="6"/>
        <v>0.7142857142857143</v>
      </c>
    </row>
    <row r="10" spans="1:22" ht="15.75" customHeight="1">
      <c r="A10" s="1" t="s">
        <v>26</v>
      </c>
      <c r="B10" s="1">
        <f>August!C19</f>
        <v>90</v>
      </c>
      <c r="C10" s="1">
        <f>August!D19</f>
        <v>23</v>
      </c>
      <c r="D10" s="1">
        <f>August!E19</f>
        <v>14</v>
      </c>
      <c r="E10" s="1">
        <f>August!F19</f>
        <v>13</v>
      </c>
      <c r="F10" s="1">
        <f>August!G19</f>
        <v>11</v>
      </c>
      <c r="G10" s="1">
        <f>August!H19</f>
        <v>9</v>
      </c>
      <c r="H10" s="1">
        <f>August!I19</f>
        <v>7</v>
      </c>
      <c r="I10" s="1">
        <f>August!J19</f>
        <v>9</v>
      </c>
      <c r="J10" s="1">
        <f>August!K19</f>
        <v>7</v>
      </c>
      <c r="K10" s="1">
        <f>August!L19</f>
        <v>16</v>
      </c>
      <c r="M10" s="2">
        <f t="shared" ref="M10:O10" si="19">F10/$K10</f>
        <v>0.6875</v>
      </c>
      <c r="N10" s="2">
        <f t="shared" si="19"/>
        <v>0.5625</v>
      </c>
      <c r="O10" s="2">
        <f t="shared" si="19"/>
        <v>0.4375</v>
      </c>
      <c r="P10" s="2">
        <f t="shared" ref="P10:Q10" si="20">G10/$F10</f>
        <v>0.81818181818181823</v>
      </c>
      <c r="Q10" s="2">
        <f t="shared" si="20"/>
        <v>0.63636363636363635</v>
      </c>
      <c r="R10" s="2">
        <f t="shared" si="2"/>
        <v>0.81818181818181823</v>
      </c>
      <c r="S10" s="2">
        <f t="shared" si="3"/>
        <v>0.63636363636363635</v>
      </c>
      <c r="T10" s="3">
        <f t="shared" si="4"/>
        <v>0.15555555555555556</v>
      </c>
      <c r="U10" s="3">
        <f t="shared" si="5"/>
        <v>0.60869565217391308</v>
      </c>
      <c r="V10" s="2">
        <f t="shared" si="6"/>
        <v>0.56521739130434778</v>
      </c>
    </row>
    <row r="11" spans="1:22" ht="15.75" customHeight="1">
      <c r="A11" s="1" t="s">
        <v>27</v>
      </c>
      <c r="B11" s="1">
        <f>September!C23</f>
        <v>100</v>
      </c>
      <c r="C11" s="1">
        <f>September!D23</f>
        <v>23</v>
      </c>
      <c r="D11" s="1">
        <f>September!E23</f>
        <v>8</v>
      </c>
      <c r="E11" s="1">
        <f>September!F23</f>
        <v>6</v>
      </c>
      <c r="F11" s="1">
        <f>September!G23</f>
        <v>10</v>
      </c>
      <c r="G11" s="1">
        <f>September!H23</f>
        <v>5</v>
      </c>
      <c r="H11" s="1">
        <f>September!I23</f>
        <v>4</v>
      </c>
      <c r="I11" s="1">
        <f>September!J23</f>
        <v>4</v>
      </c>
      <c r="J11" s="1">
        <f>September!K23</f>
        <v>2</v>
      </c>
      <c r="K11" s="1">
        <f>September!L23</f>
        <v>20</v>
      </c>
      <c r="M11" s="2">
        <f t="shared" ref="M11:O11" si="21">F11/$K11</f>
        <v>0.5</v>
      </c>
      <c r="N11" s="2">
        <f t="shared" si="21"/>
        <v>0.25</v>
      </c>
      <c r="O11" s="2">
        <f t="shared" si="21"/>
        <v>0.2</v>
      </c>
      <c r="P11" s="2">
        <f t="shared" ref="P11:Q11" si="22">G11/$F11</f>
        <v>0.5</v>
      </c>
      <c r="Q11" s="2">
        <f t="shared" si="22"/>
        <v>0.4</v>
      </c>
      <c r="R11" s="2">
        <f t="shared" si="2"/>
        <v>0.4</v>
      </c>
      <c r="S11" s="2">
        <f t="shared" si="3"/>
        <v>0.2</v>
      </c>
      <c r="T11" s="3">
        <f t="shared" si="4"/>
        <v>0.08</v>
      </c>
      <c r="U11" s="3">
        <f t="shared" si="5"/>
        <v>0.34782608695652173</v>
      </c>
      <c r="V11" s="2">
        <f t="shared" si="6"/>
        <v>0.2608695652173913</v>
      </c>
    </row>
    <row r="12" spans="1:22" ht="15.75" customHeight="1">
      <c r="A12" s="1" t="s">
        <v>28</v>
      </c>
      <c r="B12" s="1">
        <f>October!C23</f>
        <v>93</v>
      </c>
      <c r="C12" s="1">
        <f>October!D23</f>
        <v>33</v>
      </c>
      <c r="D12" s="1">
        <f>October!E23</f>
        <v>23</v>
      </c>
      <c r="E12" s="1">
        <f>October!F23</f>
        <v>11</v>
      </c>
      <c r="F12" s="1">
        <f>October!G23</f>
        <v>15</v>
      </c>
      <c r="G12" s="1">
        <f>October!H23</f>
        <v>10</v>
      </c>
      <c r="H12" s="1">
        <f>October!I23</f>
        <v>9</v>
      </c>
      <c r="I12" s="1">
        <f>October!J23</f>
        <v>6</v>
      </c>
      <c r="J12" s="1">
        <f>October!K23</f>
        <v>6</v>
      </c>
      <c r="K12" s="1">
        <f>October!L23</f>
        <v>20</v>
      </c>
      <c r="M12" s="2">
        <f t="shared" ref="M12:O12" si="23">F12/$K12</f>
        <v>0.75</v>
      </c>
      <c r="N12" s="2">
        <f t="shared" si="23"/>
        <v>0.5</v>
      </c>
      <c r="O12" s="2">
        <f t="shared" si="23"/>
        <v>0.45</v>
      </c>
      <c r="P12" s="2">
        <f t="shared" ref="P12:Q12" si="24">G12/$F12</f>
        <v>0.66666666666666663</v>
      </c>
      <c r="Q12" s="2">
        <f t="shared" si="24"/>
        <v>0.6</v>
      </c>
      <c r="R12" s="2">
        <f t="shared" si="2"/>
        <v>0.4</v>
      </c>
      <c r="S12" s="2">
        <f t="shared" si="3"/>
        <v>0.4</v>
      </c>
      <c r="T12" s="3">
        <f t="shared" si="4"/>
        <v>0.24731182795698925</v>
      </c>
      <c r="U12" s="3">
        <f t="shared" si="5"/>
        <v>0.69696969696969702</v>
      </c>
      <c r="V12" s="2">
        <f t="shared" si="6"/>
        <v>0.33333333333333331</v>
      </c>
    </row>
    <row r="13" spans="1:22" ht="15.75" customHeight="1">
      <c r="A13" s="1" t="s">
        <v>29</v>
      </c>
      <c r="B13" s="1">
        <f>November!C23</f>
        <v>114</v>
      </c>
      <c r="C13" s="1">
        <f>November!D23</f>
        <v>27</v>
      </c>
      <c r="D13" s="1">
        <f>November!E23</f>
        <v>19</v>
      </c>
      <c r="E13" s="1">
        <f>November!F23</f>
        <v>6</v>
      </c>
      <c r="F13" s="1">
        <f>November!G23</f>
        <v>13</v>
      </c>
      <c r="G13" s="1">
        <f>November!H23</f>
        <v>9</v>
      </c>
      <c r="H13" s="1">
        <f>November!I23</f>
        <v>8</v>
      </c>
      <c r="I13" s="1">
        <f>November!J23</f>
        <v>4</v>
      </c>
      <c r="J13" s="1">
        <f>November!K23</f>
        <v>4</v>
      </c>
      <c r="K13" s="1">
        <f>November!L23</f>
        <v>20</v>
      </c>
      <c r="M13" s="2">
        <f t="shared" ref="M13:O13" si="25">F13/$K13</f>
        <v>0.65</v>
      </c>
      <c r="N13" s="2">
        <f t="shared" si="25"/>
        <v>0.45</v>
      </c>
      <c r="O13" s="2">
        <f t="shared" si="25"/>
        <v>0.4</v>
      </c>
      <c r="P13" s="2">
        <f t="shared" ref="P13:Q13" si="26">G13/$F13</f>
        <v>0.69230769230769229</v>
      </c>
      <c r="Q13" s="2">
        <f t="shared" si="26"/>
        <v>0.61538461538461542</v>
      </c>
      <c r="R13" s="2">
        <f t="shared" si="2"/>
        <v>0.30769230769230771</v>
      </c>
      <c r="S13" s="2">
        <f t="shared" si="3"/>
        <v>0.30769230769230771</v>
      </c>
      <c r="T13" s="3">
        <f t="shared" si="4"/>
        <v>0.16666666666666666</v>
      </c>
      <c r="U13" s="3">
        <f t="shared" si="5"/>
        <v>0.70370370370370372</v>
      </c>
      <c r="V13" s="2">
        <f t="shared" si="6"/>
        <v>0.22222222222222221</v>
      </c>
    </row>
    <row r="14" spans="1:22" ht="15.75" customHeight="1">
      <c r="A14" s="1" t="s">
        <v>30</v>
      </c>
      <c r="B14" s="1">
        <f>December!C23</f>
        <v>106</v>
      </c>
      <c r="C14" s="1">
        <f>December!D23</f>
        <v>20</v>
      </c>
      <c r="D14" s="1">
        <f>December!E23</f>
        <v>9</v>
      </c>
      <c r="E14" s="1">
        <f>December!F23</f>
        <v>3</v>
      </c>
      <c r="F14" s="1">
        <f>December!G23</f>
        <v>12</v>
      </c>
      <c r="G14" s="1">
        <f>December!H23</f>
        <v>8</v>
      </c>
      <c r="H14" s="1">
        <f>December!I23</f>
        <v>5</v>
      </c>
      <c r="I14" s="1">
        <f>December!J23</f>
        <v>3</v>
      </c>
      <c r="J14" s="1">
        <f>December!K23</f>
        <v>2</v>
      </c>
      <c r="K14" s="1">
        <f>December!L23</f>
        <v>20</v>
      </c>
      <c r="M14" s="2">
        <f t="shared" ref="M14:O14" si="27">F14/$K14</f>
        <v>0.6</v>
      </c>
      <c r="N14" s="2">
        <f t="shared" si="27"/>
        <v>0.4</v>
      </c>
      <c r="O14" s="2">
        <f t="shared" si="27"/>
        <v>0.25</v>
      </c>
      <c r="P14" s="2">
        <f t="shared" ref="P14:Q14" si="28">G14/$F14</f>
        <v>0.66666666666666663</v>
      </c>
      <c r="Q14" s="2">
        <f t="shared" si="28"/>
        <v>0.41666666666666669</v>
      </c>
      <c r="R14" s="2">
        <f t="shared" si="2"/>
        <v>0.25</v>
      </c>
      <c r="S14" s="2">
        <f t="shared" si="3"/>
        <v>0.16666666666666666</v>
      </c>
      <c r="T14" s="3">
        <f t="shared" si="4"/>
        <v>8.4905660377358486E-2</v>
      </c>
      <c r="U14" s="3">
        <f t="shared" si="5"/>
        <v>0.45</v>
      </c>
      <c r="V14" s="2">
        <f t="shared" si="6"/>
        <v>0.15</v>
      </c>
    </row>
    <row r="15" spans="1:22" ht="15.75" customHeight="1">
      <c r="A15" s="1" t="s">
        <v>31</v>
      </c>
      <c r="B15" s="1">
        <f t="shared" ref="B15:K15" si="29">SUM(B3:B14)</f>
        <v>1266</v>
      </c>
      <c r="C15" s="1">
        <f t="shared" si="29"/>
        <v>285</v>
      </c>
      <c r="D15" s="1">
        <f t="shared" si="29"/>
        <v>187</v>
      </c>
      <c r="E15" s="1">
        <f t="shared" si="29"/>
        <v>115</v>
      </c>
      <c r="F15" s="1">
        <f t="shared" si="29"/>
        <v>136</v>
      </c>
      <c r="G15" s="1">
        <f t="shared" si="29"/>
        <v>97</v>
      </c>
      <c r="H15" s="1">
        <f t="shared" si="29"/>
        <v>80</v>
      </c>
      <c r="I15" s="1">
        <f t="shared" si="29"/>
        <v>62</v>
      </c>
      <c r="J15" s="1">
        <f t="shared" si="29"/>
        <v>45</v>
      </c>
      <c r="K15" s="1">
        <f t="shared" si="29"/>
        <v>242</v>
      </c>
      <c r="M15" s="2">
        <f t="shared" ref="M15:O15" si="30">F15/$K15</f>
        <v>0.56198347107438018</v>
      </c>
      <c r="N15" s="2">
        <f t="shared" si="30"/>
        <v>0.40082644628099173</v>
      </c>
      <c r="O15" s="2">
        <f t="shared" si="30"/>
        <v>0.33057851239669422</v>
      </c>
      <c r="P15" s="2">
        <f t="shared" ref="P15:Q15" si="31">G15/$F15</f>
        <v>0.71323529411764708</v>
      </c>
      <c r="Q15" s="2">
        <f t="shared" si="31"/>
        <v>0.58823529411764708</v>
      </c>
      <c r="R15" s="2">
        <f t="shared" si="2"/>
        <v>0.45588235294117646</v>
      </c>
      <c r="S15" s="2">
        <f t="shared" si="3"/>
        <v>0.33088235294117646</v>
      </c>
      <c r="T15" s="3">
        <f t="shared" si="4"/>
        <v>0.14770932069510267</v>
      </c>
      <c r="U15" s="3">
        <f t="shared" si="5"/>
        <v>0.65614035087719302</v>
      </c>
      <c r="V15" s="2">
        <f t="shared" si="6"/>
        <v>0.40350877192982454</v>
      </c>
    </row>
    <row r="17" spans="2:2" ht="15.75" customHeight="1">
      <c r="B17" s="1">
        <f>December!C23</f>
        <v>106</v>
      </c>
    </row>
  </sheetData>
  <mergeCells count="4">
    <mergeCell ref="B1:E1"/>
    <mergeCell ref="F1:K1"/>
    <mergeCell ref="M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5"/>
  <sheetViews>
    <sheetView workbookViewId="0">
      <selection activeCell="A22" sqref="A22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5" t="s">
        <v>43</v>
      </c>
      <c r="B3" s="1"/>
      <c r="C3" s="1">
        <v>4</v>
      </c>
      <c r="D3" s="1">
        <v>1</v>
      </c>
      <c r="E3" s="1">
        <v>0</v>
      </c>
      <c r="F3" s="1">
        <v>0</v>
      </c>
      <c r="G3" s="1" t="b">
        <f>D3&gt;0</f>
        <v>1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44</v>
      </c>
      <c r="B4" s="1"/>
      <c r="C4" s="1">
        <v>4</v>
      </c>
      <c r="D4" s="1">
        <v>3</v>
      </c>
      <c r="E4" s="1">
        <v>0</v>
      </c>
      <c r="F4" s="1">
        <v>0</v>
      </c>
      <c r="G4" s="1" t="b">
        <f t="shared" ref="G4:G21" si="0">D4&gt;0</f>
        <v>1</v>
      </c>
      <c r="H4" s="1" t="b">
        <f t="shared" ref="H4:H21" si="1">E4&gt;0</f>
        <v>0</v>
      </c>
      <c r="I4" s="1" t="b">
        <f t="shared" ref="I4:I21" si="2">AND(G4,(D4=E4))</f>
        <v>0</v>
      </c>
      <c r="J4" s="1" t="b">
        <f t="shared" ref="J4:J21" si="3">(F4&gt;0)</f>
        <v>0</v>
      </c>
      <c r="K4" s="1" t="b">
        <f t="shared" ref="K4:K21" si="4">AND(I4,(E4=F4))</f>
        <v>0</v>
      </c>
    </row>
    <row r="5" spans="1:11" ht="15.75" customHeight="1">
      <c r="A5" s="5" t="s">
        <v>45</v>
      </c>
      <c r="B5" s="1"/>
      <c r="C5" s="1">
        <v>5</v>
      </c>
      <c r="D5" s="1">
        <v>1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46</v>
      </c>
      <c r="B6" s="1"/>
      <c r="C6" s="1">
        <v>6</v>
      </c>
      <c r="D6" s="1">
        <v>2</v>
      </c>
      <c r="E6" s="1">
        <v>1</v>
      </c>
      <c r="F6" s="1">
        <v>0</v>
      </c>
      <c r="G6" s="1" t="b">
        <f t="shared" si="0"/>
        <v>1</v>
      </c>
      <c r="H6" s="1" t="b">
        <f t="shared" si="1"/>
        <v>1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5" t="s">
        <v>47</v>
      </c>
      <c r="B7" s="1"/>
      <c r="C7" s="1">
        <v>4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5" t="s">
        <v>48</v>
      </c>
      <c r="B8" s="1"/>
      <c r="C8" s="1">
        <v>5</v>
      </c>
      <c r="D8" s="1">
        <v>1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5" t="s">
        <v>49</v>
      </c>
      <c r="B9" s="1"/>
      <c r="C9" s="1">
        <v>6</v>
      </c>
      <c r="D9" s="1">
        <v>1</v>
      </c>
      <c r="E9" s="1">
        <v>1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5" t="s">
        <v>50</v>
      </c>
      <c r="B10" s="1"/>
      <c r="C10" s="1">
        <v>4</v>
      </c>
      <c r="D10" s="1">
        <v>1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51</v>
      </c>
      <c r="B11" s="1"/>
      <c r="C11" s="1">
        <v>5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5" t="s">
        <v>52</v>
      </c>
      <c r="B12" s="1"/>
      <c r="C12" s="1">
        <v>5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5" t="s">
        <v>53</v>
      </c>
      <c r="B13" s="1"/>
      <c r="C13" s="1">
        <v>6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5" t="s">
        <v>54</v>
      </c>
      <c r="B14" s="1"/>
      <c r="C14" s="1">
        <v>6</v>
      </c>
      <c r="D14" s="1">
        <v>3</v>
      </c>
      <c r="E14" s="1">
        <v>2</v>
      </c>
      <c r="F14" s="1">
        <v>2</v>
      </c>
      <c r="G14" s="1" t="b">
        <f t="shared" si="0"/>
        <v>1</v>
      </c>
      <c r="H14" s="1" t="b">
        <f t="shared" si="1"/>
        <v>1</v>
      </c>
      <c r="I14" s="1" t="b">
        <f t="shared" si="2"/>
        <v>0</v>
      </c>
      <c r="J14" s="1" t="b">
        <f t="shared" si="3"/>
        <v>1</v>
      </c>
      <c r="K14" s="1" t="b">
        <f t="shared" si="4"/>
        <v>0</v>
      </c>
    </row>
    <row r="15" spans="1:11" ht="15.75" customHeight="1">
      <c r="A15" s="5" t="s">
        <v>55</v>
      </c>
      <c r="B15" s="1"/>
      <c r="C15" s="1">
        <v>6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56</v>
      </c>
      <c r="B16" s="1"/>
      <c r="C16" s="1">
        <v>6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57</v>
      </c>
      <c r="B17" s="1"/>
      <c r="C17" s="1">
        <v>6</v>
      </c>
      <c r="D17" s="1">
        <v>5</v>
      </c>
      <c r="E17" s="1">
        <v>5</v>
      </c>
      <c r="F17" s="1">
        <v>2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0</v>
      </c>
    </row>
    <row r="18" spans="1:12" ht="15.75" customHeight="1">
      <c r="A18" s="5" t="s">
        <v>58</v>
      </c>
      <c r="B18" s="1"/>
      <c r="C18" s="1">
        <v>5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5" t="s">
        <v>59</v>
      </c>
      <c r="B19" s="1"/>
      <c r="C19" s="1">
        <v>8</v>
      </c>
      <c r="D19" s="1">
        <v>3</v>
      </c>
      <c r="E19" s="1">
        <v>3</v>
      </c>
      <c r="F19" s="1">
        <v>3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2" ht="15.75" customHeight="1">
      <c r="A20" s="5" t="s">
        <v>60</v>
      </c>
      <c r="B20" s="1"/>
      <c r="C20" s="1">
        <v>5</v>
      </c>
      <c r="D20" s="1">
        <v>2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5" t="s">
        <v>61</v>
      </c>
      <c r="B21" s="1"/>
      <c r="C21" s="1">
        <v>3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B22" s="1" t="s">
        <v>62</v>
      </c>
      <c r="C22" s="1">
        <f>SUM(C2:C21)</f>
        <v>99</v>
      </c>
      <c r="D22" s="1">
        <f>SUM(D2:D21)</f>
        <v>23</v>
      </c>
      <c r="E22" s="1">
        <f>SUM(E2:E21)</f>
        <v>13</v>
      </c>
      <c r="F22" s="1">
        <f>SUM(F2:F21)</f>
        <v>9</v>
      </c>
      <c r="G22" s="1">
        <f>COUNTIF(G3:G21,"TRUE")</f>
        <v>11</v>
      </c>
      <c r="H22" s="1">
        <f>COUNTIF(H3:H21,"TRUE")</f>
        <v>6</v>
      </c>
      <c r="I22" s="1">
        <f>COUNTIF(I3:I21,"TRUE")</f>
        <v>4</v>
      </c>
      <c r="J22" s="1">
        <f>COUNTIF(J3:J21,"TRUE")</f>
        <v>5</v>
      </c>
      <c r="K22" s="1">
        <f>COUNTIF(K3:K21,"TRUE")</f>
        <v>3</v>
      </c>
      <c r="L22" s="7">
        <f>COUNTA(E3:E21)</f>
        <v>19</v>
      </c>
    </row>
    <row r="23" spans="1:12" ht="15.75" customHeight="1">
      <c r="E23" s="1" t="s">
        <v>3</v>
      </c>
      <c r="F23" s="2"/>
      <c r="G23" s="2">
        <f>G22/L22</f>
        <v>0.57894736842105265</v>
      </c>
      <c r="H23" s="2">
        <f>H22/L22</f>
        <v>0.31578947368421051</v>
      </c>
      <c r="I23" s="2">
        <f>I22/L22</f>
        <v>0.21052631578947367</v>
      </c>
      <c r="J23" s="2">
        <f>J22/L22</f>
        <v>0.26315789473684209</v>
      </c>
      <c r="K23" s="2">
        <f>K22/L22</f>
        <v>0.15789473684210525</v>
      </c>
    </row>
    <row r="24" spans="1:12" ht="15.75" customHeight="1">
      <c r="E24" s="1" t="s">
        <v>63</v>
      </c>
      <c r="F24" s="2"/>
      <c r="G24" s="2"/>
      <c r="H24" s="2">
        <f>H22/G22</f>
        <v>0.54545454545454541</v>
      </c>
      <c r="I24" s="2">
        <f>I22/G22</f>
        <v>0.36363636363636365</v>
      </c>
      <c r="J24" s="2">
        <f>J22/G22</f>
        <v>0.45454545454545453</v>
      </c>
      <c r="K24" s="2">
        <f>K22/G22</f>
        <v>0.27272727272727271</v>
      </c>
    </row>
    <row r="25" spans="1:12" ht="15.75" customHeight="1">
      <c r="E25" s="1" t="s">
        <v>64</v>
      </c>
      <c r="F25" s="2"/>
      <c r="G25" s="2">
        <f>E22/C22</f>
        <v>0.13131313131313133</v>
      </c>
      <c r="H25" s="2">
        <f>E22/D22</f>
        <v>0.56521739130434778</v>
      </c>
    </row>
  </sheetData>
  <hyperlinks>
    <hyperlink ref="E1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7"/>
  <sheetViews>
    <sheetView workbookViewId="0">
      <selection activeCell="A24" sqref="A24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5" t="s">
        <v>65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66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23" si="0">D4&gt;0</f>
        <v>0</v>
      </c>
      <c r="H4" s="1" t="b">
        <f t="shared" ref="H4:H23" si="1">E4&gt;0</f>
        <v>0</v>
      </c>
      <c r="I4" s="1" t="b">
        <f t="shared" ref="I4:I23" si="2">AND(G4,(D4=E4))</f>
        <v>0</v>
      </c>
      <c r="J4" s="1" t="b">
        <f t="shared" ref="J4:J23" si="3">(F4&gt;0)</f>
        <v>0</v>
      </c>
      <c r="K4" s="1" t="b">
        <f t="shared" ref="K4:K23" si="4">AND(I4,(E4=F4))</f>
        <v>0</v>
      </c>
    </row>
    <row r="5" spans="1:11" ht="15.75" customHeight="1">
      <c r="A5" s="5" t="s">
        <v>67</v>
      </c>
      <c r="B5" s="1"/>
      <c r="C5" s="1">
        <v>3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68</v>
      </c>
      <c r="B6" s="1"/>
      <c r="C6" s="1">
        <v>2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5" t="s">
        <v>69</v>
      </c>
      <c r="B7" s="1"/>
      <c r="C7" s="1">
        <v>5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5" t="s">
        <v>70</v>
      </c>
      <c r="B8" s="1"/>
      <c r="C8" s="1">
        <v>3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5" t="s">
        <v>71</v>
      </c>
      <c r="B9" s="1"/>
      <c r="C9" s="1">
        <v>5</v>
      </c>
      <c r="D9" s="1">
        <v>1</v>
      </c>
      <c r="E9" s="1">
        <v>1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5" t="s">
        <v>72</v>
      </c>
      <c r="B10" s="1"/>
      <c r="C10" s="1">
        <v>5</v>
      </c>
      <c r="D10" s="1">
        <v>1</v>
      </c>
      <c r="E10" s="1">
        <v>1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73</v>
      </c>
      <c r="B11" s="1"/>
      <c r="C11" s="1">
        <v>8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5" t="s">
        <v>74</v>
      </c>
      <c r="B12" s="1"/>
      <c r="C12" s="1">
        <v>7</v>
      </c>
      <c r="D12" s="1">
        <v>5</v>
      </c>
      <c r="E12" s="1">
        <v>5</v>
      </c>
      <c r="F12" s="1">
        <v>4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0</v>
      </c>
    </row>
    <row r="13" spans="1:11" ht="15.75" customHeight="1">
      <c r="A13" s="5" t="s">
        <v>75</v>
      </c>
      <c r="B13" s="1"/>
      <c r="C13" s="1">
        <v>5</v>
      </c>
      <c r="D13" s="1">
        <v>1</v>
      </c>
      <c r="E13" s="1">
        <v>1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5" t="s">
        <v>76</v>
      </c>
      <c r="B14" s="1"/>
      <c r="C14" s="1">
        <v>5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5" t="s">
        <v>77</v>
      </c>
      <c r="B15" s="1"/>
      <c r="C15" s="1">
        <v>8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78</v>
      </c>
      <c r="B16" s="1"/>
      <c r="C16" s="1">
        <v>5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79</v>
      </c>
      <c r="B17" s="1"/>
      <c r="C17" s="1">
        <v>5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80</v>
      </c>
      <c r="B18" s="1"/>
      <c r="C18" s="1">
        <v>2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5" t="s">
        <v>81</v>
      </c>
      <c r="B19" s="1"/>
      <c r="C19" s="1">
        <v>5</v>
      </c>
      <c r="D19" s="1">
        <v>1</v>
      </c>
      <c r="E19" s="1">
        <v>1</v>
      </c>
      <c r="F19" s="1">
        <v>0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5" t="s">
        <v>82</v>
      </c>
      <c r="B20" s="1"/>
      <c r="C20" s="1">
        <v>7</v>
      </c>
      <c r="D20" s="1">
        <v>1</v>
      </c>
      <c r="E20" s="1">
        <v>1</v>
      </c>
      <c r="F20" s="1">
        <v>1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2" ht="15.75" customHeight="1">
      <c r="A21" s="5" t="s">
        <v>83</v>
      </c>
      <c r="B21" s="1"/>
      <c r="C21" s="1">
        <v>5</v>
      </c>
      <c r="D21" s="1">
        <v>1</v>
      </c>
      <c r="E21" s="1">
        <v>0</v>
      </c>
      <c r="F21" s="1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5" t="s">
        <v>84</v>
      </c>
      <c r="B22" s="1"/>
      <c r="C22" s="1">
        <v>5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5" t="s">
        <v>85</v>
      </c>
      <c r="B23" s="1"/>
      <c r="C23" s="1">
        <v>2</v>
      </c>
      <c r="D23" s="1">
        <v>1</v>
      </c>
      <c r="E23" s="1">
        <v>1</v>
      </c>
      <c r="F23" s="1">
        <v>0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0</v>
      </c>
      <c r="K23" s="1" t="b">
        <f t="shared" si="4"/>
        <v>0</v>
      </c>
    </row>
    <row r="24" spans="1:12" ht="15.75" customHeight="1">
      <c r="B24" s="1" t="s">
        <v>62</v>
      </c>
      <c r="C24" s="1">
        <f>SUM(C2:C23)</f>
        <v>100</v>
      </c>
      <c r="D24" s="1">
        <f>SUM(D2:D23)</f>
        <v>12</v>
      </c>
      <c r="E24" s="1">
        <f>SUM(E2:E23)</f>
        <v>11</v>
      </c>
      <c r="F24" s="1">
        <f>SUM(F2:F23)</f>
        <v>5</v>
      </c>
      <c r="G24" s="1">
        <f>COUNTIF(G3:G23,"TRUE")</f>
        <v>8</v>
      </c>
      <c r="H24" s="1">
        <f>COUNTIF(H3:H23,"TRUE")</f>
        <v>7</v>
      </c>
      <c r="I24" s="1">
        <f>COUNTIF(I3:I23,"TRUE")</f>
        <v>7</v>
      </c>
      <c r="J24" s="1">
        <f>COUNTIF(J3:J23,"TRUE")</f>
        <v>2</v>
      </c>
      <c r="K24" s="1">
        <f>COUNTIF(K3:K23,"TRUE")</f>
        <v>1</v>
      </c>
      <c r="L24" s="7">
        <f>COUNTA(E3:E23)</f>
        <v>21</v>
      </c>
    </row>
    <row r="25" spans="1:12" ht="15.75" customHeight="1">
      <c r="E25" s="1" t="s">
        <v>3</v>
      </c>
      <c r="F25" s="2"/>
      <c r="G25" s="2">
        <f>G24/L24</f>
        <v>0.38095238095238093</v>
      </c>
      <c r="H25" s="2">
        <f>H24/L24</f>
        <v>0.33333333333333331</v>
      </c>
      <c r="I25" s="2">
        <f>I24/L24</f>
        <v>0.33333333333333331</v>
      </c>
      <c r="J25" s="2">
        <f>J24/L24</f>
        <v>9.5238095238095233E-2</v>
      </c>
      <c r="K25" s="2">
        <f>K24/L24</f>
        <v>4.7619047619047616E-2</v>
      </c>
    </row>
    <row r="26" spans="1:12" ht="15.75" customHeight="1">
      <c r="E26" s="1" t="s">
        <v>63</v>
      </c>
      <c r="F26" s="2"/>
      <c r="G26" s="2"/>
      <c r="H26" s="2">
        <f>H24/G24</f>
        <v>0.875</v>
      </c>
      <c r="I26" s="2">
        <f>I24/G24</f>
        <v>0.875</v>
      </c>
      <c r="J26" s="2">
        <f>J24/G24</f>
        <v>0.25</v>
      </c>
      <c r="K26" s="2">
        <f>K24/G24</f>
        <v>0.125</v>
      </c>
    </row>
    <row r="27" spans="1:12" ht="15.75" customHeight="1">
      <c r="E27" s="1" t="s">
        <v>64</v>
      </c>
      <c r="F27" s="2"/>
      <c r="G27" s="2">
        <f>E24/C24</f>
        <v>0.11</v>
      </c>
      <c r="H27" s="2">
        <f>E24/D24</f>
        <v>0.91666666666666663</v>
      </c>
    </row>
  </sheetData>
  <hyperlinks>
    <hyperlink ref="E1" r:id="rId1" xr:uid="{00000000-0004-0000-0200-000000000000}"/>
    <hyperlink ref="A3" r:id="rId2" xr:uid="{00000000-0004-0000-0200-000001000000}"/>
    <hyperlink ref="A4" r:id="rId3" xr:uid="{00000000-0004-0000-0200-000002000000}"/>
    <hyperlink ref="A5" r:id="rId4" xr:uid="{00000000-0004-0000-0200-000003000000}"/>
    <hyperlink ref="A6" r:id="rId5" xr:uid="{00000000-0004-0000-0200-000004000000}"/>
    <hyperlink ref="A7" r:id="rId6" xr:uid="{00000000-0004-0000-0200-000005000000}"/>
    <hyperlink ref="A8" r:id="rId7" xr:uid="{00000000-0004-0000-0200-000006000000}"/>
    <hyperlink ref="A9" r:id="rId8" xr:uid="{00000000-0004-0000-0200-000007000000}"/>
    <hyperlink ref="A10" r:id="rId9" xr:uid="{00000000-0004-0000-0200-000008000000}"/>
    <hyperlink ref="A11" r:id="rId10" xr:uid="{00000000-0004-0000-0200-000009000000}"/>
    <hyperlink ref="A12" r:id="rId11" xr:uid="{00000000-0004-0000-0200-00000A000000}"/>
    <hyperlink ref="A13" r:id="rId12" xr:uid="{00000000-0004-0000-0200-00000B000000}"/>
    <hyperlink ref="A14" r:id="rId13" xr:uid="{00000000-0004-0000-0200-00000C000000}"/>
    <hyperlink ref="A15" r:id="rId14" xr:uid="{00000000-0004-0000-0200-00000D000000}"/>
    <hyperlink ref="A16" r:id="rId15" xr:uid="{00000000-0004-0000-0200-00000E000000}"/>
    <hyperlink ref="A17" r:id="rId16" xr:uid="{00000000-0004-0000-0200-00000F000000}"/>
    <hyperlink ref="A18" r:id="rId17" xr:uid="{00000000-0004-0000-0200-000010000000}"/>
    <hyperlink ref="A19" r:id="rId18" xr:uid="{00000000-0004-0000-0200-000011000000}"/>
    <hyperlink ref="A20" r:id="rId19" xr:uid="{00000000-0004-0000-0200-000012000000}"/>
    <hyperlink ref="A21" r:id="rId20" xr:uid="{00000000-0004-0000-0200-000013000000}"/>
    <hyperlink ref="A22" r:id="rId21" xr:uid="{00000000-0004-0000-0200-000014000000}"/>
    <hyperlink ref="A23" r:id="rId22" xr:uid="{00000000-0004-0000-0200-000015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8"/>
  <sheetViews>
    <sheetView workbookViewId="0">
      <selection activeCell="A25" sqref="A25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5" t="s">
        <v>86</v>
      </c>
      <c r="B3" s="1"/>
      <c r="C3" s="1">
        <v>5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87</v>
      </c>
      <c r="B4" s="1"/>
      <c r="C4" s="1">
        <v>3</v>
      </c>
      <c r="D4" s="1">
        <v>0</v>
      </c>
      <c r="E4" s="1">
        <v>0</v>
      </c>
      <c r="F4" s="1">
        <v>0</v>
      </c>
      <c r="G4" s="1" t="b">
        <f t="shared" ref="G4:G24" si="0">D4&gt;0</f>
        <v>0</v>
      </c>
      <c r="H4" s="1" t="b">
        <f t="shared" ref="H4:H24" si="1">E4&gt;0</f>
        <v>0</v>
      </c>
      <c r="I4" s="1" t="b">
        <f t="shared" ref="I4:I24" si="2">AND(G4,(D4=E4))</f>
        <v>0</v>
      </c>
      <c r="J4" s="1" t="b">
        <f t="shared" ref="J4:J24" si="3">(F4&gt;0)</f>
        <v>0</v>
      </c>
      <c r="K4" s="1" t="b">
        <f t="shared" ref="K4:K24" si="4">AND(I4,(E4=F4))</f>
        <v>0</v>
      </c>
    </row>
    <row r="5" spans="1:11" ht="15.75" customHeight="1">
      <c r="A5" s="5" t="s">
        <v>88</v>
      </c>
      <c r="B5" s="1"/>
      <c r="C5" s="1">
        <v>4</v>
      </c>
      <c r="D5" s="1">
        <v>1</v>
      </c>
      <c r="E5" s="1">
        <v>1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89</v>
      </c>
      <c r="B6" s="1"/>
      <c r="C6" s="1">
        <v>3</v>
      </c>
      <c r="D6" s="1">
        <v>1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5" t="s">
        <v>90</v>
      </c>
      <c r="B7" s="1"/>
      <c r="C7" s="1">
        <v>4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5" t="s">
        <v>91</v>
      </c>
      <c r="B8" s="1"/>
      <c r="C8" s="1">
        <v>3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5" t="s">
        <v>92</v>
      </c>
      <c r="B9" s="1"/>
      <c r="C9" s="1">
        <v>6</v>
      </c>
      <c r="D9" s="1">
        <v>4</v>
      </c>
      <c r="E9" s="1">
        <v>2</v>
      </c>
      <c r="F9" s="1">
        <v>2</v>
      </c>
      <c r="G9" s="1" t="b">
        <f t="shared" si="0"/>
        <v>1</v>
      </c>
      <c r="H9" s="1" t="b">
        <f t="shared" si="1"/>
        <v>1</v>
      </c>
      <c r="I9" s="1" t="b">
        <f t="shared" si="2"/>
        <v>0</v>
      </c>
      <c r="J9" s="1" t="b">
        <f t="shared" si="3"/>
        <v>1</v>
      </c>
      <c r="K9" s="1" t="b">
        <f t="shared" si="4"/>
        <v>0</v>
      </c>
    </row>
    <row r="10" spans="1:11" ht="15.75" customHeight="1">
      <c r="A10" s="5" t="s">
        <v>93</v>
      </c>
      <c r="B10" s="1"/>
      <c r="C10" s="1">
        <v>3</v>
      </c>
      <c r="D10" s="1">
        <v>1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94</v>
      </c>
      <c r="B11" s="1"/>
      <c r="C11" s="1">
        <v>5</v>
      </c>
      <c r="D11" s="1">
        <v>2</v>
      </c>
      <c r="E11" s="1">
        <v>2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5" t="s">
        <v>95</v>
      </c>
      <c r="B12" s="1"/>
      <c r="C12" s="1">
        <v>6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5" t="s">
        <v>96</v>
      </c>
      <c r="B13" s="1"/>
      <c r="C13" s="1">
        <v>6</v>
      </c>
      <c r="D13" s="1">
        <v>4</v>
      </c>
      <c r="E13" s="1">
        <v>3</v>
      </c>
      <c r="F13" s="1">
        <v>1</v>
      </c>
      <c r="G13" s="1" t="b">
        <f t="shared" si="0"/>
        <v>1</v>
      </c>
      <c r="H13" s="1" t="b">
        <f t="shared" si="1"/>
        <v>1</v>
      </c>
      <c r="I13" s="1" t="b">
        <f t="shared" si="2"/>
        <v>0</v>
      </c>
      <c r="J13" s="1" t="b">
        <f t="shared" si="3"/>
        <v>1</v>
      </c>
      <c r="K13" s="1" t="b">
        <f t="shared" si="4"/>
        <v>0</v>
      </c>
    </row>
    <row r="14" spans="1:11" ht="15.75" customHeight="1">
      <c r="A14" s="5" t="s">
        <v>97</v>
      </c>
      <c r="B14" s="1"/>
      <c r="C14" s="1">
        <v>5</v>
      </c>
      <c r="D14" s="1">
        <v>1</v>
      </c>
      <c r="E14" s="1">
        <v>1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5" t="s">
        <v>98</v>
      </c>
      <c r="B15" s="1"/>
      <c r="C15" s="1">
        <v>5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99</v>
      </c>
      <c r="B16" s="1"/>
      <c r="C16" s="1">
        <v>6</v>
      </c>
      <c r="D16" s="1">
        <v>2</v>
      </c>
      <c r="E16" s="1">
        <v>0</v>
      </c>
      <c r="F16" s="1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100</v>
      </c>
      <c r="B17" s="1"/>
      <c r="C17" s="1">
        <v>6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101</v>
      </c>
      <c r="B18" s="1"/>
      <c r="C18" s="1">
        <v>4</v>
      </c>
      <c r="D18" s="1">
        <v>2</v>
      </c>
      <c r="E18" s="1">
        <v>2</v>
      </c>
      <c r="F18" s="1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5" t="s">
        <v>102</v>
      </c>
      <c r="B19" s="1"/>
      <c r="C19" s="1">
        <v>4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5" t="s">
        <v>103</v>
      </c>
      <c r="B20" s="1"/>
      <c r="C20" s="1">
        <v>4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5" t="s">
        <v>104</v>
      </c>
      <c r="B21" s="1"/>
      <c r="C21" s="1">
        <v>4</v>
      </c>
      <c r="D21" s="1">
        <v>4</v>
      </c>
      <c r="E21" s="1">
        <v>0</v>
      </c>
      <c r="F21" s="1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5" t="s">
        <v>105</v>
      </c>
      <c r="B22" s="1"/>
      <c r="C22" s="1">
        <v>6</v>
      </c>
      <c r="D22" s="1">
        <v>1</v>
      </c>
      <c r="E22" s="1">
        <v>1</v>
      </c>
      <c r="F22" s="1">
        <v>0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5" t="s">
        <v>106</v>
      </c>
      <c r="B23" s="1"/>
      <c r="C23" s="1">
        <v>6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5" t="s">
        <v>107</v>
      </c>
      <c r="B24" s="1"/>
      <c r="C24" s="1">
        <v>5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B25" s="1" t="s">
        <v>62</v>
      </c>
      <c r="C25" s="1">
        <f>SUM(C2:C24)</f>
        <v>103</v>
      </c>
      <c r="D25" s="1">
        <f>SUM(D2:D24)</f>
        <v>23</v>
      </c>
      <c r="E25" s="1">
        <f>SUM(E2:E24)</f>
        <v>12</v>
      </c>
      <c r="F25" s="1">
        <f>SUM(F2:F24)</f>
        <v>3</v>
      </c>
      <c r="G25" s="1">
        <f>COUNTIF(G3:G24,"TRUE")</f>
        <v>11</v>
      </c>
      <c r="H25" s="1">
        <f>COUNTIF(H3:H24,"TRUE")</f>
        <v>7</v>
      </c>
      <c r="I25" s="1">
        <f>COUNTIF(I3:I24,"TRUE")</f>
        <v>5</v>
      </c>
      <c r="J25" s="1">
        <f>COUNTIF(J3:J24,"TRUE")</f>
        <v>2</v>
      </c>
      <c r="K25" s="1">
        <f>COUNTIF(K3:K24,"TRUE")</f>
        <v>0</v>
      </c>
      <c r="L25" s="7">
        <f>COUNTA(E3:E24)</f>
        <v>22</v>
      </c>
    </row>
    <row r="26" spans="1:12" ht="15.75" customHeight="1">
      <c r="E26" s="1" t="s">
        <v>3</v>
      </c>
      <c r="F26" s="2"/>
      <c r="G26" s="2">
        <f>G25/L25</f>
        <v>0.5</v>
      </c>
      <c r="H26" s="2">
        <f>H25/L25</f>
        <v>0.31818181818181818</v>
      </c>
      <c r="I26" s="2">
        <f>I25/L25</f>
        <v>0.22727272727272727</v>
      </c>
      <c r="J26" s="2">
        <f>J25/L25</f>
        <v>9.0909090909090912E-2</v>
      </c>
      <c r="K26" s="2">
        <f>K25/L25</f>
        <v>0</v>
      </c>
    </row>
    <row r="27" spans="1:12" ht="15.75" customHeight="1">
      <c r="E27" s="1" t="s">
        <v>63</v>
      </c>
      <c r="F27" s="2"/>
      <c r="G27" s="2"/>
      <c r="H27" s="2">
        <f>H25/G25</f>
        <v>0.63636363636363635</v>
      </c>
      <c r="I27" s="2">
        <f>I25/G25</f>
        <v>0.45454545454545453</v>
      </c>
      <c r="J27" s="2">
        <f>J25/G25</f>
        <v>0.18181818181818182</v>
      </c>
      <c r="K27" s="2">
        <f>K25/G25</f>
        <v>0</v>
      </c>
    </row>
    <row r="28" spans="1:12" ht="15.75" customHeight="1">
      <c r="E28" s="1" t="s">
        <v>64</v>
      </c>
      <c r="F28" s="2"/>
      <c r="G28" s="2">
        <f>E25/C25</f>
        <v>0.11650485436893204</v>
      </c>
      <c r="H28" s="2">
        <f>E25/D25</f>
        <v>0.52173913043478259</v>
      </c>
    </row>
  </sheetData>
  <hyperlinks>
    <hyperlink ref="E1" r:id="rId1" xr:uid="{00000000-0004-0000-0300-000000000000}"/>
    <hyperlink ref="A3" r:id="rId2" xr:uid="{00000000-0004-0000-0300-000001000000}"/>
    <hyperlink ref="A4" r:id="rId3" xr:uid="{00000000-0004-0000-0300-000002000000}"/>
    <hyperlink ref="A5" r:id="rId4" xr:uid="{00000000-0004-0000-0300-000003000000}"/>
    <hyperlink ref="A6" r:id="rId5" xr:uid="{00000000-0004-0000-0300-000004000000}"/>
    <hyperlink ref="A7" r:id="rId6" xr:uid="{00000000-0004-0000-0300-000005000000}"/>
    <hyperlink ref="A8" r:id="rId7" xr:uid="{00000000-0004-0000-0300-000006000000}"/>
    <hyperlink ref="A9" r:id="rId8" xr:uid="{00000000-0004-0000-0300-000007000000}"/>
    <hyperlink ref="A10" r:id="rId9" xr:uid="{00000000-0004-0000-0300-000008000000}"/>
    <hyperlink ref="A11" r:id="rId10" xr:uid="{00000000-0004-0000-0300-000009000000}"/>
    <hyperlink ref="A12" r:id="rId11" xr:uid="{00000000-0004-0000-0300-00000A000000}"/>
    <hyperlink ref="A13" r:id="rId12" xr:uid="{00000000-0004-0000-0300-00000B000000}"/>
    <hyperlink ref="A14" r:id="rId13" xr:uid="{00000000-0004-0000-0300-00000C000000}"/>
    <hyperlink ref="A15" r:id="rId14" xr:uid="{00000000-0004-0000-0300-00000D000000}"/>
    <hyperlink ref="A16" r:id="rId15" xr:uid="{00000000-0004-0000-0300-00000E000000}"/>
    <hyperlink ref="A17" r:id="rId16" xr:uid="{00000000-0004-0000-0300-00000F000000}"/>
    <hyperlink ref="A18" r:id="rId17" xr:uid="{00000000-0004-0000-0300-000010000000}"/>
    <hyperlink ref="A19" r:id="rId18" xr:uid="{00000000-0004-0000-0300-000011000000}"/>
    <hyperlink ref="A20" r:id="rId19" xr:uid="{00000000-0004-0000-0300-000012000000}"/>
    <hyperlink ref="A21" r:id="rId20" xr:uid="{00000000-0004-0000-0300-000013000000}"/>
    <hyperlink ref="A22" r:id="rId21" xr:uid="{00000000-0004-0000-0300-000014000000}"/>
    <hyperlink ref="A23" r:id="rId22" xr:uid="{00000000-0004-0000-0300-000015000000}"/>
    <hyperlink ref="A24" r:id="rId23" xr:uid="{00000000-0004-0000-0300-000016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1"/>
  <sheetViews>
    <sheetView workbookViewId="0">
      <selection activeCell="A18" sqref="A18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5" t="s">
        <v>108</v>
      </c>
      <c r="B3" s="1"/>
      <c r="C3" s="1">
        <v>2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109</v>
      </c>
      <c r="B4" s="1"/>
      <c r="C4" s="1">
        <v>6</v>
      </c>
      <c r="D4" s="1">
        <v>1</v>
      </c>
      <c r="E4" s="1">
        <v>1</v>
      </c>
      <c r="F4" s="1">
        <v>0</v>
      </c>
      <c r="G4" s="1" t="b">
        <f t="shared" ref="G4:G17" si="0">D4&gt;0</f>
        <v>1</v>
      </c>
      <c r="H4" s="1" t="b">
        <f t="shared" ref="H4:H17" si="1">E4&gt;0</f>
        <v>1</v>
      </c>
      <c r="I4" s="1" t="b">
        <f t="shared" ref="I4:I17" si="2">AND(G4,(D4=E4))</f>
        <v>1</v>
      </c>
      <c r="J4" s="1" t="b">
        <f t="shared" ref="J4:J17" si="3">(F4&gt;0)</f>
        <v>0</v>
      </c>
      <c r="K4" s="1" t="b">
        <f t="shared" ref="K4:K17" si="4">AND(I4,(E4=F4))</f>
        <v>0</v>
      </c>
    </row>
    <row r="5" spans="1:11" ht="15.75" customHeight="1">
      <c r="A5" s="5" t="s">
        <v>110</v>
      </c>
      <c r="B5" s="1"/>
      <c r="C5" s="1">
        <v>5</v>
      </c>
      <c r="D5" s="1">
        <v>1</v>
      </c>
      <c r="E5" s="1">
        <v>1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111</v>
      </c>
      <c r="B6" s="1"/>
      <c r="C6" s="1">
        <v>8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5" t="s">
        <v>112</v>
      </c>
      <c r="B7" s="1"/>
      <c r="C7" s="1">
        <v>4</v>
      </c>
      <c r="D7" s="1">
        <v>4</v>
      </c>
      <c r="E7" s="1">
        <v>1</v>
      </c>
      <c r="F7" s="1">
        <v>1</v>
      </c>
      <c r="G7" s="1" t="b">
        <f t="shared" si="0"/>
        <v>1</v>
      </c>
      <c r="H7" s="1" t="b">
        <f t="shared" si="1"/>
        <v>1</v>
      </c>
      <c r="I7" s="1" t="b">
        <f t="shared" si="2"/>
        <v>0</v>
      </c>
      <c r="J7" s="1" t="b">
        <f t="shared" si="3"/>
        <v>1</v>
      </c>
      <c r="K7" s="1" t="b">
        <f t="shared" si="4"/>
        <v>0</v>
      </c>
    </row>
    <row r="8" spans="1:11" ht="15.75" customHeight="1">
      <c r="A8" s="5" t="s">
        <v>113</v>
      </c>
      <c r="B8" s="1"/>
      <c r="C8" s="1">
        <v>7</v>
      </c>
      <c r="D8" s="1">
        <v>2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5" t="s">
        <v>114</v>
      </c>
      <c r="B9" s="1"/>
      <c r="C9" s="1">
        <v>7</v>
      </c>
      <c r="D9" s="1">
        <v>1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5" t="s">
        <v>115</v>
      </c>
      <c r="B10" s="1"/>
      <c r="C10" s="1">
        <v>7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116</v>
      </c>
      <c r="B11" s="1"/>
      <c r="C11" s="1">
        <v>4</v>
      </c>
      <c r="D11" s="1">
        <v>1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5" t="s">
        <v>117</v>
      </c>
      <c r="B12" s="1"/>
      <c r="C12" s="1">
        <v>4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5" t="s">
        <v>118</v>
      </c>
      <c r="B13" s="1"/>
      <c r="C13" s="1">
        <v>5</v>
      </c>
      <c r="D13" s="1">
        <v>1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5" t="s">
        <v>119</v>
      </c>
      <c r="B14" s="1"/>
      <c r="C14" s="1">
        <v>5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5" t="s">
        <v>120</v>
      </c>
      <c r="B15" s="1"/>
      <c r="C15" s="1">
        <v>7</v>
      </c>
      <c r="D15" s="1">
        <v>2</v>
      </c>
      <c r="E15" s="1">
        <v>0</v>
      </c>
      <c r="F15" s="1">
        <v>0</v>
      </c>
      <c r="G15" s="1" t="b">
        <f t="shared" si="0"/>
        <v>1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121</v>
      </c>
      <c r="B16" s="1"/>
      <c r="C16" s="1">
        <v>8</v>
      </c>
      <c r="D16" s="1">
        <v>2</v>
      </c>
      <c r="E16" s="1">
        <v>2</v>
      </c>
      <c r="F16" s="1">
        <v>2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s="5" t="s">
        <v>122</v>
      </c>
      <c r="B17" s="1"/>
      <c r="C17" s="1">
        <v>2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B18" s="1" t="s">
        <v>62</v>
      </c>
      <c r="C18" s="1">
        <f>SUM(C2:C17)</f>
        <v>81</v>
      </c>
      <c r="D18" s="1">
        <f>SUM(D2:D17)</f>
        <v>15</v>
      </c>
      <c r="E18" s="1">
        <f>SUM(E2:E17)</f>
        <v>5</v>
      </c>
      <c r="F18" s="1">
        <f>SUM(F2:F17)</f>
        <v>3</v>
      </c>
      <c r="G18" s="1">
        <f>COUNTIF(G3:G17,"TRUE")</f>
        <v>9</v>
      </c>
      <c r="H18" s="1">
        <f>COUNTIF(H3:H17,"TRUE")</f>
        <v>4</v>
      </c>
      <c r="I18" s="1">
        <f>COUNTIF(I3:I17,"TRUE")</f>
        <v>3</v>
      </c>
      <c r="J18" s="1">
        <f>COUNTIF(J3:J17,"TRUE")</f>
        <v>2</v>
      </c>
      <c r="K18" s="1">
        <f>COUNTIF(K3:K17,"TRUE")</f>
        <v>1</v>
      </c>
      <c r="L18" s="7">
        <f>COUNTA(E3:E17)</f>
        <v>15</v>
      </c>
    </row>
    <row r="19" spans="1:12" ht="15.75" customHeight="1">
      <c r="E19" s="1" t="s">
        <v>3</v>
      </c>
      <c r="F19" s="2"/>
      <c r="G19" s="2">
        <f>G18/L18</f>
        <v>0.6</v>
      </c>
      <c r="H19" s="2">
        <f>H18/L18</f>
        <v>0.26666666666666666</v>
      </c>
      <c r="I19" s="2">
        <f>I18/L18</f>
        <v>0.2</v>
      </c>
      <c r="J19" s="2">
        <f>J18/L18</f>
        <v>0.13333333333333333</v>
      </c>
      <c r="K19" s="2">
        <f>K18/L18</f>
        <v>6.6666666666666666E-2</v>
      </c>
    </row>
    <row r="20" spans="1:12" ht="15.75" customHeight="1">
      <c r="E20" s="1" t="s">
        <v>63</v>
      </c>
      <c r="F20" s="2"/>
      <c r="G20" s="2"/>
      <c r="H20" s="2">
        <f>H18/G18</f>
        <v>0.44444444444444442</v>
      </c>
      <c r="I20" s="2">
        <f>I18/G18</f>
        <v>0.33333333333333331</v>
      </c>
      <c r="J20" s="2">
        <f>J18/G18</f>
        <v>0.22222222222222221</v>
      </c>
      <c r="K20" s="2">
        <f>K18/G18</f>
        <v>0.1111111111111111</v>
      </c>
    </row>
    <row r="21" spans="1:12" ht="15.75" customHeight="1">
      <c r="E21" s="1" t="s">
        <v>64</v>
      </c>
      <c r="F21" s="2"/>
      <c r="G21" s="2">
        <f>E18/C18</f>
        <v>6.1728395061728392E-2</v>
      </c>
      <c r="H21" s="2">
        <f>E18/D18</f>
        <v>0.33333333333333331</v>
      </c>
    </row>
  </sheetData>
  <hyperlinks>
    <hyperlink ref="E1" r:id="rId1" xr:uid="{00000000-0004-0000-0400-000000000000}"/>
    <hyperlink ref="A3" r:id="rId2" xr:uid="{00000000-0004-0000-0400-000001000000}"/>
    <hyperlink ref="A4" r:id="rId3" xr:uid="{00000000-0004-0000-0400-000002000000}"/>
    <hyperlink ref="A5" r:id="rId4" xr:uid="{00000000-0004-0000-0400-000003000000}"/>
    <hyperlink ref="A6" r:id="rId5" xr:uid="{00000000-0004-0000-0400-000004000000}"/>
    <hyperlink ref="A7" r:id="rId6" xr:uid="{00000000-0004-0000-0400-000005000000}"/>
    <hyperlink ref="A8" r:id="rId7" xr:uid="{00000000-0004-0000-0400-000006000000}"/>
    <hyperlink ref="A9" r:id="rId8" xr:uid="{00000000-0004-0000-0400-000007000000}"/>
    <hyperlink ref="A10" r:id="rId9" xr:uid="{00000000-0004-0000-0400-000008000000}"/>
    <hyperlink ref="A11" r:id="rId10" xr:uid="{00000000-0004-0000-0400-000009000000}"/>
    <hyperlink ref="A12" r:id="rId11" xr:uid="{00000000-0004-0000-0400-00000A000000}"/>
    <hyperlink ref="A13" r:id="rId12" xr:uid="{00000000-0004-0000-0400-00000B000000}"/>
    <hyperlink ref="A14" r:id="rId13" xr:uid="{00000000-0004-0000-0400-00000C000000}"/>
    <hyperlink ref="A15" r:id="rId14" xr:uid="{00000000-0004-0000-0400-00000D000000}"/>
    <hyperlink ref="A16" r:id="rId15" xr:uid="{00000000-0004-0000-0400-00000E000000}"/>
    <hyperlink ref="A17" r:id="rId16" xr:uid="{00000000-0004-0000-0400-00000F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2"/>
  <sheetViews>
    <sheetView workbookViewId="0">
      <selection activeCell="A19" sqref="A19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5" t="s">
        <v>123</v>
      </c>
      <c r="B3" s="1"/>
      <c r="C3" s="1">
        <v>3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124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18" si="0">D4&gt;0</f>
        <v>0</v>
      </c>
      <c r="H4" s="1" t="b">
        <f t="shared" ref="H4:H18" si="1">E4&gt;0</f>
        <v>0</v>
      </c>
      <c r="I4" s="1" t="b">
        <f t="shared" ref="I4:I18" si="2">AND(G4,(D4=E4))</f>
        <v>0</v>
      </c>
      <c r="J4" s="1" t="b">
        <f t="shared" ref="J4:J18" si="3">(F4&gt;0)</f>
        <v>0</v>
      </c>
      <c r="K4" s="1" t="b">
        <f t="shared" ref="K4:K18" si="4">AND(I4,(E4=F4))</f>
        <v>0</v>
      </c>
    </row>
    <row r="5" spans="1:11" ht="15.75" customHeight="1">
      <c r="A5" s="5" t="s">
        <v>125</v>
      </c>
      <c r="B5" s="1"/>
      <c r="C5" s="1">
        <v>10</v>
      </c>
      <c r="D5" s="1">
        <v>3</v>
      </c>
      <c r="E5" s="1">
        <v>2</v>
      </c>
      <c r="F5" s="1">
        <v>2</v>
      </c>
      <c r="G5" s="1" t="b">
        <f t="shared" si="0"/>
        <v>1</v>
      </c>
      <c r="H5" s="1" t="b">
        <f t="shared" si="1"/>
        <v>1</v>
      </c>
      <c r="I5" s="1" t="b">
        <f t="shared" si="2"/>
        <v>0</v>
      </c>
      <c r="J5" s="1" t="b">
        <f t="shared" si="3"/>
        <v>1</v>
      </c>
      <c r="K5" s="1" t="b">
        <f t="shared" si="4"/>
        <v>0</v>
      </c>
    </row>
    <row r="6" spans="1:11" ht="15.75" customHeight="1">
      <c r="A6" s="5" t="s">
        <v>126</v>
      </c>
      <c r="B6" s="1"/>
      <c r="C6" s="1">
        <v>3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5" t="s">
        <v>127</v>
      </c>
      <c r="B7" s="1"/>
      <c r="C7" s="1">
        <v>5</v>
      </c>
      <c r="D7" s="1">
        <v>2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5" t="s">
        <v>128</v>
      </c>
      <c r="B8" s="1"/>
      <c r="C8" s="1">
        <v>7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5" t="s">
        <v>129</v>
      </c>
      <c r="B9" s="1"/>
      <c r="C9" s="1">
        <v>5</v>
      </c>
      <c r="D9" s="1">
        <v>3</v>
      </c>
      <c r="E9" s="1">
        <v>3</v>
      </c>
      <c r="F9" s="1">
        <v>3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5" t="s">
        <v>130</v>
      </c>
      <c r="B10" s="1"/>
      <c r="C10" s="1">
        <v>6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131</v>
      </c>
      <c r="B11" s="1"/>
      <c r="C11" s="1">
        <v>8</v>
      </c>
      <c r="D11" s="1">
        <v>2</v>
      </c>
      <c r="E11" s="1">
        <v>1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5" t="s">
        <v>132</v>
      </c>
      <c r="B12" s="1"/>
      <c r="C12" s="1">
        <v>6</v>
      </c>
      <c r="D12" s="1">
        <v>2</v>
      </c>
      <c r="E12" s="1">
        <v>2</v>
      </c>
      <c r="F12" s="1">
        <v>1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0</v>
      </c>
    </row>
    <row r="13" spans="1:11" ht="15.75" customHeight="1">
      <c r="A13" s="5" t="s">
        <v>133</v>
      </c>
      <c r="B13" s="1"/>
      <c r="C13" s="1">
        <v>7</v>
      </c>
      <c r="D13" s="1">
        <v>2</v>
      </c>
      <c r="E13" s="1">
        <v>2</v>
      </c>
      <c r="F13" s="1">
        <v>2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5" t="s">
        <v>134</v>
      </c>
      <c r="B14" s="1"/>
      <c r="C14" s="1">
        <v>4</v>
      </c>
      <c r="D14" s="1">
        <v>1</v>
      </c>
      <c r="E14" s="1">
        <v>1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5" t="s">
        <v>135</v>
      </c>
      <c r="B15" s="1"/>
      <c r="C15" s="1">
        <v>3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136</v>
      </c>
      <c r="B16" s="1"/>
      <c r="C16" s="1">
        <v>5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137</v>
      </c>
      <c r="B17" s="1"/>
      <c r="C17" s="1">
        <v>1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138</v>
      </c>
      <c r="B18" s="1"/>
      <c r="C18" s="1">
        <v>6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B19" s="1" t="s">
        <v>62</v>
      </c>
      <c r="C19" s="1">
        <f>SUM(C2:C18)</f>
        <v>83</v>
      </c>
      <c r="D19" s="1">
        <f>SUM(D2:D18)</f>
        <v>15</v>
      </c>
      <c r="E19" s="1">
        <f>SUM(E2:E18)</f>
        <v>11</v>
      </c>
      <c r="F19" s="1">
        <f>SUM(F2:F18)</f>
        <v>8</v>
      </c>
      <c r="G19" s="1">
        <f>COUNTIF(G3:G18,"TRUE")</f>
        <v>7</v>
      </c>
      <c r="H19" s="1">
        <f>COUNTIF(H3:H18,"TRUE")</f>
        <v>6</v>
      </c>
      <c r="I19" s="1">
        <f>COUNTIF(I3:I18,"TRUE")</f>
        <v>4</v>
      </c>
      <c r="J19" s="1">
        <f>COUNTIF(J3:J18,"TRUE")</f>
        <v>4</v>
      </c>
      <c r="K19" s="1">
        <f>COUNTIF(K3:K18,"TRUE")</f>
        <v>2</v>
      </c>
      <c r="L19" s="7">
        <f>COUNTA(E3:E18)</f>
        <v>16</v>
      </c>
    </row>
    <row r="20" spans="1:12" ht="15.75" customHeight="1">
      <c r="E20" s="1" t="s">
        <v>3</v>
      </c>
      <c r="F20" s="2"/>
      <c r="G20" s="2">
        <f>G19/L19</f>
        <v>0.4375</v>
      </c>
      <c r="H20" s="2">
        <f>H19/L19</f>
        <v>0.375</v>
      </c>
      <c r="I20" s="2">
        <f>I19/L19</f>
        <v>0.25</v>
      </c>
      <c r="J20" s="2">
        <f>J19/L19</f>
        <v>0.25</v>
      </c>
      <c r="K20" s="2">
        <f>K19/L19</f>
        <v>0.125</v>
      </c>
    </row>
    <row r="21" spans="1:12" ht="15.75" customHeight="1">
      <c r="E21" s="1" t="s">
        <v>63</v>
      </c>
      <c r="F21" s="2"/>
      <c r="G21" s="2"/>
      <c r="H21" s="2">
        <f>H19/G19</f>
        <v>0.8571428571428571</v>
      </c>
      <c r="I21" s="2">
        <f>I19/G19</f>
        <v>0.5714285714285714</v>
      </c>
      <c r="J21" s="2">
        <f>J19/G19</f>
        <v>0.5714285714285714</v>
      </c>
      <c r="K21" s="2">
        <f>K19/G19</f>
        <v>0.2857142857142857</v>
      </c>
    </row>
    <row r="22" spans="1:12" ht="15.75" customHeight="1">
      <c r="E22" s="1" t="s">
        <v>64</v>
      </c>
      <c r="F22" s="2"/>
      <c r="G22" s="2">
        <f>E19/C19</f>
        <v>0.13253012048192772</v>
      </c>
      <c r="H22" s="2">
        <f>E19/D19</f>
        <v>0.73333333333333328</v>
      </c>
    </row>
  </sheetData>
  <hyperlinks>
    <hyperlink ref="E1" r:id="rId1" xr:uid="{00000000-0004-0000-0500-000000000000}"/>
    <hyperlink ref="A3" r:id="rId2" xr:uid="{00000000-0004-0000-0500-000001000000}"/>
    <hyperlink ref="A4" r:id="rId3" xr:uid="{00000000-0004-0000-0500-000002000000}"/>
    <hyperlink ref="A5" r:id="rId4" xr:uid="{00000000-0004-0000-0500-000003000000}"/>
    <hyperlink ref="A6" r:id="rId5" xr:uid="{00000000-0004-0000-0500-000004000000}"/>
    <hyperlink ref="A7" r:id="rId6" xr:uid="{00000000-0004-0000-0500-000005000000}"/>
    <hyperlink ref="A8" r:id="rId7" xr:uid="{00000000-0004-0000-0500-000006000000}"/>
    <hyperlink ref="A9" r:id="rId8" xr:uid="{00000000-0004-0000-0500-000007000000}"/>
    <hyperlink ref="A10" r:id="rId9" xr:uid="{00000000-0004-0000-0500-000008000000}"/>
    <hyperlink ref="A11" r:id="rId10" xr:uid="{00000000-0004-0000-0500-000009000000}"/>
    <hyperlink ref="A12" r:id="rId11" xr:uid="{00000000-0004-0000-0500-00000A000000}"/>
    <hyperlink ref="A13" r:id="rId12" xr:uid="{00000000-0004-0000-0500-00000B000000}"/>
    <hyperlink ref="A14" r:id="rId13" xr:uid="{00000000-0004-0000-0500-00000C000000}"/>
    <hyperlink ref="A15" r:id="rId14" xr:uid="{00000000-0004-0000-0500-00000D000000}"/>
    <hyperlink ref="A16" r:id="rId15" xr:uid="{00000000-0004-0000-0500-00000E000000}"/>
    <hyperlink ref="A17" r:id="rId16" xr:uid="{00000000-0004-0000-0500-00000F000000}"/>
    <hyperlink ref="A18" r:id="rId17" xr:uid="{00000000-0004-0000-0500-00001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26"/>
  <sheetViews>
    <sheetView workbookViewId="0">
      <selection activeCell="A23" sqref="A23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5" t="s">
        <v>139</v>
      </c>
      <c r="B3" s="1"/>
      <c r="C3" s="1">
        <v>5</v>
      </c>
      <c r="D3" s="1">
        <v>3</v>
      </c>
      <c r="E3" s="1">
        <v>3</v>
      </c>
      <c r="F3" s="1">
        <v>0</v>
      </c>
      <c r="G3" s="1" t="b">
        <f>D3&gt;0</f>
        <v>1</v>
      </c>
      <c r="H3" s="1" t="b">
        <f>E3&gt;0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140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22" si="0">D4&gt;0</f>
        <v>0</v>
      </c>
      <c r="H4" s="1" t="b">
        <f t="shared" ref="H4:H22" si="1">E4&gt;0</f>
        <v>0</v>
      </c>
      <c r="I4" s="1" t="b">
        <f t="shared" ref="I4:I22" si="2">AND(G4,(D4=E4))</f>
        <v>0</v>
      </c>
      <c r="J4" s="1" t="b">
        <f t="shared" ref="J4:J22" si="3">(F4&gt;0)</f>
        <v>0</v>
      </c>
      <c r="K4" s="1" t="b">
        <f t="shared" ref="K4:K22" si="4">AND(I4,(E4=F4))</f>
        <v>0</v>
      </c>
    </row>
    <row r="5" spans="1:11" ht="15.75" customHeight="1">
      <c r="A5" s="5" t="s">
        <v>141</v>
      </c>
      <c r="B5" s="1"/>
      <c r="C5" s="1">
        <v>6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142</v>
      </c>
      <c r="B6" s="1"/>
      <c r="C6" s="1">
        <v>3</v>
      </c>
      <c r="D6" s="1">
        <v>2</v>
      </c>
      <c r="E6" s="1">
        <v>2</v>
      </c>
      <c r="F6" s="1">
        <v>2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5" t="s">
        <v>143</v>
      </c>
      <c r="B7" s="1"/>
      <c r="C7" s="1">
        <v>4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5" t="s">
        <v>144</v>
      </c>
      <c r="B8" s="1"/>
      <c r="C8" s="1">
        <v>4</v>
      </c>
      <c r="D8" s="1">
        <v>1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5" t="s">
        <v>145</v>
      </c>
      <c r="B9" s="1"/>
      <c r="C9" s="1">
        <v>6</v>
      </c>
      <c r="D9" s="1">
        <v>4</v>
      </c>
      <c r="E9" s="1">
        <v>1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0</v>
      </c>
      <c r="J9" s="1" t="b">
        <f t="shared" si="3"/>
        <v>1</v>
      </c>
      <c r="K9" s="1" t="b">
        <f t="shared" si="4"/>
        <v>0</v>
      </c>
    </row>
    <row r="10" spans="1:11" ht="15.75" customHeight="1">
      <c r="A10" s="5" t="s">
        <v>146</v>
      </c>
      <c r="B10" s="1"/>
      <c r="C10" s="1">
        <v>6</v>
      </c>
      <c r="D10" s="1">
        <v>3</v>
      </c>
      <c r="E10" s="1">
        <v>3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147</v>
      </c>
      <c r="B11" s="1"/>
      <c r="C11" s="1">
        <v>5</v>
      </c>
      <c r="D11" s="1">
        <v>4</v>
      </c>
      <c r="E11" s="1">
        <v>4</v>
      </c>
      <c r="F11" s="1">
        <v>4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5" t="s">
        <v>148</v>
      </c>
      <c r="B12" s="1"/>
      <c r="C12" s="1">
        <v>6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5" t="s">
        <v>149</v>
      </c>
      <c r="B13" s="1"/>
      <c r="C13" s="1">
        <v>5</v>
      </c>
      <c r="D13" s="1">
        <v>5</v>
      </c>
      <c r="E13" s="1">
        <v>5</v>
      </c>
      <c r="F13" s="1">
        <v>5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5" t="s">
        <v>150</v>
      </c>
      <c r="B14" s="1"/>
      <c r="C14" s="1">
        <v>3</v>
      </c>
      <c r="D14" s="1">
        <v>2</v>
      </c>
      <c r="E14" s="1">
        <v>2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0</v>
      </c>
    </row>
    <row r="15" spans="1:11" ht="15.75" customHeight="1">
      <c r="A15" s="5" t="s">
        <v>151</v>
      </c>
      <c r="B15" s="1"/>
      <c r="C15" s="1">
        <v>6</v>
      </c>
      <c r="D15" s="1">
        <v>1</v>
      </c>
      <c r="E15" s="1">
        <v>1</v>
      </c>
      <c r="F15" s="1">
        <v>1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5" t="s">
        <v>152</v>
      </c>
      <c r="B16" s="1"/>
      <c r="C16" s="1">
        <v>6</v>
      </c>
      <c r="D16" s="1">
        <v>1</v>
      </c>
      <c r="E16" s="1">
        <v>1</v>
      </c>
      <c r="F16" s="1">
        <v>1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s="5" t="s">
        <v>153</v>
      </c>
      <c r="B17" s="1"/>
      <c r="C17" s="1">
        <v>6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154</v>
      </c>
      <c r="B18" s="1"/>
      <c r="C18" s="1">
        <v>8</v>
      </c>
      <c r="D18" s="1">
        <v>1</v>
      </c>
      <c r="E18" s="1">
        <v>1</v>
      </c>
      <c r="F18" s="1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5" t="s">
        <v>155</v>
      </c>
      <c r="B19" s="1"/>
      <c r="C19" s="1">
        <v>5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5" t="s">
        <v>156</v>
      </c>
      <c r="B20" s="1"/>
      <c r="C20" s="1">
        <v>7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5" t="s">
        <v>157</v>
      </c>
      <c r="B21" s="1"/>
      <c r="C21" s="1">
        <v>4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5" t="s">
        <v>158</v>
      </c>
      <c r="B22" s="1"/>
      <c r="C22" s="1">
        <v>6</v>
      </c>
      <c r="D22" s="1">
        <v>2</v>
      </c>
      <c r="E22" s="1">
        <v>2</v>
      </c>
      <c r="F22" s="1">
        <v>2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2" ht="15.75" customHeight="1">
      <c r="B23" s="1" t="s">
        <v>62</v>
      </c>
      <c r="C23" s="1">
        <f>SUM(C2:C22)</f>
        <v>105</v>
      </c>
      <c r="D23" s="1">
        <f>SUM(D2:D22)</f>
        <v>29</v>
      </c>
      <c r="E23" s="1">
        <f>SUM(E2:E22)</f>
        <v>26</v>
      </c>
      <c r="F23" s="1">
        <f>SUM(F2:F22)</f>
        <v>18</v>
      </c>
      <c r="G23" s="1">
        <f>COUNTIF(G3:G22,"TRUE")</f>
        <v>12</v>
      </c>
      <c r="H23" s="1">
        <f>COUNTIF(H3:H22,"TRUE")</f>
        <v>12</v>
      </c>
      <c r="I23" s="1">
        <f>COUNTIF(I3:I22,"TRUE")</f>
        <v>11</v>
      </c>
      <c r="J23" s="1">
        <f>COUNTIF(J3:J22,"TRUE")</f>
        <v>9</v>
      </c>
      <c r="K23" s="1">
        <f>COUNTIF(K3:K22,"TRUE")</f>
        <v>7</v>
      </c>
      <c r="L23" s="7">
        <f>COUNTA(E3:E22)</f>
        <v>20</v>
      </c>
    </row>
    <row r="24" spans="1:12" ht="15.75" customHeight="1">
      <c r="E24" s="1" t="s">
        <v>3</v>
      </c>
      <c r="F24" s="2"/>
      <c r="G24" s="2">
        <f>G23/L23</f>
        <v>0.6</v>
      </c>
      <c r="H24" s="2">
        <f>H23/L23</f>
        <v>0.6</v>
      </c>
      <c r="I24" s="2">
        <f>I23/L23</f>
        <v>0.55000000000000004</v>
      </c>
      <c r="J24" s="2">
        <f>J23/L23</f>
        <v>0.45</v>
      </c>
      <c r="K24" s="2">
        <f>K23/L23</f>
        <v>0.35</v>
      </c>
    </row>
    <row r="25" spans="1:12" ht="15.75" customHeight="1">
      <c r="E25" s="1" t="s">
        <v>63</v>
      </c>
      <c r="F25" s="2"/>
      <c r="G25" s="2"/>
      <c r="H25" s="2">
        <f>H23/G23</f>
        <v>1</v>
      </c>
      <c r="I25" s="2">
        <f>I23/G23</f>
        <v>0.91666666666666663</v>
      </c>
      <c r="J25" s="2">
        <f>J23/G23</f>
        <v>0.75</v>
      </c>
      <c r="K25" s="2">
        <f>K23/G23</f>
        <v>0.58333333333333337</v>
      </c>
    </row>
    <row r="26" spans="1:12" ht="15.75" customHeight="1">
      <c r="E26" s="1" t="s">
        <v>64</v>
      </c>
      <c r="F26" s="2"/>
      <c r="G26" s="2">
        <f>E23/C23</f>
        <v>0.24761904761904763</v>
      </c>
      <c r="H26" s="2">
        <f>E23/D23</f>
        <v>0.89655172413793105</v>
      </c>
    </row>
  </sheetData>
  <hyperlinks>
    <hyperlink ref="E1" r:id="rId1" xr:uid="{00000000-0004-0000-0600-000000000000}"/>
    <hyperlink ref="A3" r:id="rId2" xr:uid="{00000000-0004-0000-0600-000001000000}"/>
    <hyperlink ref="A4" r:id="rId3" xr:uid="{00000000-0004-0000-0600-000002000000}"/>
    <hyperlink ref="A5" r:id="rId4" xr:uid="{00000000-0004-0000-0600-000003000000}"/>
    <hyperlink ref="A6" r:id="rId5" xr:uid="{00000000-0004-0000-0600-000004000000}"/>
    <hyperlink ref="A7" r:id="rId6" xr:uid="{00000000-0004-0000-0600-000005000000}"/>
    <hyperlink ref="A8" r:id="rId7" xr:uid="{00000000-0004-0000-0600-000006000000}"/>
    <hyperlink ref="A9" r:id="rId8" xr:uid="{00000000-0004-0000-0600-000007000000}"/>
    <hyperlink ref="A10" r:id="rId9" xr:uid="{00000000-0004-0000-0600-000008000000}"/>
    <hyperlink ref="A11" r:id="rId10" xr:uid="{00000000-0004-0000-0600-000009000000}"/>
    <hyperlink ref="A12" r:id="rId11" xr:uid="{00000000-0004-0000-0600-00000A000000}"/>
    <hyperlink ref="A13" r:id="rId12" xr:uid="{00000000-0004-0000-0600-00000B000000}"/>
    <hyperlink ref="A14" r:id="rId13" xr:uid="{00000000-0004-0000-0600-00000C000000}"/>
    <hyperlink ref="A15" r:id="rId14" xr:uid="{00000000-0004-0000-0600-00000D000000}"/>
    <hyperlink ref="A16" r:id="rId15" xr:uid="{00000000-0004-0000-0600-00000E000000}"/>
    <hyperlink ref="A17" r:id="rId16" xr:uid="{00000000-0004-0000-0600-00000F000000}"/>
    <hyperlink ref="A18" r:id="rId17" xr:uid="{00000000-0004-0000-0600-000010000000}"/>
    <hyperlink ref="A19" r:id="rId18" xr:uid="{00000000-0004-0000-0600-000011000000}"/>
    <hyperlink ref="A20" r:id="rId19" xr:uid="{00000000-0004-0000-0600-000012000000}"/>
    <hyperlink ref="A21" r:id="rId20" xr:uid="{00000000-0004-0000-0600-000013000000}"/>
    <hyperlink ref="A22" r:id="rId21" xr:uid="{00000000-0004-0000-0600-000014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39"/>
  <sheetViews>
    <sheetView workbookViewId="0">
      <selection activeCell="A36" sqref="A36:XFD37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5" t="s">
        <v>159</v>
      </c>
      <c r="B3" s="1"/>
      <c r="C3" s="1">
        <v>5</v>
      </c>
      <c r="D3" s="1">
        <v>5</v>
      </c>
      <c r="E3" s="1">
        <v>5</v>
      </c>
      <c r="F3" s="1">
        <v>5</v>
      </c>
      <c r="G3" s="1" t="b">
        <f>D3&gt;0</f>
        <v>1</v>
      </c>
      <c r="H3" s="1" t="b">
        <f>E3&gt;0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1" ht="15.75" customHeight="1">
      <c r="A4" s="5" t="s">
        <v>160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35" si="0">D4&gt;0</f>
        <v>0</v>
      </c>
      <c r="H4" s="1" t="b">
        <f t="shared" ref="H4:H35" si="1">E4&gt;0</f>
        <v>0</v>
      </c>
      <c r="I4" s="1" t="b">
        <f t="shared" ref="I4:I35" si="2">AND(G4,(D4=E4))</f>
        <v>0</v>
      </c>
      <c r="J4" s="1" t="b">
        <f t="shared" ref="J4:J35" si="3">(F4&gt;0)</f>
        <v>0</v>
      </c>
      <c r="K4" s="1" t="b">
        <f t="shared" ref="K4:K35" si="4">AND(I4,(E4=F4))</f>
        <v>0</v>
      </c>
    </row>
    <row r="5" spans="1:11" ht="15.75" customHeight="1">
      <c r="A5" s="5" t="s">
        <v>161</v>
      </c>
      <c r="B5" s="1"/>
      <c r="C5" s="1">
        <v>6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162</v>
      </c>
      <c r="B6" s="1"/>
      <c r="C6" s="1">
        <v>5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5" t="s">
        <v>163</v>
      </c>
      <c r="B7" s="1"/>
      <c r="C7" s="1">
        <v>8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5" t="s">
        <v>164</v>
      </c>
      <c r="B8" s="1"/>
      <c r="C8" s="1">
        <v>10</v>
      </c>
      <c r="D8" s="1">
        <v>3</v>
      </c>
      <c r="E8" s="1">
        <v>3</v>
      </c>
      <c r="F8" s="1">
        <v>3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5" t="s">
        <v>165</v>
      </c>
      <c r="B9" s="1"/>
      <c r="C9" s="1">
        <v>6</v>
      </c>
      <c r="D9" s="1">
        <v>2</v>
      </c>
      <c r="E9" s="1">
        <v>2</v>
      </c>
      <c r="F9" s="1">
        <v>2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5" t="s">
        <v>166</v>
      </c>
      <c r="B10" s="1"/>
      <c r="C10" s="1">
        <v>10</v>
      </c>
      <c r="D10" s="1">
        <v>2</v>
      </c>
      <c r="E10" s="1">
        <v>2</v>
      </c>
      <c r="F10" s="1">
        <v>2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1" ht="15.75" customHeight="1">
      <c r="A11" s="5" t="s">
        <v>167</v>
      </c>
      <c r="B11" s="1"/>
      <c r="C11" s="1">
        <v>8</v>
      </c>
      <c r="D11" s="1">
        <v>1</v>
      </c>
      <c r="E11" s="1">
        <v>1</v>
      </c>
      <c r="F11" s="1">
        <v>1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5" t="s">
        <v>168</v>
      </c>
      <c r="B12" s="1"/>
      <c r="C12" s="1">
        <v>10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5" t="s">
        <v>169</v>
      </c>
      <c r="B13" s="1"/>
      <c r="C13" s="1">
        <v>14</v>
      </c>
      <c r="D13" s="1">
        <v>1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5" t="s">
        <v>170</v>
      </c>
      <c r="B14" s="1"/>
      <c r="C14" s="1">
        <v>2</v>
      </c>
      <c r="D14" s="1">
        <v>1</v>
      </c>
      <c r="E14" s="1">
        <v>1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5" t="s">
        <v>171</v>
      </c>
      <c r="B15" s="1"/>
      <c r="C15" s="1">
        <v>2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172</v>
      </c>
      <c r="B16" s="1"/>
      <c r="C16" s="1">
        <v>5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173</v>
      </c>
      <c r="B17" s="1"/>
      <c r="C17" s="1">
        <v>3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174</v>
      </c>
      <c r="B18" s="1"/>
      <c r="C18" s="1">
        <v>4</v>
      </c>
      <c r="D18" s="1">
        <v>1</v>
      </c>
      <c r="E18" s="1">
        <v>0</v>
      </c>
      <c r="F18" s="1">
        <v>0</v>
      </c>
      <c r="G18" s="1" t="b">
        <f t="shared" si="0"/>
        <v>1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5" t="s">
        <v>175</v>
      </c>
      <c r="B19" s="1"/>
      <c r="C19" s="1">
        <v>6</v>
      </c>
      <c r="D19" s="1">
        <v>4</v>
      </c>
      <c r="E19" s="1">
        <v>1</v>
      </c>
      <c r="F19" s="1">
        <v>1</v>
      </c>
      <c r="G19" s="1" t="b">
        <f t="shared" si="0"/>
        <v>1</v>
      </c>
      <c r="H19" s="1" t="b">
        <f t="shared" si="1"/>
        <v>1</v>
      </c>
      <c r="I19" s="1" t="b">
        <f t="shared" si="2"/>
        <v>0</v>
      </c>
      <c r="J19" s="1" t="b">
        <f t="shared" si="3"/>
        <v>1</v>
      </c>
      <c r="K19" s="1" t="b">
        <f t="shared" si="4"/>
        <v>0</v>
      </c>
    </row>
    <row r="20" spans="1:12" ht="15.75" customHeight="1">
      <c r="A20" s="5" t="s">
        <v>176</v>
      </c>
      <c r="B20" s="1"/>
      <c r="C20" s="1">
        <v>4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5" t="s">
        <v>177</v>
      </c>
      <c r="B21" s="1"/>
      <c r="C21" s="1">
        <v>3</v>
      </c>
      <c r="D21" s="1">
        <v>2</v>
      </c>
      <c r="E21" s="1">
        <v>2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5" t="s">
        <v>178</v>
      </c>
      <c r="B22" s="1"/>
      <c r="C22" s="1">
        <v>5</v>
      </c>
      <c r="D22" s="1">
        <v>1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5" t="s">
        <v>179</v>
      </c>
      <c r="B23" s="1"/>
      <c r="C23" s="1">
        <v>5</v>
      </c>
      <c r="D23" s="1">
        <v>2</v>
      </c>
      <c r="E23" s="1">
        <v>2</v>
      </c>
      <c r="F23" s="1">
        <v>1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0</v>
      </c>
    </row>
    <row r="24" spans="1:12" ht="15.75" customHeight="1">
      <c r="A24" s="5" t="s">
        <v>180</v>
      </c>
      <c r="B24" s="1"/>
      <c r="C24" s="1">
        <v>8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5" t="s">
        <v>181</v>
      </c>
      <c r="B25" s="1"/>
      <c r="C25" s="1">
        <v>5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5" t="s">
        <v>182</v>
      </c>
      <c r="B26" s="1"/>
      <c r="C26" s="1">
        <v>4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5" t="s">
        <v>183</v>
      </c>
      <c r="B27" s="1"/>
      <c r="C27" s="1">
        <v>3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5" t="s">
        <v>184</v>
      </c>
      <c r="B28" s="1"/>
      <c r="C28" s="1">
        <v>4</v>
      </c>
      <c r="D28" s="1">
        <v>3</v>
      </c>
      <c r="E28" s="1">
        <v>3</v>
      </c>
      <c r="F28" s="1">
        <v>0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5" t="s">
        <v>185</v>
      </c>
      <c r="B29" s="1"/>
      <c r="C29" s="1">
        <v>6</v>
      </c>
      <c r="D29" s="1">
        <v>4</v>
      </c>
      <c r="E29" s="1">
        <v>4</v>
      </c>
      <c r="F29" s="1">
        <v>4</v>
      </c>
      <c r="G29" s="1" t="b">
        <f t="shared" si="0"/>
        <v>1</v>
      </c>
      <c r="H29" s="1" t="b">
        <f t="shared" si="1"/>
        <v>1</v>
      </c>
      <c r="I29" s="1" t="b">
        <f t="shared" si="2"/>
        <v>1</v>
      </c>
      <c r="J29" s="1" t="b">
        <f t="shared" si="3"/>
        <v>1</v>
      </c>
      <c r="K29" s="1" t="b">
        <f t="shared" si="4"/>
        <v>1</v>
      </c>
    </row>
    <row r="30" spans="1:12" ht="15.75" customHeight="1">
      <c r="A30" s="5" t="s">
        <v>186</v>
      </c>
      <c r="B30" s="1"/>
      <c r="C30" s="1">
        <v>6</v>
      </c>
      <c r="D30" s="1">
        <v>0</v>
      </c>
      <c r="E30" s="1">
        <v>0</v>
      </c>
      <c r="F30" s="1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2" ht="15.75" customHeight="1">
      <c r="A31" s="5" t="s">
        <v>187</v>
      </c>
      <c r="B31" s="1"/>
      <c r="C31" s="1">
        <v>7</v>
      </c>
      <c r="D31" s="1">
        <v>6</v>
      </c>
      <c r="E31" s="1">
        <v>6</v>
      </c>
      <c r="F31" s="1">
        <v>6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1</v>
      </c>
      <c r="K31" s="1" t="b">
        <f t="shared" si="4"/>
        <v>1</v>
      </c>
    </row>
    <row r="32" spans="1:12" ht="15.75" customHeight="1">
      <c r="A32" s="5" t="s">
        <v>188</v>
      </c>
      <c r="B32" s="1"/>
      <c r="C32" s="1">
        <v>5</v>
      </c>
      <c r="D32" s="1">
        <v>2</v>
      </c>
      <c r="E32" s="1">
        <v>2</v>
      </c>
      <c r="F32" s="1">
        <v>2</v>
      </c>
      <c r="G32" s="1" t="b">
        <f t="shared" si="0"/>
        <v>1</v>
      </c>
      <c r="H32" s="1" t="b">
        <f t="shared" si="1"/>
        <v>1</v>
      </c>
      <c r="I32" s="1" t="b">
        <f t="shared" si="2"/>
        <v>1</v>
      </c>
      <c r="J32" s="1" t="b">
        <f t="shared" si="3"/>
        <v>1</v>
      </c>
      <c r="K32" s="1" t="b">
        <f t="shared" si="4"/>
        <v>1</v>
      </c>
      <c r="L32" s="1"/>
    </row>
    <row r="33" spans="1:12" ht="15.75" customHeight="1">
      <c r="A33" s="5" t="s">
        <v>189</v>
      </c>
      <c r="B33" s="1"/>
      <c r="C33" s="1">
        <v>6</v>
      </c>
      <c r="D33" s="1">
        <v>2</v>
      </c>
      <c r="E33" s="1">
        <v>2</v>
      </c>
      <c r="F33" s="1">
        <v>2</v>
      </c>
      <c r="G33" s="1" t="b">
        <f t="shared" si="0"/>
        <v>1</v>
      </c>
      <c r="H33" s="1" t="b">
        <f t="shared" si="1"/>
        <v>1</v>
      </c>
      <c r="I33" s="1" t="b">
        <f t="shared" si="2"/>
        <v>1</v>
      </c>
      <c r="J33" s="1" t="b">
        <f t="shared" si="3"/>
        <v>1</v>
      </c>
      <c r="K33" s="1" t="b">
        <f t="shared" si="4"/>
        <v>1</v>
      </c>
      <c r="L33" s="1"/>
    </row>
    <row r="34" spans="1:12" ht="15.75" customHeight="1">
      <c r="A34" s="5" t="s">
        <v>190</v>
      </c>
      <c r="B34" s="1"/>
      <c r="C34" s="1">
        <v>7</v>
      </c>
      <c r="D34" s="1">
        <v>0</v>
      </c>
      <c r="E34" s="1">
        <v>0</v>
      </c>
      <c r="F34" s="1">
        <v>0</v>
      </c>
      <c r="G34" s="1" t="b">
        <f t="shared" si="0"/>
        <v>0</v>
      </c>
      <c r="H34" s="1" t="b">
        <f t="shared" si="1"/>
        <v>0</v>
      </c>
      <c r="I34" s="1" t="b">
        <f t="shared" si="2"/>
        <v>0</v>
      </c>
      <c r="J34" s="1" t="b">
        <f t="shared" si="3"/>
        <v>0</v>
      </c>
      <c r="K34" s="1" t="b">
        <f t="shared" si="4"/>
        <v>0</v>
      </c>
      <c r="L34" s="1"/>
    </row>
    <row r="35" spans="1:12" ht="15.75" customHeight="1">
      <c r="A35" s="5" t="s">
        <v>191</v>
      </c>
      <c r="B35" s="1"/>
      <c r="C35" s="1">
        <v>5</v>
      </c>
      <c r="D35" s="1">
        <v>0</v>
      </c>
      <c r="E35" s="1">
        <v>0</v>
      </c>
      <c r="F35" s="1">
        <v>0</v>
      </c>
      <c r="G35" s="1" t="b">
        <f t="shared" si="0"/>
        <v>0</v>
      </c>
      <c r="H35" s="1" t="b">
        <f t="shared" si="1"/>
        <v>0</v>
      </c>
      <c r="I35" s="1" t="b">
        <f t="shared" si="2"/>
        <v>0</v>
      </c>
      <c r="J35" s="1" t="b">
        <f t="shared" si="3"/>
        <v>0</v>
      </c>
      <c r="K35" s="1" t="b">
        <f t="shared" si="4"/>
        <v>0</v>
      </c>
      <c r="L35" s="1"/>
    </row>
    <row r="36" spans="1:12" ht="15.75" customHeight="1">
      <c r="A36" s="6"/>
      <c r="B36" s="1" t="s">
        <v>62</v>
      </c>
      <c r="C36" s="1">
        <f>SUM(C2:C35)</f>
        <v>192</v>
      </c>
      <c r="D36" s="1">
        <f>SUM(D2:D35)</f>
        <v>42</v>
      </c>
      <c r="E36" s="1">
        <f>SUM(E2:E35)</f>
        <v>36</v>
      </c>
      <c r="F36" s="1">
        <f>SUM(F2:F35)</f>
        <v>30</v>
      </c>
      <c r="G36" s="1">
        <f>COUNTIF(G3:G35,"TRUE")</f>
        <v>17</v>
      </c>
      <c r="H36" s="1">
        <f>COUNTIF(H3:H35,"TRUE")</f>
        <v>14</v>
      </c>
      <c r="I36" s="1">
        <f>COUNTIF(I3:I35,"TRUE")</f>
        <v>13</v>
      </c>
      <c r="J36" s="1">
        <f>COUNTIF(J3:J35,"TRUE")</f>
        <v>12</v>
      </c>
      <c r="K36" s="1">
        <f>COUNTIF(K3:K35,"TRUE")</f>
        <v>10</v>
      </c>
      <c r="L36" s="7">
        <f>COUNTA(E3:E35)</f>
        <v>33</v>
      </c>
    </row>
    <row r="37" spans="1:12" ht="15.75" customHeight="1">
      <c r="A37" s="6"/>
      <c r="E37" s="1" t="s">
        <v>3</v>
      </c>
      <c r="F37" s="2"/>
      <c r="G37" s="2">
        <f>G36/L36</f>
        <v>0.51515151515151514</v>
      </c>
      <c r="H37" s="2">
        <f>H36/L36</f>
        <v>0.42424242424242425</v>
      </c>
      <c r="I37" s="2">
        <f>I36/L36</f>
        <v>0.39393939393939392</v>
      </c>
      <c r="J37" s="2">
        <f>J36/L36</f>
        <v>0.36363636363636365</v>
      </c>
      <c r="K37" s="2">
        <f>K36/L36</f>
        <v>0.30303030303030304</v>
      </c>
    </row>
    <row r="38" spans="1:12" ht="15.75" customHeight="1">
      <c r="E38" s="1" t="s">
        <v>63</v>
      </c>
      <c r="F38" s="2"/>
      <c r="G38" s="2"/>
      <c r="H38" s="2">
        <f>H36/G36</f>
        <v>0.82352941176470584</v>
      </c>
      <c r="I38" s="2">
        <f>I36/G36</f>
        <v>0.76470588235294112</v>
      </c>
      <c r="J38" s="2">
        <f>J36/G36</f>
        <v>0.70588235294117652</v>
      </c>
      <c r="K38" s="2">
        <f>K36/G36</f>
        <v>0.58823529411764708</v>
      </c>
    </row>
    <row r="39" spans="1:12" ht="15.75" customHeight="1">
      <c r="E39" s="1" t="s">
        <v>64</v>
      </c>
      <c r="F39" s="2"/>
      <c r="G39" s="2">
        <f>E36/C36</f>
        <v>0.1875</v>
      </c>
      <c r="H39" s="2">
        <f>E36/D36</f>
        <v>0.8571428571428571</v>
      </c>
    </row>
  </sheetData>
  <hyperlinks>
    <hyperlink ref="E1" r:id="rId1" xr:uid="{00000000-0004-0000-0700-000000000000}"/>
    <hyperlink ref="A3" r:id="rId2" xr:uid="{00000000-0004-0000-0700-000001000000}"/>
    <hyperlink ref="A4" r:id="rId3" xr:uid="{00000000-0004-0000-0700-000002000000}"/>
    <hyperlink ref="A5" r:id="rId4" xr:uid="{00000000-0004-0000-0700-000003000000}"/>
    <hyperlink ref="A6" r:id="rId5" xr:uid="{00000000-0004-0000-0700-000004000000}"/>
    <hyperlink ref="A7" r:id="rId6" xr:uid="{00000000-0004-0000-0700-000005000000}"/>
    <hyperlink ref="A8" r:id="rId7" xr:uid="{00000000-0004-0000-0700-000006000000}"/>
    <hyperlink ref="A9" r:id="rId8" xr:uid="{00000000-0004-0000-0700-000007000000}"/>
    <hyperlink ref="A10" r:id="rId9" xr:uid="{00000000-0004-0000-0700-000008000000}"/>
    <hyperlink ref="A11" r:id="rId10" xr:uid="{00000000-0004-0000-0700-000009000000}"/>
    <hyperlink ref="A12" r:id="rId11" xr:uid="{00000000-0004-0000-0700-00000A000000}"/>
    <hyperlink ref="A13" r:id="rId12" xr:uid="{00000000-0004-0000-0700-00000B000000}"/>
    <hyperlink ref="A14" r:id="rId13" xr:uid="{00000000-0004-0000-0700-00000C000000}"/>
    <hyperlink ref="A15" r:id="rId14" xr:uid="{00000000-0004-0000-0700-00000D000000}"/>
    <hyperlink ref="A16" r:id="rId15" xr:uid="{00000000-0004-0000-0700-00000E000000}"/>
    <hyperlink ref="A17" r:id="rId16" xr:uid="{00000000-0004-0000-0700-00000F000000}"/>
    <hyperlink ref="A18" r:id="rId17" xr:uid="{00000000-0004-0000-0700-000010000000}"/>
    <hyperlink ref="A19" r:id="rId18" xr:uid="{00000000-0004-0000-0700-000011000000}"/>
    <hyperlink ref="A20" r:id="rId19" xr:uid="{00000000-0004-0000-0700-000012000000}"/>
    <hyperlink ref="A21" r:id="rId20" xr:uid="{00000000-0004-0000-0700-000013000000}"/>
    <hyperlink ref="A22" r:id="rId21" xr:uid="{00000000-0004-0000-0700-000014000000}"/>
    <hyperlink ref="A23" r:id="rId22" xr:uid="{00000000-0004-0000-0700-000015000000}"/>
    <hyperlink ref="A24" r:id="rId23" xr:uid="{00000000-0004-0000-0700-000016000000}"/>
    <hyperlink ref="A25" r:id="rId24" xr:uid="{00000000-0004-0000-0700-000017000000}"/>
    <hyperlink ref="A26" r:id="rId25" xr:uid="{00000000-0004-0000-0700-000018000000}"/>
    <hyperlink ref="A27" r:id="rId26" xr:uid="{00000000-0004-0000-0700-000019000000}"/>
    <hyperlink ref="A28" r:id="rId27" xr:uid="{00000000-0004-0000-0700-00001A000000}"/>
    <hyperlink ref="A29" r:id="rId28" xr:uid="{00000000-0004-0000-0700-00001B000000}"/>
    <hyperlink ref="A30" r:id="rId29" xr:uid="{00000000-0004-0000-0700-00001C000000}"/>
    <hyperlink ref="A31" r:id="rId30" xr:uid="{00000000-0004-0000-0700-00001D000000}"/>
    <hyperlink ref="A32" r:id="rId31" xr:uid="{00000000-0004-0000-0700-00001E000000}"/>
    <hyperlink ref="A33" r:id="rId32" xr:uid="{00000000-0004-0000-0700-00001F000000}"/>
    <hyperlink ref="A34" r:id="rId33" xr:uid="{00000000-0004-0000-0700-000020000000}"/>
    <hyperlink ref="A35" r:id="rId34" xr:uid="{00000000-0004-0000-0700-00002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22"/>
  <sheetViews>
    <sheetView workbookViewId="0">
      <selection activeCell="A19" sqref="A19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5" t="s">
        <v>192</v>
      </c>
      <c r="B3" s="1"/>
      <c r="C3" s="1">
        <v>4</v>
      </c>
      <c r="D3" s="1">
        <v>2</v>
      </c>
      <c r="E3" s="1">
        <v>2</v>
      </c>
      <c r="F3" s="1">
        <v>2</v>
      </c>
      <c r="G3" s="1" t="b">
        <f>D3&gt;0</f>
        <v>1</v>
      </c>
      <c r="H3" s="1" t="b">
        <f>E3&gt;0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1" ht="15.75" customHeight="1">
      <c r="A4" s="5" t="s">
        <v>193</v>
      </c>
      <c r="B4" s="1"/>
      <c r="C4" s="1">
        <v>3</v>
      </c>
      <c r="D4" s="1">
        <v>1</v>
      </c>
      <c r="E4" s="1">
        <v>1</v>
      </c>
      <c r="F4" s="1">
        <v>1</v>
      </c>
      <c r="G4" s="1" t="b">
        <f t="shared" ref="G4:G18" si="0">D4&gt;0</f>
        <v>1</v>
      </c>
      <c r="H4" s="1" t="b">
        <f t="shared" ref="H4:H18" si="1">E4&gt;0</f>
        <v>1</v>
      </c>
      <c r="I4" s="1" t="b">
        <f t="shared" ref="I4:I18" si="2">AND(G4,(D4=E4))</f>
        <v>1</v>
      </c>
      <c r="J4" s="1" t="b">
        <f t="shared" ref="J4:J18" si="3">(F4&gt;0)</f>
        <v>1</v>
      </c>
      <c r="K4" s="1" t="b">
        <f t="shared" ref="K4:K18" si="4">AND(I4,(E4=F4))</f>
        <v>1</v>
      </c>
    </row>
    <row r="5" spans="1:11" ht="15.75" customHeight="1">
      <c r="A5" s="5" t="s">
        <v>194</v>
      </c>
      <c r="B5" s="1"/>
      <c r="C5" s="1">
        <v>5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195</v>
      </c>
      <c r="B6" s="1"/>
      <c r="C6" s="1">
        <v>6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5" t="s">
        <v>196</v>
      </c>
      <c r="B7" s="1"/>
      <c r="C7" s="1">
        <v>7</v>
      </c>
      <c r="D7" s="1">
        <v>1</v>
      </c>
      <c r="E7" s="1">
        <v>1</v>
      </c>
      <c r="F7" s="1">
        <v>1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5" t="s">
        <v>197</v>
      </c>
      <c r="B8" s="1"/>
      <c r="C8" s="1">
        <v>7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5" t="s">
        <v>198</v>
      </c>
      <c r="B9" s="1"/>
      <c r="C9" s="1">
        <v>8</v>
      </c>
      <c r="D9" s="1">
        <v>1</v>
      </c>
      <c r="E9" s="1">
        <v>1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5" t="s">
        <v>199</v>
      </c>
      <c r="B10" s="1"/>
      <c r="C10" s="1">
        <v>7</v>
      </c>
      <c r="D10" s="1">
        <v>3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200</v>
      </c>
      <c r="B11" s="1"/>
      <c r="C11" s="1">
        <v>4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5" t="s">
        <v>201</v>
      </c>
      <c r="B12" s="1"/>
      <c r="C12" s="1">
        <v>6</v>
      </c>
      <c r="D12" s="1">
        <v>2</v>
      </c>
      <c r="E12" s="1">
        <v>2</v>
      </c>
      <c r="F12" s="1">
        <v>2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1</v>
      </c>
    </row>
    <row r="13" spans="1:11" ht="15.75" customHeight="1">
      <c r="A13" s="5" t="s">
        <v>202</v>
      </c>
      <c r="B13" s="1"/>
      <c r="C13" s="1">
        <v>5</v>
      </c>
      <c r="D13" s="1">
        <v>2</v>
      </c>
      <c r="E13" s="1">
        <v>0</v>
      </c>
      <c r="F13" s="1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5" t="s">
        <v>203</v>
      </c>
      <c r="B14" s="1"/>
      <c r="C14" s="1">
        <v>6</v>
      </c>
      <c r="D14" s="1">
        <v>4</v>
      </c>
      <c r="E14" s="1">
        <v>1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0</v>
      </c>
      <c r="J14" s="1" t="b">
        <f t="shared" si="3"/>
        <v>1</v>
      </c>
      <c r="K14" s="1" t="b">
        <f t="shared" si="4"/>
        <v>0</v>
      </c>
    </row>
    <row r="15" spans="1:11" ht="15.75" customHeight="1">
      <c r="A15" s="5" t="s">
        <v>204</v>
      </c>
      <c r="B15" s="1"/>
      <c r="C15" s="1">
        <v>5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205</v>
      </c>
      <c r="B16" s="1"/>
      <c r="C16" s="1">
        <v>5</v>
      </c>
      <c r="D16" s="1">
        <v>1</v>
      </c>
      <c r="E16" s="1">
        <v>1</v>
      </c>
      <c r="F16" s="1">
        <v>1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s="5" t="s">
        <v>206</v>
      </c>
      <c r="B17" s="1"/>
      <c r="C17" s="1">
        <v>7</v>
      </c>
      <c r="D17" s="1">
        <v>1</v>
      </c>
      <c r="E17" s="1">
        <v>1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2" ht="15.75" customHeight="1">
      <c r="A18" s="5" t="s">
        <v>207</v>
      </c>
      <c r="B18" s="1"/>
      <c r="C18" s="1">
        <v>5</v>
      </c>
      <c r="D18" s="1">
        <v>5</v>
      </c>
      <c r="E18" s="1">
        <v>4</v>
      </c>
      <c r="F18" s="1">
        <v>3</v>
      </c>
      <c r="G18" s="1" t="b">
        <f t="shared" si="0"/>
        <v>1</v>
      </c>
      <c r="H18" s="1" t="b">
        <f t="shared" si="1"/>
        <v>1</v>
      </c>
      <c r="I18" s="1" t="b">
        <f t="shared" si="2"/>
        <v>0</v>
      </c>
      <c r="J18" s="1" t="b">
        <f t="shared" si="3"/>
        <v>1</v>
      </c>
      <c r="K18" s="1" t="b">
        <f t="shared" si="4"/>
        <v>0</v>
      </c>
    </row>
    <row r="19" spans="1:12" ht="15.75" customHeight="1">
      <c r="B19" s="1" t="s">
        <v>62</v>
      </c>
      <c r="C19" s="1">
        <f>SUM(C2:C18)</f>
        <v>90</v>
      </c>
      <c r="D19" s="1">
        <f>SUM(D2:D18)</f>
        <v>23</v>
      </c>
      <c r="E19" s="1">
        <f>SUM(E2:E18)</f>
        <v>14</v>
      </c>
      <c r="F19" s="1">
        <f>SUM(F2:F18)</f>
        <v>13</v>
      </c>
      <c r="G19" s="1">
        <f>COUNTIF(G3:G18,"TRUE")</f>
        <v>11</v>
      </c>
      <c r="H19" s="1">
        <f>COUNTIF(H3:H18,"TRUE")</f>
        <v>9</v>
      </c>
      <c r="I19" s="1">
        <f>COUNTIF(I3:I18,"TRUE")</f>
        <v>7</v>
      </c>
      <c r="J19" s="1">
        <f>COUNTIF(J3:J18,"TRUE")</f>
        <v>9</v>
      </c>
      <c r="K19" s="1">
        <f>COUNTIF(K3:K18,"TRUE")</f>
        <v>7</v>
      </c>
      <c r="L19" s="7">
        <f>COUNTA(E3:E18)</f>
        <v>16</v>
      </c>
    </row>
    <row r="20" spans="1:12" ht="15.75" customHeight="1">
      <c r="E20" s="1" t="s">
        <v>3</v>
      </c>
      <c r="F20" s="2"/>
      <c r="G20" s="2">
        <f>G19/L19</f>
        <v>0.6875</v>
      </c>
      <c r="H20" s="2">
        <f>H19/L19</f>
        <v>0.5625</v>
      </c>
      <c r="I20" s="2">
        <f>I19/L19</f>
        <v>0.4375</v>
      </c>
      <c r="J20" s="2">
        <f>J19/L19</f>
        <v>0.5625</v>
      </c>
      <c r="K20" s="2">
        <f>K19/L19</f>
        <v>0.4375</v>
      </c>
    </row>
    <row r="21" spans="1:12" ht="15.75" customHeight="1">
      <c r="E21" s="1" t="s">
        <v>63</v>
      </c>
      <c r="F21" s="2"/>
      <c r="G21" s="2"/>
      <c r="H21" s="2">
        <f>H19/G19</f>
        <v>0.81818181818181823</v>
      </c>
      <c r="I21" s="2">
        <f>I19/G19</f>
        <v>0.63636363636363635</v>
      </c>
      <c r="J21" s="2">
        <f>J19/G19</f>
        <v>0.81818181818181823</v>
      </c>
      <c r="K21" s="2">
        <f>K19/G19</f>
        <v>0.63636363636363635</v>
      </c>
    </row>
    <row r="22" spans="1:12" ht="15.75" customHeight="1">
      <c r="E22" s="1" t="s">
        <v>64</v>
      </c>
      <c r="F22" s="2"/>
      <c r="G22" s="2">
        <f>E19/C19</f>
        <v>0.15555555555555556</v>
      </c>
      <c r="H22" s="2">
        <f>E19/D19</f>
        <v>0.60869565217391308</v>
      </c>
    </row>
  </sheetData>
  <hyperlinks>
    <hyperlink ref="E1" r:id="rId1" xr:uid="{00000000-0004-0000-0800-000000000000}"/>
    <hyperlink ref="A3" r:id="rId2" xr:uid="{00000000-0004-0000-0800-000001000000}"/>
    <hyperlink ref="A4" r:id="rId3" xr:uid="{00000000-0004-0000-0800-000002000000}"/>
    <hyperlink ref="A5" r:id="rId4" xr:uid="{00000000-0004-0000-0800-000003000000}"/>
    <hyperlink ref="A6" r:id="rId5" xr:uid="{00000000-0004-0000-0800-000004000000}"/>
    <hyperlink ref="A7" r:id="rId6" xr:uid="{00000000-0004-0000-0800-000005000000}"/>
    <hyperlink ref="A8" r:id="rId7" xr:uid="{00000000-0004-0000-0800-000006000000}"/>
    <hyperlink ref="A9" r:id="rId8" xr:uid="{00000000-0004-0000-0800-000007000000}"/>
    <hyperlink ref="A10" r:id="rId9" xr:uid="{00000000-0004-0000-0800-000008000000}"/>
    <hyperlink ref="A11" r:id="rId10" xr:uid="{00000000-0004-0000-0800-000009000000}"/>
    <hyperlink ref="A12" r:id="rId11" xr:uid="{00000000-0004-0000-0800-00000A000000}"/>
    <hyperlink ref="A13" r:id="rId12" xr:uid="{00000000-0004-0000-0800-00000B000000}"/>
    <hyperlink ref="A14" r:id="rId13" xr:uid="{00000000-0004-0000-0800-00000C000000}"/>
    <hyperlink ref="A15" r:id="rId14" xr:uid="{00000000-0004-0000-0800-00000D000000}"/>
    <hyperlink ref="A16" r:id="rId15" xr:uid="{00000000-0004-0000-0800-00000E000000}"/>
    <hyperlink ref="A17" r:id="rId16" xr:uid="{00000000-0004-0000-0800-00000F000000}"/>
    <hyperlink ref="A18" r:id="rId17" xr:uid="{00000000-0004-0000-0800-00001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L26"/>
  <sheetViews>
    <sheetView workbookViewId="0">
      <selection activeCell="A23" sqref="A23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5" t="s">
        <v>208</v>
      </c>
      <c r="B3" s="1"/>
      <c r="C3" s="1">
        <v>3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209</v>
      </c>
      <c r="B4" s="1"/>
      <c r="C4" s="1">
        <v>6</v>
      </c>
      <c r="D4" s="1">
        <v>2</v>
      </c>
      <c r="E4" s="1">
        <v>2</v>
      </c>
      <c r="F4" s="1">
        <v>2</v>
      </c>
      <c r="G4" s="1" t="b">
        <f t="shared" ref="G4:G22" si="0">D4&gt;0</f>
        <v>1</v>
      </c>
      <c r="H4" s="1" t="b">
        <f t="shared" ref="H4:H22" si="1">E4&gt;0</f>
        <v>1</v>
      </c>
      <c r="I4" s="1" t="b">
        <f t="shared" ref="I4:I22" si="2">AND(G4,(D4=E4))</f>
        <v>1</v>
      </c>
      <c r="J4" s="1" t="b">
        <f t="shared" ref="J4:J22" si="3">(F4&gt;0)</f>
        <v>1</v>
      </c>
      <c r="K4" s="1" t="b">
        <f t="shared" ref="K4:K22" si="4">AND(I4,(E4=F4))</f>
        <v>1</v>
      </c>
    </row>
    <row r="5" spans="1:11" ht="15.75" customHeight="1">
      <c r="A5" s="5" t="s">
        <v>210</v>
      </c>
      <c r="B5" s="1"/>
      <c r="C5" s="1">
        <v>5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211</v>
      </c>
      <c r="B6" s="1"/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5" t="s">
        <v>212</v>
      </c>
      <c r="B7" s="1"/>
      <c r="C7" s="1">
        <v>4</v>
      </c>
      <c r="D7" s="1">
        <v>2</v>
      </c>
      <c r="E7" s="1">
        <v>2</v>
      </c>
      <c r="F7" s="1">
        <v>2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5" t="s">
        <v>213</v>
      </c>
      <c r="B8" s="1"/>
      <c r="C8" s="1">
        <v>4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5" t="s">
        <v>214</v>
      </c>
      <c r="B9" s="1"/>
      <c r="C9" s="1">
        <v>5</v>
      </c>
      <c r="D9" s="1">
        <v>1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5" t="s">
        <v>215</v>
      </c>
      <c r="B10" s="1"/>
      <c r="C10" s="1">
        <v>5</v>
      </c>
      <c r="D10" s="1">
        <v>2</v>
      </c>
      <c r="E10" s="1">
        <v>2</v>
      </c>
      <c r="F10" s="1">
        <v>1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0</v>
      </c>
    </row>
    <row r="11" spans="1:11" ht="15.75" customHeight="1">
      <c r="A11" s="5" t="s">
        <v>216</v>
      </c>
      <c r="B11" s="1"/>
      <c r="C11" s="1">
        <v>5</v>
      </c>
      <c r="D11" s="1">
        <v>5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5" t="s">
        <v>217</v>
      </c>
      <c r="B12" s="1"/>
      <c r="C12" s="1">
        <v>7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5" t="s">
        <v>218</v>
      </c>
      <c r="B13" s="1"/>
      <c r="C13" s="1">
        <v>3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5" t="s">
        <v>219</v>
      </c>
      <c r="B14" s="1"/>
      <c r="C14" s="1">
        <v>5</v>
      </c>
      <c r="D14" s="1">
        <v>2</v>
      </c>
      <c r="E14" s="1">
        <v>1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0</v>
      </c>
      <c r="J14" s="1" t="b">
        <f t="shared" si="3"/>
        <v>1</v>
      </c>
      <c r="K14" s="1" t="b">
        <f t="shared" si="4"/>
        <v>0</v>
      </c>
    </row>
    <row r="15" spans="1:11" ht="15.75" customHeight="1">
      <c r="A15" s="5" t="s">
        <v>220</v>
      </c>
      <c r="B15" s="1"/>
      <c r="C15" s="1">
        <v>8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221</v>
      </c>
      <c r="B16" s="1"/>
      <c r="C16" s="1">
        <v>7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222</v>
      </c>
      <c r="B17" s="1"/>
      <c r="C17" s="1">
        <v>7</v>
      </c>
      <c r="D17" s="1">
        <v>6</v>
      </c>
      <c r="E17" s="1">
        <v>0</v>
      </c>
      <c r="F17" s="1">
        <v>0</v>
      </c>
      <c r="G17" s="1" t="b">
        <f t="shared" si="0"/>
        <v>1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223</v>
      </c>
      <c r="B18" s="1"/>
      <c r="C18" s="1">
        <v>3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5" t="s">
        <v>224</v>
      </c>
      <c r="B19" s="1"/>
      <c r="C19" s="1">
        <v>6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5" t="s">
        <v>225</v>
      </c>
      <c r="B20" s="1"/>
      <c r="C20" s="1">
        <v>6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5" t="s">
        <v>226</v>
      </c>
      <c r="B21" s="1"/>
      <c r="C21" s="1">
        <v>5</v>
      </c>
      <c r="D21" s="1">
        <v>1</v>
      </c>
      <c r="E21" s="1">
        <v>0</v>
      </c>
      <c r="F21" s="1">
        <v>0</v>
      </c>
      <c r="G21" s="1" t="b">
        <f t="shared" si="0"/>
        <v>1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5" t="s">
        <v>227</v>
      </c>
      <c r="B22" s="1"/>
      <c r="C22" s="1">
        <v>2</v>
      </c>
      <c r="D22" s="1">
        <v>1</v>
      </c>
      <c r="E22" s="1">
        <v>1</v>
      </c>
      <c r="F22" s="1">
        <v>0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0</v>
      </c>
      <c r="K22" s="1" t="b">
        <f t="shared" si="4"/>
        <v>0</v>
      </c>
    </row>
    <row r="23" spans="1:12" ht="15.75" customHeight="1">
      <c r="B23" s="1" t="s">
        <v>62</v>
      </c>
      <c r="C23" s="1">
        <f>SUM(C2:C22)</f>
        <v>100</v>
      </c>
      <c r="D23" s="1">
        <f>SUM(D2:D22)</f>
        <v>23</v>
      </c>
      <c r="E23" s="1">
        <f>SUM(E2:E22)</f>
        <v>8</v>
      </c>
      <c r="F23" s="1">
        <f>SUM(F2:F22)</f>
        <v>6</v>
      </c>
      <c r="G23" s="1">
        <f>COUNTIF(G3:G22,"TRUE")</f>
        <v>10</v>
      </c>
      <c r="H23" s="1">
        <f>COUNTIF(H3:H22,"TRUE")</f>
        <v>5</v>
      </c>
      <c r="I23" s="1">
        <f>COUNTIF(I3:I22,"TRUE")</f>
        <v>4</v>
      </c>
      <c r="J23" s="1">
        <f>COUNTIF(J3:J22,"TRUE")</f>
        <v>4</v>
      </c>
      <c r="K23" s="1">
        <f>COUNTIF(K3:K22,"TRUE")</f>
        <v>2</v>
      </c>
      <c r="L23" s="7">
        <f>COUNTA(E3:E22)</f>
        <v>20</v>
      </c>
    </row>
    <row r="24" spans="1:12" ht="15.75" customHeight="1">
      <c r="E24" s="1" t="s">
        <v>3</v>
      </c>
      <c r="F24" s="2"/>
      <c r="G24" s="2">
        <f>G23/L23</f>
        <v>0.5</v>
      </c>
      <c r="H24" s="2">
        <f>H23/L23</f>
        <v>0.25</v>
      </c>
      <c r="I24" s="2">
        <f>I23/L23</f>
        <v>0.2</v>
      </c>
      <c r="J24" s="2">
        <f>J23/L23</f>
        <v>0.2</v>
      </c>
      <c r="K24" s="2">
        <f>K23/L23</f>
        <v>0.1</v>
      </c>
    </row>
    <row r="25" spans="1:12" ht="15.75" customHeight="1">
      <c r="E25" s="1" t="s">
        <v>63</v>
      </c>
      <c r="F25" s="2"/>
      <c r="G25" s="2"/>
      <c r="H25" s="2">
        <f>H23/G23</f>
        <v>0.5</v>
      </c>
      <c r="I25" s="2">
        <f>I23/G23</f>
        <v>0.4</v>
      </c>
      <c r="J25" s="2">
        <f>J23/G23</f>
        <v>0.4</v>
      </c>
      <c r="K25" s="2">
        <f>K23/G23</f>
        <v>0.2</v>
      </c>
    </row>
    <row r="26" spans="1:12" ht="15.75" customHeight="1">
      <c r="E26" s="1" t="s">
        <v>64</v>
      </c>
      <c r="F26" s="2"/>
      <c r="G26" s="2">
        <f>E23/C23</f>
        <v>0.08</v>
      </c>
      <c r="H26" s="2">
        <f>E23/D23</f>
        <v>0.34782608695652173</v>
      </c>
    </row>
  </sheetData>
  <hyperlinks>
    <hyperlink ref="E1" r:id="rId1" xr:uid="{00000000-0004-0000-0900-000000000000}"/>
    <hyperlink ref="A3" r:id="rId2" xr:uid="{00000000-0004-0000-0900-000001000000}"/>
    <hyperlink ref="A4" r:id="rId3" xr:uid="{00000000-0004-0000-0900-000002000000}"/>
    <hyperlink ref="A5" r:id="rId4" xr:uid="{00000000-0004-0000-0900-000003000000}"/>
    <hyperlink ref="A6" r:id="rId5" xr:uid="{00000000-0004-0000-0900-000004000000}"/>
    <hyperlink ref="A7" r:id="rId6" xr:uid="{00000000-0004-0000-0900-000005000000}"/>
    <hyperlink ref="A8" r:id="rId7" xr:uid="{00000000-0004-0000-0900-000006000000}"/>
    <hyperlink ref="A9" r:id="rId8" xr:uid="{00000000-0004-0000-0900-000007000000}"/>
    <hyperlink ref="A10" r:id="rId9" xr:uid="{00000000-0004-0000-0900-000008000000}"/>
    <hyperlink ref="A11" r:id="rId10" xr:uid="{00000000-0004-0000-0900-000009000000}"/>
    <hyperlink ref="A12" r:id="rId11" xr:uid="{00000000-0004-0000-0900-00000A000000}"/>
    <hyperlink ref="A13" r:id="rId12" xr:uid="{00000000-0004-0000-0900-00000B000000}"/>
    <hyperlink ref="A14" r:id="rId13" xr:uid="{00000000-0004-0000-0900-00000C000000}"/>
    <hyperlink ref="A15" r:id="rId14" xr:uid="{00000000-0004-0000-0900-00000D000000}"/>
    <hyperlink ref="A16" r:id="rId15" xr:uid="{00000000-0004-0000-0900-00000E000000}"/>
    <hyperlink ref="A17" r:id="rId16" xr:uid="{00000000-0004-0000-0900-00000F000000}"/>
    <hyperlink ref="A18" r:id="rId17" xr:uid="{00000000-0004-0000-0900-000010000000}"/>
    <hyperlink ref="A19" r:id="rId18" xr:uid="{00000000-0004-0000-0900-000011000000}"/>
    <hyperlink ref="A20" r:id="rId19" xr:uid="{00000000-0004-0000-0900-000012000000}"/>
    <hyperlink ref="A21" r:id="rId20" xr:uid="{00000000-0004-0000-0900-000013000000}"/>
    <hyperlink ref="A22" r:id="rId21" xr:uid="{00000000-0004-0000-0900-000014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L26"/>
  <sheetViews>
    <sheetView workbookViewId="0">
      <selection activeCell="A23" sqref="A23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5" t="s">
        <v>228</v>
      </c>
      <c r="B3" s="1"/>
      <c r="C3" s="1">
        <v>3</v>
      </c>
      <c r="D3" s="1">
        <v>1</v>
      </c>
      <c r="E3" s="1">
        <v>0</v>
      </c>
      <c r="F3" s="1">
        <v>0</v>
      </c>
      <c r="G3" s="1" t="b">
        <f>D3&gt;0</f>
        <v>1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229</v>
      </c>
      <c r="B4" s="1"/>
      <c r="C4" s="1">
        <v>6</v>
      </c>
      <c r="D4" s="1">
        <v>2</v>
      </c>
      <c r="E4" s="1">
        <v>2</v>
      </c>
      <c r="F4" s="1">
        <v>2</v>
      </c>
      <c r="G4" s="1" t="b">
        <f t="shared" ref="G4:G22" si="0">D4&gt;0</f>
        <v>1</v>
      </c>
      <c r="H4" s="1" t="b">
        <f t="shared" ref="H4:H22" si="1">E4&gt;0</f>
        <v>1</v>
      </c>
      <c r="I4" s="1" t="b">
        <f t="shared" ref="I4:I22" si="2">AND(G4,(D4=E4))</f>
        <v>1</v>
      </c>
      <c r="J4" s="1" t="b">
        <f t="shared" ref="J4:J22" si="3">(F4&gt;0)</f>
        <v>1</v>
      </c>
      <c r="K4" s="1" t="b">
        <f t="shared" ref="K4:K22" si="4">AND(I4,(E4=F4))</f>
        <v>1</v>
      </c>
    </row>
    <row r="5" spans="1:11" ht="15.75" customHeight="1">
      <c r="A5" s="5" t="s">
        <v>230</v>
      </c>
      <c r="B5" s="1"/>
      <c r="C5" s="1">
        <v>4</v>
      </c>
      <c r="D5" s="1">
        <v>2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8" t="s">
        <v>231</v>
      </c>
      <c r="B6" s="1"/>
      <c r="C6" s="1">
        <v>4</v>
      </c>
      <c r="D6" s="1">
        <v>2</v>
      </c>
      <c r="E6" s="1">
        <v>2</v>
      </c>
      <c r="F6" s="1">
        <v>2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5" t="s">
        <v>232</v>
      </c>
      <c r="B7" s="1"/>
      <c r="C7" s="1">
        <v>2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5" t="s">
        <v>233</v>
      </c>
      <c r="B8" s="1"/>
      <c r="C8" s="1">
        <v>4</v>
      </c>
      <c r="D8" s="1">
        <v>1</v>
      </c>
      <c r="E8" s="1">
        <v>1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5" t="s">
        <v>234</v>
      </c>
      <c r="B9" s="1"/>
      <c r="C9" s="1">
        <v>3</v>
      </c>
      <c r="D9" s="1">
        <v>3</v>
      </c>
      <c r="E9" s="1">
        <v>3</v>
      </c>
      <c r="F9" s="1">
        <v>0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5" t="s">
        <v>235</v>
      </c>
      <c r="B10" s="1"/>
      <c r="C10" s="1">
        <v>5</v>
      </c>
      <c r="D10" s="1">
        <v>1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236</v>
      </c>
      <c r="B11" s="1"/>
      <c r="C11" s="1">
        <v>4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5" t="s">
        <v>237</v>
      </c>
      <c r="B12" s="1"/>
      <c r="C12" s="1">
        <v>7</v>
      </c>
      <c r="D12" s="1">
        <v>1</v>
      </c>
      <c r="E12" s="1">
        <v>1</v>
      </c>
      <c r="F12" s="1">
        <v>1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1</v>
      </c>
    </row>
    <row r="13" spans="1:11" ht="15.75" customHeight="1">
      <c r="A13" s="5" t="s">
        <v>238</v>
      </c>
      <c r="B13" s="1"/>
      <c r="C13" s="1">
        <v>7</v>
      </c>
      <c r="D13" s="1">
        <v>4</v>
      </c>
      <c r="E13" s="1">
        <v>4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5" t="s">
        <v>239</v>
      </c>
      <c r="B14" s="1"/>
      <c r="C14" s="1">
        <v>5</v>
      </c>
      <c r="D14" s="1">
        <v>1</v>
      </c>
      <c r="E14" s="1">
        <v>1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5" t="s">
        <v>240</v>
      </c>
      <c r="B15" s="1"/>
      <c r="C15" s="1">
        <v>5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241</v>
      </c>
      <c r="B16" s="1"/>
      <c r="C16" s="1">
        <v>5</v>
      </c>
      <c r="D16" s="1">
        <v>1</v>
      </c>
      <c r="E16" s="1">
        <v>0</v>
      </c>
      <c r="F16" s="1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242</v>
      </c>
      <c r="B17" s="1"/>
      <c r="C17" s="1">
        <v>9</v>
      </c>
      <c r="D17" s="1">
        <v>7</v>
      </c>
      <c r="E17" s="1">
        <v>4</v>
      </c>
      <c r="F17" s="1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243</v>
      </c>
      <c r="B18" s="1"/>
      <c r="C18" s="1">
        <v>6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5" t="s">
        <v>244</v>
      </c>
      <c r="B19" s="1"/>
      <c r="C19" s="1">
        <v>7</v>
      </c>
      <c r="D19" s="1">
        <v>2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5" t="s">
        <v>245</v>
      </c>
      <c r="B20" s="1"/>
      <c r="C20" s="1">
        <v>4</v>
      </c>
      <c r="D20" s="1">
        <v>4</v>
      </c>
      <c r="E20" s="1">
        <v>4</v>
      </c>
      <c r="F20" s="1">
        <v>4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2" ht="15.75" customHeight="1">
      <c r="A21" s="5" t="s">
        <v>246</v>
      </c>
      <c r="B21" s="1"/>
      <c r="C21" s="1">
        <v>1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5" t="s">
        <v>247</v>
      </c>
      <c r="B22" s="1"/>
      <c r="C22" s="1">
        <v>2</v>
      </c>
      <c r="D22" s="1">
        <v>1</v>
      </c>
      <c r="E22" s="1">
        <v>1</v>
      </c>
      <c r="F22" s="1">
        <v>1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2" ht="15.75" customHeight="1">
      <c r="B23" s="1" t="s">
        <v>62</v>
      </c>
      <c r="C23" s="1">
        <f>SUM(C2:C22)</f>
        <v>93</v>
      </c>
      <c r="D23" s="1">
        <f>SUM(D2:D22)</f>
        <v>33</v>
      </c>
      <c r="E23" s="1">
        <f>SUM(E2:E22)</f>
        <v>23</v>
      </c>
      <c r="F23" s="1">
        <f>SUM(F2:F22)</f>
        <v>11</v>
      </c>
      <c r="G23" s="1">
        <f>COUNTIF(G3:G22,"TRUE")</f>
        <v>15</v>
      </c>
      <c r="H23" s="1">
        <f>COUNTIF(H3:H22,"TRUE")</f>
        <v>10</v>
      </c>
      <c r="I23" s="1">
        <f>COUNTIF(I3:I22,"TRUE")</f>
        <v>9</v>
      </c>
      <c r="J23" s="1">
        <f>COUNTIF(J3:J22,"TRUE")</f>
        <v>6</v>
      </c>
      <c r="K23" s="1">
        <f>COUNTIF(K3:K22,"TRUE")</f>
        <v>6</v>
      </c>
      <c r="L23" s="7">
        <f>COUNTA(E3:E22)</f>
        <v>20</v>
      </c>
    </row>
    <row r="24" spans="1:12" ht="15.75" customHeight="1">
      <c r="E24" s="1" t="s">
        <v>3</v>
      </c>
      <c r="F24" s="2"/>
      <c r="G24" s="2">
        <f>G23/L23</f>
        <v>0.75</v>
      </c>
      <c r="H24" s="2">
        <f>H23/L23</f>
        <v>0.5</v>
      </c>
      <c r="I24" s="2">
        <f>I23/L23</f>
        <v>0.45</v>
      </c>
      <c r="J24" s="2">
        <f>J23/L23</f>
        <v>0.3</v>
      </c>
      <c r="K24" s="2">
        <f>K23/L23</f>
        <v>0.3</v>
      </c>
    </row>
    <row r="25" spans="1:12" ht="15.75" customHeight="1">
      <c r="E25" s="1" t="s">
        <v>63</v>
      </c>
      <c r="F25" s="2"/>
      <c r="G25" s="2"/>
      <c r="H25" s="2">
        <f>H23/G23</f>
        <v>0.66666666666666663</v>
      </c>
      <c r="I25" s="2">
        <f>I23/G23</f>
        <v>0.6</v>
      </c>
      <c r="J25" s="2">
        <f>J23/G23</f>
        <v>0.4</v>
      </c>
      <c r="K25" s="2">
        <f>K23/G23</f>
        <v>0.4</v>
      </c>
    </row>
    <row r="26" spans="1:12" ht="15.75" customHeight="1">
      <c r="E26" s="1" t="s">
        <v>64</v>
      </c>
      <c r="F26" s="2"/>
      <c r="G26" s="2">
        <f>E23/C23</f>
        <v>0.24731182795698925</v>
      </c>
      <c r="H26" s="2">
        <f>E23/D23</f>
        <v>0.69696969696969702</v>
      </c>
    </row>
  </sheetData>
  <hyperlinks>
    <hyperlink ref="E1" r:id="rId1" xr:uid="{00000000-0004-0000-0A00-000000000000}"/>
    <hyperlink ref="A3" r:id="rId2" xr:uid="{00000000-0004-0000-0A00-000001000000}"/>
    <hyperlink ref="A4" r:id="rId3" xr:uid="{00000000-0004-0000-0A00-000002000000}"/>
    <hyperlink ref="A5" r:id="rId4" xr:uid="{00000000-0004-0000-0A00-000003000000}"/>
    <hyperlink ref="A6" r:id="rId5" xr:uid="{00000000-0004-0000-0A00-000004000000}"/>
    <hyperlink ref="A7" r:id="rId6" xr:uid="{00000000-0004-0000-0A00-000005000000}"/>
    <hyperlink ref="A8" r:id="rId7" xr:uid="{00000000-0004-0000-0A00-000006000000}"/>
    <hyperlink ref="A9" r:id="rId8" xr:uid="{00000000-0004-0000-0A00-000007000000}"/>
    <hyperlink ref="A10" r:id="rId9" xr:uid="{00000000-0004-0000-0A00-000008000000}"/>
    <hyperlink ref="A11" r:id="rId10" xr:uid="{00000000-0004-0000-0A00-000009000000}"/>
    <hyperlink ref="A12" r:id="rId11" xr:uid="{00000000-0004-0000-0A00-00000A000000}"/>
    <hyperlink ref="A13" r:id="rId12" xr:uid="{00000000-0004-0000-0A00-00000B000000}"/>
    <hyperlink ref="A14" r:id="rId13" xr:uid="{00000000-0004-0000-0A00-00000C000000}"/>
    <hyperlink ref="A15" r:id="rId14" xr:uid="{00000000-0004-0000-0A00-00000D000000}"/>
    <hyperlink ref="A16" r:id="rId15" xr:uid="{00000000-0004-0000-0A00-00000E000000}"/>
    <hyperlink ref="A17" r:id="rId16" xr:uid="{00000000-0004-0000-0A00-00000F000000}"/>
    <hyperlink ref="A18" r:id="rId17" xr:uid="{00000000-0004-0000-0A00-000010000000}"/>
    <hyperlink ref="A19" r:id="rId18" xr:uid="{00000000-0004-0000-0A00-000011000000}"/>
    <hyperlink ref="A20" r:id="rId19" xr:uid="{00000000-0004-0000-0A00-000012000000}"/>
    <hyperlink ref="A21" r:id="rId20" xr:uid="{00000000-0004-0000-0A00-000013000000}"/>
    <hyperlink ref="A22" r:id="rId21" xr:uid="{00000000-0004-0000-0A00-000014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L26"/>
  <sheetViews>
    <sheetView workbookViewId="0">
      <selection activeCell="A23" sqref="A23:XFD32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5" t="s">
        <v>248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5" t="s">
        <v>249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22" si="0">D4&gt;0</f>
        <v>0</v>
      </c>
      <c r="H4" s="1" t="b">
        <f t="shared" ref="H4:H22" si="1">E4&gt;0</f>
        <v>0</v>
      </c>
      <c r="I4" s="1" t="b">
        <f t="shared" ref="I4:I22" si="2">AND(G4,(D4=E4))</f>
        <v>0</v>
      </c>
      <c r="J4" s="1" t="b">
        <f t="shared" ref="J4:J22" si="3">(F4&gt;0)</f>
        <v>0</v>
      </c>
      <c r="K4" s="1" t="b">
        <f t="shared" ref="K4:K22" si="4">AND(I4,(E4=F4))</f>
        <v>0</v>
      </c>
    </row>
    <row r="5" spans="1:11" ht="15.75" customHeight="1">
      <c r="A5" s="5" t="s">
        <v>250</v>
      </c>
      <c r="B5" s="1"/>
      <c r="C5" s="1">
        <v>6</v>
      </c>
      <c r="D5" s="1">
        <v>3</v>
      </c>
      <c r="E5" s="1">
        <v>3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5" t="s">
        <v>251</v>
      </c>
      <c r="B6" s="1"/>
      <c r="C6" s="1">
        <v>4</v>
      </c>
      <c r="D6" s="1">
        <v>1</v>
      </c>
      <c r="E6" s="1">
        <v>0</v>
      </c>
      <c r="F6" s="1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5" t="s">
        <v>252</v>
      </c>
      <c r="B7" s="1"/>
      <c r="C7" s="1">
        <v>5</v>
      </c>
      <c r="D7" s="1">
        <v>3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5" t="s">
        <v>253</v>
      </c>
      <c r="B8" s="1"/>
      <c r="C8" s="1">
        <v>5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5" t="s">
        <v>254</v>
      </c>
      <c r="B9" s="1"/>
      <c r="C9" s="1">
        <v>4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5" t="s">
        <v>255</v>
      </c>
      <c r="B10" s="1"/>
      <c r="C10" s="1">
        <v>3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5" t="s">
        <v>256</v>
      </c>
      <c r="B11" s="1"/>
      <c r="C11" s="1">
        <v>7</v>
      </c>
      <c r="D11" s="1">
        <v>1</v>
      </c>
      <c r="E11" s="1">
        <v>0</v>
      </c>
      <c r="F11" s="1">
        <v>0</v>
      </c>
      <c r="G11" s="1" t="b">
        <f t="shared" si="0"/>
        <v>1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5" t="s">
        <v>257</v>
      </c>
      <c r="B12" s="1"/>
      <c r="C12" s="1">
        <v>9</v>
      </c>
      <c r="D12" s="1">
        <v>2</v>
      </c>
      <c r="E12" s="1">
        <v>2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5" t="s">
        <v>258</v>
      </c>
      <c r="B13" s="1"/>
      <c r="C13" s="1">
        <v>5</v>
      </c>
      <c r="D13" s="1">
        <v>1</v>
      </c>
      <c r="E13" s="1">
        <v>1</v>
      </c>
      <c r="F13" s="1">
        <v>1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5" t="s">
        <v>259</v>
      </c>
      <c r="B14" s="1"/>
      <c r="C14" s="1">
        <v>5</v>
      </c>
      <c r="D14" s="1">
        <v>2</v>
      </c>
      <c r="E14" s="1">
        <v>1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5" t="s">
        <v>260</v>
      </c>
      <c r="B15" s="1"/>
      <c r="C15" s="1">
        <v>8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5" t="s">
        <v>261</v>
      </c>
      <c r="B16" s="1"/>
      <c r="C16" s="1">
        <v>7</v>
      </c>
      <c r="D16" s="1">
        <v>2</v>
      </c>
      <c r="E16" s="1">
        <v>0</v>
      </c>
      <c r="F16" s="1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5" t="s">
        <v>262</v>
      </c>
      <c r="B17" s="1"/>
      <c r="C17" s="1">
        <v>6</v>
      </c>
      <c r="D17" s="1">
        <v>5</v>
      </c>
      <c r="E17" s="1">
        <v>5</v>
      </c>
      <c r="F17" s="1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5" t="s">
        <v>263</v>
      </c>
      <c r="B18" s="1"/>
      <c r="C18" s="1">
        <v>8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5" t="s">
        <v>264</v>
      </c>
      <c r="B19" s="1"/>
      <c r="C19" s="1">
        <v>2</v>
      </c>
      <c r="D19" s="1">
        <v>2</v>
      </c>
      <c r="E19" s="1">
        <v>2</v>
      </c>
      <c r="F19" s="1">
        <v>2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2" ht="15.75" customHeight="1">
      <c r="A20" s="5" t="s">
        <v>265</v>
      </c>
      <c r="B20" s="1"/>
      <c r="C20" s="1">
        <v>8</v>
      </c>
      <c r="D20" s="1">
        <v>1</v>
      </c>
      <c r="E20" s="1">
        <v>1</v>
      </c>
      <c r="F20" s="1">
        <v>1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2" ht="15.75" customHeight="1">
      <c r="A21" s="5" t="s">
        <v>266</v>
      </c>
      <c r="B21" s="1"/>
      <c r="C21" s="1">
        <v>8</v>
      </c>
      <c r="D21" s="1">
        <v>2</v>
      </c>
      <c r="E21" s="1">
        <v>2</v>
      </c>
      <c r="F21" s="1">
        <v>2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1</v>
      </c>
    </row>
    <row r="22" spans="1:12" ht="15.75" customHeight="1">
      <c r="A22" s="5" t="s">
        <v>267</v>
      </c>
      <c r="B22" s="1"/>
      <c r="C22" s="1">
        <v>5</v>
      </c>
      <c r="D22" s="1">
        <v>2</v>
      </c>
      <c r="E22" s="1">
        <v>2</v>
      </c>
      <c r="F22" s="1">
        <v>0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0</v>
      </c>
      <c r="K22" s="1" t="b">
        <f t="shared" si="4"/>
        <v>0</v>
      </c>
    </row>
    <row r="23" spans="1:12" ht="15.75" customHeight="1">
      <c r="B23" s="1" t="s">
        <v>62</v>
      </c>
      <c r="C23" s="1">
        <f>SUM(C2:C22)</f>
        <v>114</v>
      </c>
      <c r="D23" s="1">
        <f>SUM(D2:D22)</f>
        <v>27</v>
      </c>
      <c r="E23" s="1">
        <f>SUM(E2:E22)</f>
        <v>19</v>
      </c>
      <c r="F23" s="1">
        <f>SUM(F2:F22)</f>
        <v>6</v>
      </c>
      <c r="G23" s="1">
        <f>COUNTIF(G3:G22,"TRUE")</f>
        <v>13</v>
      </c>
      <c r="H23" s="1">
        <f>COUNTIF(H3:H22,"TRUE")</f>
        <v>9</v>
      </c>
      <c r="I23" s="1">
        <f>COUNTIF(I3:I22,"TRUE")</f>
        <v>8</v>
      </c>
      <c r="J23" s="1">
        <f>COUNTIF(J3:J22,"TRUE")</f>
        <v>4</v>
      </c>
      <c r="K23" s="1">
        <f>COUNTIF(K3:K22,"TRUE")</f>
        <v>4</v>
      </c>
      <c r="L23" s="7">
        <f>COUNTA(E3:E22)</f>
        <v>20</v>
      </c>
    </row>
    <row r="24" spans="1:12" ht="15.75" customHeight="1">
      <c r="E24" s="1" t="s">
        <v>3</v>
      </c>
      <c r="F24" s="2"/>
      <c r="G24" s="2">
        <f>G23/L23</f>
        <v>0.65</v>
      </c>
      <c r="H24" s="2">
        <f>H23/L23</f>
        <v>0.45</v>
      </c>
      <c r="I24" s="2">
        <f>I23/L23</f>
        <v>0.4</v>
      </c>
      <c r="J24" s="2">
        <f>J23/L23</f>
        <v>0.2</v>
      </c>
      <c r="K24" s="2">
        <f>K23/L23</f>
        <v>0.2</v>
      </c>
    </row>
    <row r="25" spans="1:12" ht="15.75" customHeight="1">
      <c r="E25" s="1" t="s">
        <v>63</v>
      </c>
      <c r="F25" s="2"/>
      <c r="G25" s="2"/>
      <c r="H25" s="2">
        <f>H23/G23</f>
        <v>0.69230769230769229</v>
      </c>
      <c r="I25" s="2">
        <f>I23/G23</f>
        <v>0.61538461538461542</v>
      </c>
      <c r="J25" s="2">
        <f>J23/G23</f>
        <v>0.30769230769230771</v>
      </c>
      <c r="K25" s="2">
        <f>K23/G23</f>
        <v>0.30769230769230771</v>
      </c>
    </row>
    <row r="26" spans="1:12" ht="15.75" customHeight="1">
      <c r="E26" s="1" t="s">
        <v>64</v>
      </c>
      <c r="F26" s="2"/>
      <c r="G26" s="2">
        <f>E23/C23</f>
        <v>0.16666666666666666</v>
      </c>
      <c r="H26" s="2">
        <f>E23/D23</f>
        <v>0.70370370370370372</v>
      </c>
    </row>
  </sheetData>
  <hyperlinks>
    <hyperlink ref="E1" r:id="rId1" xr:uid="{00000000-0004-0000-0B00-000000000000}"/>
    <hyperlink ref="A3" r:id="rId2" xr:uid="{00000000-0004-0000-0B00-000001000000}"/>
    <hyperlink ref="A4" r:id="rId3" xr:uid="{00000000-0004-0000-0B00-000002000000}"/>
    <hyperlink ref="A5" r:id="rId4" xr:uid="{00000000-0004-0000-0B00-000003000000}"/>
    <hyperlink ref="A6" r:id="rId5" xr:uid="{00000000-0004-0000-0B00-000004000000}"/>
    <hyperlink ref="A7" r:id="rId6" xr:uid="{00000000-0004-0000-0B00-000005000000}"/>
    <hyperlink ref="A8" r:id="rId7" xr:uid="{00000000-0004-0000-0B00-000006000000}"/>
    <hyperlink ref="A9" r:id="rId8" xr:uid="{00000000-0004-0000-0B00-000007000000}"/>
    <hyperlink ref="A10" r:id="rId9" xr:uid="{00000000-0004-0000-0B00-000008000000}"/>
    <hyperlink ref="A11" r:id="rId10" xr:uid="{00000000-0004-0000-0B00-000009000000}"/>
    <hyperlink ref="A12" r:id="rId11" xr:uid="{00000000-0004-0000-0B00-00000A000000}"/>
    <hyperlink ref="A13" r:id="rId12" xr:uid="{00000000-0004-0000-0B00-00000B000000}"/>
    <hyperlink ref="A14" r:id="rId13" xr:uid="{00000000-0004-0000-0B00-00000C000000}"/>
    <hyperlink ref="A15" r:id="rId14" xr:uid="{00000000-0004-0000-0B00-00000D000000}"/>
    <hyperlink ref="A16" r:id="rId15" xr:uid="{00000000-0004-0000-0B00-00000E000000}"/>
    <hyperlink ref="A17" r:id="rId16" xr:uid="{00000000-0004-0000-0B00-00000F000000}"/>
    <hyperlink ref="A18" r:id="rId17" xr:uid="{00000000-0004-0000-0B00-000010000000}"/>
    <hyperlink ref="A19" r:id="rId18" xr:uid="{00000000-0004-0000-0B00-000011000000}"/>
    <hyperlink ref="A20" r:id="rId19" xr:uid="{00000000-0004-0000-0B00-000012000000}"/>
    <hyperlink ref="A21" r:id="rId20" xr:uid="{00000000-0004-0000-0B00-000013000000}"/>
    <hyperlink ref="A22" r:id="rId21" xr:uid="{00000000-0004-0000-0B00-000014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L26"/>
  <sheetViews>
    <sheetView workbookViewId="0">
      <selection activeCell="A33" sqref="A33"/>
    </sheetView>
  </sheetViews>
  <sheetFormatPr baseColWidth="10" defaultColWidth="12.6640625" defaultRowHeight="15.75" customHeight="1"/>
  <cols>
    <col min="1" max="1" width="93.6640625" customWidth="1"/>
    <col min="2" max="2" width="18" customWidth="1"/>
    <col min="3" max="3" width="10.1640625" customWidth="1"/>
    <col min="4" max="4" width="18.6640625" customWidth="1"/>
    <col min="5" max="5" width="12.1640625" customWidth="1"/>
    <col min="6" max="6" width="9.6640625" customWidth="1"/>
  </cols>
  <sheetData>
    <row r="1" spans="1:11" ht="15.75" customHeight="1"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9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9" t="s">
        <v>268</v>
      </c>
      <c r="B3" s="9"/>
      <c r="C3" s="10">
        <v>4</v>
      </c>
      <c r="D3" s="10">
        <v>0</v>
      </c>
      <c r="E3" s="10">
        <v>0</v>
      </c>
      <c r="F3" s="10">
        <v>0</v>
      </c>
      <c r="G3" s="1" t="b">
        <f>D3&gt;0</f>
        <v>0</v>
      </c>
      <c r="H3" s="1" t="b">
        <f>E3&gt;0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9" t="s">
        <v>269</v>
      </c>
      <c r="B4" s="9"/>
      <c r="C4" s="10">
        <v>6</v>
      </c>
      <c r="D4" s="10">
        <v>1</v>
      </c>
      <c r="E4" s="10">
        <v>0</v>
      </c>
      <c r="F4" s="10">
        <v>0</v>
      </c>
      <c r="G4" s="1" t="b">
        <f t="shared" ref="G4:G22" si="0">D4&gt;0</f>
        <v>1</v>
      </c>
      <c r="H4" s="1" t="b">
        <f t="shared" ref="H4:H22" si="1">E4&gt;0</f>
        <v>0</v>
      </c>
      <c r="I4" s="1" t="b">
        <f t="shared" ref="I4:I22" si="2">AND(G4,(D4=E4))</f>
        <v>0</v>
      </c>
      <c r="J4" s="1" t="b">
        <f t="shared" ref="J4:J22" si="3">(F4&gt;0)</f>
        <v>0</v>
      </c>
      <c r="K4" s="1" t="b">
        <f t="shared" ref="K4:K22" si="4">AND(I4,(E4=F4))</f>
        <v>0</v>
      </c>
    </row>
    <row r="5" spans="1:11" ht="15.75" customHeight="1">
      <c r="A5" s="9" t="s">
        <v>270</v>
      </c>
      <c r="B5" s="9"/>
      <c r="C5" s="10">
        <v>3</v>
      </c>
      <c r="D5" s="10">
        <v>1</v>
      </c>
      <c r="E5" s="10">
        <v>1</v>
      </c>
      <c r="F5" s="10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9" t="s">
        <v>271</v>
      </c>
      <c r="B6" s="9"/>
      <c r="C6" s="10">
        <v>4</v>
      </c>
      <c r="D6" s="10">
        <v>1</v>
      </c>
      <c r="E6" s="10">
        <v>0</v>
      </c>
      <c r="F6" s="10">
        <v>0</v>
      </c>
      <c r="G6" s="1" t="b">
        <f t="shared" si="0"/>
        <v>1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9" t="s">
        <v>272</v>
      </c>
      <c r="B7" s="9"/>
      <c r="C7" s="10">
        <v>4</v>
      </c>
      <c r="D7" s="10">
        <v>3</v>
      </c>
      <c r="E7" s="10">
        <v>1</v>
      </c>
      <c r="F7" s="10">
        <v>0</v>
      </c>
      <c r="G7" s="1" t="b">
        <f t="shared" si="0"/>
        <v>1</v>
      </c>
      <c r="H7" s="1" t="b">
        <f t="shared" si="1"/>
        <v>1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9" t="s">
        <v>273</v>
      </c>
      <c r="B8" s="9"/>
      <c r="C8" s="10">
        <v>6</v>
      </c>
      <c r="D8" s="10">
        <v>1</v>
      </c>
      <c r="E8" s="10">
        <v>1</v>
      </c>
      <c r="F8" s="10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9" t="s">
        <v>274</v>
      </c>
      <c r="B9" s="9"/>
      <c r="C9" s="10">
        <v>5</v>
      </c>
      <c r="D9" s="10">
        <v>0</v>
      </c>
      <c r="E9" s="10">
        <v>0</v>
      </c>
      <c r="F9" s="10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9" t="s">
        <v>275</v>
      </c>
      <c r="B10" s="9"/>
      <c r="C10" s="10">
        <v>8</v>
      </c>
      <c r="D10" s="10">
        <v>0</v>
      </c>
      <c r="E10" s="10">
        <v>0</v>
      </c>
      <c r="F10" s="10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9" t="s">
        <v>276</v>
      </c>
      <c r="B11" s="9"/>
      <c r="C11" s="10">
        <v>3</v>
      </c>
      <c r="D11" s="10">
        <v>0</v>
      </c>
      <c r="E11" s="10">
        <v>0</v>
      </c>
      <c r="F11" s="10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9" t="s">
        <v>277</v>
      </c>
      <c r="B12" s="9"/>
      <c r="C12" s="10">
        <v>8</v>
      </c>
      <c r="D12" s="10">
        <v>0</v>
      </c>
      <c r="E12" s="10">
        <v>0</v>
      </c>
      <c r="F12" s="10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9" t="s">
        <v>278</v>
      </c>
      <c r="B13" s="9"/>
      <c r="C13" s="10">
        <v>7</v>
      </c>
      <c r="D13" s="10">
        <v>0</v>
      </c>
      <c r="E13" s="10">
        <v>0</v>
      </c>
      <c r="F13" s="10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9" t="s">
        <v>279</v>
      </c>
      <c r="B14" s="9"/>
      <c r="C14" s="10">
        <v>6</v>
      </c>
      <c r="D14" s="10">
        <v>1</v>
      </c>
      <c r="E14" s="10">
        <v>1</v>
      </c>
      <c r="F14" s="10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9" t="s">
        <v>280</v>
      </c>
      <c r="B15" s="9"/>
      <c r="C15" s="10">
        <v>13</v>
      </c>
      <c r="D15" s="10">
        <v>1</v>
      </c>
      <c r="E15" s="10">
        <v>1</v>
      </c>
      <c r="F15" s="10">
        <v>1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9" t="s">
        <v>281</v>
      </c>
      <c r="B16" s="9"/>
      <c r="C16" s="10">
        <v>3</v>
      </c>
      <c r="D16" s="10">
        <v>1</v>
      </c>
      <c r="E16" s="10">
        <v>0</v>
      </c>
      <c r="F16" s="10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9" t="s">
        <v>282</v>
      </c>
      <c r="B17" s="9"/>
      <c r="C17" s="10">
        <v>5</v>
      </c>
      <c r="D17" s="10">
        <v>0</v>
      </c>
      <c r="E17" s="10">
        <v>0</v>
      </c>
      <c r="F17" s="10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9" t="s">
        <v>283</v>
      </c>
      <c r="B18" s="9"/>
      <c r="C18" s="10">
        <v>4</v>
      </c>
      <c r="D18" s="10">
        <v>2</v>
      </c>
      <c r="E18" s="10">
        <v>1</v>
      </c>
      <c r="F18" s="10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9" t="s">
        <v>284</v>
      </c>
      <c r="B19" s="9"/>
      <c r="C19" s="10">
        <v>5</v>
      </c>
      <c r="D19" s="10">
        <v>1</v>
      </c>
      <c r="E19" s="10">
        <v>0</v>
      </c>
      <c r="F19" s="10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9" t="s">
        <v>285</v>
      </c>
      <c r="B20" s="9"/>
      <c r="C20" s="10">
        <v>4</v>
      </c>
      <c r="D20" s="10">
        <v>0</v>
      </c>
      <c r="E20" s="10">
        <v>0</v>
      </c>
      <c r="F20" s="10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9" t="s">
        <v>286</v>
      </c>
      <c r="B21" s="9"/>
      <c r="C21" s="10">
        <v>6</v>
      </c>
      <c r="D21" s="10">
        <v>5</v>
      </c>
      <c r="E21" s="10">
        <v>1</v>
      </c>
      <c r="F21" s="10">
        <v>1</v>
      </c>
      <c r="G21" s="1" t="b">
        <f t="shared" si="0"/>
        <v>1</v>
      </c>
      <c r="H21" s="1" t="b">
        <f t="shared" si="1"/>
        <v>1</v>
      </c>
      <c r="I21" s="1" t="b">
        <f t="shared" si="2"/>
        <v>0</v>
      </c>
      <c r="J21" s="1" t="b">
        <f t="shared" si="3"/>
        <v>1</v>
      </c>
      <c r="K21" s="1" t="b">
        <f t="shared" si="4"/>
        <v>0</v>
      </c>
    </row>
    <row r="22" spans="1:12" ht="15.75" customHeight="1">
      <c r="A22" s="9" t="s">
        <v>287</v>
      </c>
      <c r="B22" s="9"/>
      <c r="C22" s="10">
        <v>2</v>
      </c>
      <c r="D22" s="10">
        <v>2</v>
      </c>
      <c r="E22" s="10">
        <v>2</v>
      </c>
      <c r="F22" s="10">
        <v>0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0</v>
      </c>
      <c r="K22" s="1" t="b">
        <f t="shared" si="4"/>
        <v>0</v>
      </c>
    </row>
    <row r="23" spans="1:12" ht="15.75" customHeight="1">
      <c r="B23" s="1" t="s">
        <v>62</v>
      </c>
      <c r="C23" s="1">
        <f>SUM(C2:C22)</f>
        <v>106</v>
      </c>
      <c r="D23" s="1">
        <f>SUM(D2:D22)</f>
        <v>20</v>
      </c>
      <c r="E23" s="1">
        <f>SUM(E2:E22)</f>
        <v>9</v>
      </c>
      <c r="F23" s="1">
        <f>SUM(F2:F22)</f>
        <v>3</v>
      </c>
      <c r="G23" s="1">
        <f>COUNTIF(G3:G22,"TRUE")</f>
        <v>12</v>
      </c>
      <c r="H23" s="1">
        <f>COUNTIF(H3:H22,"TRUE")</f>
        <v>8</v>
      </c>
      <c r="I23" s="1">
        <f>COUNTIF(I3:I22,"TRUE")</f>
        <v>5</v>
      </c>
      <c r="J23" s="1">
        <f>COUNTIF(J3:J22,"TRUE")</f>
        <v>3</v>
      </c>
      <c r="K23" s="1">
        <f>COUNTIF(K3:K22,"TRUE")</f>
        <v>2</v>
      </c>
      <c r="L23" s="7">
        <f>COUNTA(E3:E22)</f>
        <v>20</v>
      </c>
    </row>
    <row r="24" spans="1:12" ht="15.75" customHeight="1">
      <c r="E24" s="1" t="s">
        <v>3</v>
      </c>
      <c r="F24" s="2"/>
      <c r="G24" s="2">
        <f>G23/L23</f>
        <v>0.6</v>
      </c>
      <c r="H24" s="2">
        <f>H23/L23</f>
        <v>0.4</v>
      </c>
      <c r="I24" s="2">
        <f>I23/L23</f>
        <v>0.25</v>
      </c>
      <c r="J24" s="2">
        <f>J23/L23</f>
        <v>0.15</v>
      </c>
      <c r="K24" s="2">
        <f>K23/L23</f>
        <v>0.1</v>
      </c>
    </row>
    <row r="25" spans="1:12" ht="15.75" customHeight="1">
      <c r="E25" s="1" t="s">
        <v>63</v>
      </c>
      <c r="F25" s="2"/>
      <c r="G25" s="2"/>
      <c r="H25" s="2">
        <f>H23/G23</f>
        <v>0.66666666666666663</v>
      </c>
      <c r="I25" s="2">
        <f>I23/G23</f>
        <v>0.41666666666666669</v>
      </c>
      <c r="J25" s="2">
        <f>J23/G23</f>
        <v>0.25</v>
      </c>
      <c r="K25" s="2">
        <f>K23/G23</f>
        <v>0.16666666666666666</v>
      </c>
    </row>
    <row r="26" spans="1:12" ht="15.75" customHeight="1">
      <c r="E26" s="1" t="s">
        <v>64</v>
      </c>
      <c r="F26" s="2"/>
      <c r="G26" s="2">
        <f>E23/C23</f>
        <v>8.4905660377358486E-2</v>
      </c>
      <c r="H26" s="2">
        <f>E23/D23</f>
        <v>0.45</v>
      </c>
    </row>
  </sheetData>
  <hyperlinks>
    <hyperlink ref="E1" r:id="rId1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Vaidyanathan</cp:lastModifiedBy>
  <dcterms:modified xsi:type="dcterms:W3CDTF">2025-06-11T20:24:12Z</dcterms:modified>
</cp:coreProperties>
</file>