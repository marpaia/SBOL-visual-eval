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38E36D38-4608-0F4A-8EF3-5FDE3F9BEB4E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4" i="10"/>
  <c r="H4" i="10"/>
  <c r="I4" i="10"/>
  <c r="J4" i="10"/>
  <c r="K4" i="10"/>
  <c r="G5" i="10"/>
  <c r="H5" i="10"/>
  <c r="I5" i="10"/>
  <c r="K5" i="10" s="1"/>
  <c r="J5" i="10"/>
  <c r="G6" i="10"/>
  <c r="H6" i="10"/>
  <c r="I6" i="10"/>
  <c r="J6" i="10"/>
  <c r="K6" i="10"/>
  <c r="G7" i="10"/>
  <c r="H7" i="10"/>
  <c r="I7" i="10"/>
  <c r="K7" i="10" s="1"/>
  <c r="J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19" i="10"/>
  <c r="H19" i="10"/>
  <c r="I19" i="10"/>
  <c r="J19" i="10"/>
  <c r="K19" i="10"/>
  <c r="G20" i="10"/>
  <c r="H20" i="10"/>
  <c r="I20" i="10"/>
  <c r="J20" i="10"/>
  <c r="K20" i="10"/>
  <c r="G21" i="10"/>
  <c r="H21" i="10"/>
  <c r="I21" i="10"/>
  <c r="J21" i="10"/>
  <c r="K21" i="10"/>
  <c r="G22" i="10"/>
  <c r="H22" i="10"/>
  <c r="I22" i="10"/>
  <c r="J22" i="10"/>
  <c r="K22" i="10"/>
  <c r="G23" i="10"/>
  <c r="H23" i="10"/>
  <c r="I23" i="10"/>
  <c r="J23" i="10"/>
  <c r="K23" i="10"/>
  <c r="G24" i="10"/>
  <c r="H24" i="10"/>
  <c r="I24" i="10"/>
  <c r="J24" i="10"/>
  <c r="K24" i="10"/>
  <c r="G25" i="10"/>
  <c r="H25" i="10"/>
  <c r="I25" i="10"/>
  <c r="J25" i="10"/>
  <c r="K25" i="10"/>
  <c r="G26" i="10"/>
  <c r="H26" i="10"/>
  <c r="I26" i="10"/>
  <c r="J26" i="10"/>
  <c r="K26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11" i="9"/>
  <c r="H11" i="9"/>
  <c r="I11" i="9"/>
  <c r="J11" i="9"/>
  <c r="K11" i="9"/>
  <c r="G12" i="9"/>
  <c r="H12" i="9"/>
  <c r="I12" i="9"/>
  <c r="J12" i="9"/>
  <c r="K12" i="9"/>
  <c r="G13" i="9"/>
  <c r="H13" i="9"/>
  <c r="I13" i="9"/>
  <c r="J13" i="9"/>
  <c r="K13" i="9"/>
  <c r="G14" i="9"/>
  <c r="H14" i="9"/>
  <c r="I14" i="9"/>
  <c r="J14" i="9"/>
  <c r="K14" i="9"/>
  <c r="G15" i="9"/>
  <c r="H15" i="9"/>
  <c r="I15" i="9"/>
  <c r="J15" i="9"/>
  <c r="K15" i="9"/>
  <c r="G16" i="9"/>
  <c r="H16" i="9"/>
  <c r="I16" i="9"/>
  <c r="J16" i="9"/>
  <c r="K16" i="9"/>
  <c r="G17" i="9"/>
  <c r="H17" i="9"/>
  <c r="I17" i="9"/>
  <c r="J17" i="9"/>
  <c r="K17" i="9"/>
  <c r="G18" i="9"/>
  <c r="H18" i="9"/>
  <c r="I18" i="9"/>
  <c r="J18" i="9"/>
  <c r="K18" i="9"/>
  <c r="G19" i="9"/>
  <c r="H19" i="9"/>
  <c r="I19" i="9"/>
  <c r="J19" i="9"/>
  <c r="K19" i="9"/>
  <c r="G20" i="9"/>
  <c r="H20" i="9"/>
  <c r="I20" i="9"/>
  <c r="J20" i="9"/>
  <c r="K20" i="9"/>
  <c r="G21" i="9"/>
  <c r="H21" i="9"/>
  <c r="I21" i="9"/>
  <c r="J21" i="9"/>
  <c r="K21" i="9"/>
  <c r="G22" i="9"/>
  <c r="H22" i="9"/>
  <c r="I22" i="9"/>
  <c r="J22" i="9"/>
  <c r="K22" i="9"/>
  <c r="G23" i="9"/>
  <c r="H23" i="9"/>
  <c r="I23" i="9"/>
  <c r="J23" i="9"/>
  <c r="K23" i="9"/>
  <c r="G24" i="9"/>
  <c r="H24" i="9"/>
  <c r="I24" i="9"/>
  <c r="J24" i="9"/>
  <c r="K24" i="9"/>
  <c r="G25" i="9"/>
  <c r="H25" i="9"/>
  <c r="I25" i="9"/>
  <c r="J25" i="9"/>
  <c r="K25" i="9"/>
  <c r="G26" i="9"/>
  <c r="H26" i="9"/>
  <c r="I26" i="9"/>
  <c r="J26" i="9"/>
  <c r="K26" i="9"/>
  <c r="G27" i="9"/>
  <c r="H27" i="9"/>
  <c r="I27" i="9"/>
  <c r="J27" i="9"/>
  <c r="K27" i="9"/>
  <c r="G28" i="9"/>
  <c r="H28" i="9"/>
  <c r="I28" i="9"/>
  <c r="J28" i="9"/>
  <c r="K28" i="9"/>
  <c r="G29" i="9"/>
  <c r="H29" i="9"/>
  <c r="I29" i="9"/>
  <c r="J29" i="9"/>
  <c r="K29" i="9"/>
  <c r="G27" i="8"/>
  <c r="H27" i="8"/>
  <c r="I27" i="8"/>
  <c r="J27" i="8"/>
  <c r="K27" i="8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24" i="8"/>
  <c r="H24" i="8"/>
  <c r="I24" i="8"/>
  <c r="J24" i="8"/>
  <c r="K24" i="8"/>
  <c r="G25" i="8"/>
  <c r="H25" i="8"/>
  <c r="I25" i="8"/>
  <c r="J25" i="8"/>
  <c r="K25" i="8"/>
  <c r="G26" i="8"/>
  <c r="H26" i="8"/>
  <c r="I26" i="8"/>
  <c r="J26" i="8"/>
  <c r="K26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G19" i="7"/>
  <c r="H19" i="7"/>
  <c r="I19" i="7"/>
  <c r="J19" i="7"/>
  <c r="K19" i="7"/>
  <c r="G20" i="7"/>
  <c r="H20" i="7"/>
  <c r="I20" i="7"/>
  <c r="J20" i="7"/>
  <c r="K20" i="7"/>
  <c r="G21" i="7"/>
  <c r="H21" i="7"/>
  <c r="I21" i="7"/>
  <c r="J21" i="7"/>
  <c r="K21" i="7"/>
  <c r="G22" i="7"/>
  <c r="H22" i="7"/>
  <c r="I22" i="7"/>
  <c r="J22" i="7"/>
  <c r="K22" i="7"/>
  <c r="G23" i="7"/>
  <c r="H23" i="7"/>
  <c r="I23" i="7"/>
  <c r="J23" i="7"/>
  <c r="K23" i="7"/>
  <c r="G24" i="7"/>
  <c r="H24" i="7"/>
  <c r="I24" i="7"/>
  <c r="J24" i="7"/>
  <c r="K24" i="7"/>
  <c r="G25" i="7"/>
  <c r="H25" i="7"/>
  <c r="I25" i="7"/>
  <c r="J25" i="7"/>
  <c r="K25" i="7"/>
  <c r="G26" i="7"/>
  <c r="H26" i="7"/>
  <c r="I26" i="7"/>
  <c r="J26" i="7"/>
  <c r="K26" i="7"/>
  <c r="G27" i="7"/>
  <c r="H27" i="7"/>
  <c r="I27" i="7"/>
  <c r="J27" i="7"/>
  <c r="K27" i="7"/>
  <c r="G28" i="7"/>
  <c r="H28" i="7"/>
  <c r="I28" i="7"/>
  <c r="J28" i="7"/>
  <c r="K28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  <c r="G23" i="6"/>
  <c r="H23" i="6"/>
  <c r="I23" i="6"/>
  <c r="J23" i="6"/>
  <c r="K23" i="6"/>
  <c r="G24" i="6"/>
  <c r="H24" i="6"/>
  <c r="I24" i="6"/>
  <c r="J24" i="6"/>
  <c r="K24" i="6"/>
  <c r="G25" i="6"/>
  <c r="H25" i="6"/>
  <c r="I25" i="6"/>
  <c r="J25" i="6"/>
  <c r="K25" i="6"/>
  <c r="G26" i="6"/>
  <c r="H26" i="6"/>
  <c r="I26" i="6"/>
  <c r="J26" i="6"/>
  <c r="K26" i="6"/>
  <c r="G27" i="6"/>
  <c r="H27" i="6"/>
  <c r="I27" i="6"/>
  <c r="J27" i="6"/>
  <c r="K27" i="6"/>
  <c r="G28" i="6"/>
  <c r="H28" i="6"/>
  <c r="I28" i="6"/>
  <c r="J28" i="6"/>
  <c r="K28" i="6"/>
  <c r="G29" i="6"/>
  <c r="H29" i="6"/>
  <c r="I29" i="6"/>
  <c r="J29" i="6"/>
  <c r="K29" i="6"/>
  <c r="G30" i="6"/>
  <c r="H30" i="6"/>
  <c r="I30" i="6"/>
  <c r="J30" i="6"/>
  <c r="K30" i="6"/>
  <c r="G31" i="6"/>
  <c r="H31" i="6"/>
  <c r="I31" i="6"/>
  <c r="J31" i="6"/>
  <c r="K31" i="6"/>
  <c r="G32" i="6"/>
  <c r="H32" i="6"/>
  <c r="I32" i="6"/>
  <c r="J32" i="6"/>
  <c r="K32" i="6"/>
  <c r="G33" i="6"/>
  <c r="H33" i="6"/>
  <c r="I33" i="6"/>
  <c r="J33" i="6"/>
  <c r="K33" i="6"/>
  <c r="G34" i="6"/>
  <c r="H34" i="6"/>
  <c r="I34" i="6"/>
  <c r="J34" i="6"/>
  <c r="K34" i="6"/>
  <c r="G4" i="5"/>
  <c r="H4" i="5"/>
  <c r="I4" i="5"/>
  <c r="J4" i="5"/>
  <c r="K4" i="5"/>
  <c r="G5" i="5"/>
  <c r="H5" i="5"/>
  <c r="I5" i="5"/>
  <c r="K5" i="5" s="1"/>
  <c r="J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18" i="5"/>
  <c r="H18" i="5"/>
  <c r="I18" i="5"/>
  <c r="J18" i="5"/>
  <c r="K18" i="5"/>
  <c r="G19" i="5"/>
  <c r="H19" i="5"/>
  <c r="I19" i="5"/>
  <c r="J19" i="5"/>
  <c r="K19" i="5"/>
  <c r="G20" i="5"/>
  <c r="H20" i="5"/>
  <c r="I20" i="5"/>
  <c r="J20" i="5"/>
  <c r="K20" i="5"/>
  <c r="G21" i="5"/>
  <c r="H21" i="5"/>
  <c r="I21" i="5"/>
  <c r="J21" i="5"/>
  <c r="K21" i="5"/>
  <c r="G22" i="5"/>
  <c r="H22" i="5"/>
  <c r="I22" i="5"/>
  <c r="J22" i="5"/>
  <c r="K22" i="5"/>
  <c r="G23" i="5"/>
  <c r="H23" i="5"/>
  <c r="I23" i="5"/>
  <c r="J23" i="5"/>
  <c r="K23" i="5"/>
  <c r="G24" i="5"/>
  <c r="H24" i="5"/>
  <c r="I24" i="5"/>
  <c r="J24" i="5"/>
  <c r="K24" i="5"/>
  <c r="G25" i="5"/>
  <c r="H25" i="5"/>
  <c r="I25" i="5"/>
  <c r="J25" i="5"/>
  <c r="K25" i="5"/>
  <c r="G26" i="5"/>
  <c r="H26" i="5"/>
  <c r="I26" i="5"/>
  <c r="J26" i="5"/>
  <c r="K26" i="5"/>
  <c r="G27" i="5"/>
  <c r="H27" i="5"/>
  <c r="I27" i="5"/>
  <c r="J27" i="5"/>
  <c r="K27" i="5"/>
  <c r="G28" i="5"/>
  <c r="H28" i="5"/>
  <c r="I28" i="5"/>
  <c r="J28" i="5"/>
  <c r="K28" i="5"/>
  <c r="G29" i="5"/>
  <c r="H29" i="5"/>
  <c r="I29" i="5"/>
  <c r="J29" i="5"/>
  <c r="K29" i="5"/>
  <c r="G30" i="5"/>
  <c r="H30" i="5"/>
  <c r="I30" i="5"/>
  <c r="J30" i="5"/>
  <c r="K30" i="5"/>
  <c r="G31" i="5"/>
  <c r="H31" i="5"/>
  <c r="I31" i="5"/>
  <c r="J31" i="5"/>
  <c r="K31" i="5"/>
  <c r="G32" i="5"/>
  <c r="H32" i="5"/>
  <c r="I32" i="5"/>
  <c r="J32" i="5"/>
  <c r="K32" i="5"/>
  <c r="G4" i="4"/>
  <c r="H4" i="4"/>
  <c r="I4" i="4"/>
  <c r="J4" i="4"/>
  <c r="K4" i="4"/>
  <c r="G5" i="4"/>
  <c r="I5" i="4" s="1"/>
  <c r="K5" i="4" s="1"/>
  <c r="H5" i="4"/>
  <c r="J5" i="4"/>
  <c r="G6" i="4"/>
  <c r="H6" i="4"/>
  <c r="I6" i="4"/>
  <c r="J6" i="4"/>
  <c r="K6" i="4"/>
  <c r="G7" i="4"/>
  <c r="I7" i="4" s="1"/>
  <c r="K7" i="4" s="1"/>
  <c r="H7" i="4"/>
  <c r="J7" i="4"/>
  <c r="G8" i="4"/>
  <c r="H8" i="4"/>
  <c r="I8" i="4"/>
  <c r="J8" i="4"/>
  <c r="K8" i="4"/>
  <c r="G9" i="4"/>
  <c r="I9" i="4" s="1"/>
  <c r="K9" i="4" s="1"/>
  <c r="H9" i="4"/>
  <c r="J9" i="4"/>
  <c r="G10" i="4"/>
  <c r="H10" i="4"/>
  <c r="I10" i="4"/>
  <c r="J10" i="4"/>
  <c r="K10" i="4"/>
  <c r="G11" i="4"/>
  <c r="I11" i="4" s="1"/>
  <c r="K11" i="4" s="1"/>
  <c r="H11" i="4"/>
  <c r="J11" i="4"/>
  <c r="G12" i="4"/>
  <c r="H12" i="4"/>
  <c r="I12" i="4"/>
  <c r="J12" i="4"/>
  <c r="K12" i="4"/>
  <c r="G13" i="4"/>
  <c r="I13" i="4" s="1"/>
  <c r="K13" i="4" s="1"/>
  <c r="H13" i="4"/>
  <c r="J13" i="4"/>
  <c r="G14" i="4"/>
  <c r="H14" i="4"/>
  <c r="I14" i="4"/>
  <c r="J14" i="4"/>
  <c r="K14" i="4"/>
  <c r="G15" i="4"/>
  <c r="I15" i="4" s="1"/>
  <c r="K15" i="4" s="1"/>
  <c r="H15" i="4"/>
  <c r="J15" i="4"/>
  <c r="G16" i="4"/>
  <c r="H16" i="4"/>
  <c r="I16" i="4"/>
  <c r="J16" i="4"/>
  <c r="K16" i="4"/>
  <c r="G17" i="4"/>
  <c r="I17" i="4" s="1"/>
  <c r="K17" i="4" s="1"/>
  <c r="H17" i="4"/>
  <c r="J17" i="4"/>
  <c r="G18" i="4"/>
  <c r="H18" i="4"/>
  <c r="I18" i="4"/>
  <c r="J18" i="4"/>
  <c r="K18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13" i="3"/>
  <c r="H13" i="3"/>
  <c r="I13" i="3"/>
  <c r="J13" i="3"/>
  <c r="K13" i="3"/>
  <c r="G14" i="3"/>
  <c r="H14" i="3"/>
  <c r="I14" i="3"/>
  <c r="J14" i="3"/>
  <c r="K14" i="3"/>
  <c r="G15" i="3"/>
  <c r="H15" i="3"/>
  <c r="I15" i="3"/>
  <c r="J15" i="3"/>
  <c r="K15" i="3"/>
  <c r="G16" i="3"/>
  <c r="H16" i="3"/>
  <c r="I16" i="3"/>
  <c r="J16" i="3"/>
  <c r="K16" i="3"/>
  <c r="G17" i="3"/>
  <c r="H17" i="3"/>
  <c r="I17" i="3"/>
  <c r="J17" i="3"/>
  <c r="K17" i="3"/>
  <c r="G18" i="3"/>
  <c r="H18" i="3"/>
  <c r="I18" i="3"/>
  <c r="J18" i="3"/>
  <c r="K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J22" i="3"/>
  <c r="K22" i="3"/>
  <c r="G23" i="3"/>
  <c r="H23" i="3"/>
  <c r="I23" i="3"/>
  <c r="J23" i="3"/>
  <c r="K23" i="3"/>
  <c r="G24" i="3"/>
  <c r="H24" i="3"/>
  <c r="I24" i="3"/>
  <c r="J24" i="3"/>
  <c r="K24" i="3"/>
  <c r="G25" i="3"/>
  <c r="H25" i="3"/>
  <c r="I25" i="3"/>
  <c r="J25" i="3"/>
  <c r="K25" i="3"/>
  <c r="G26" i="3"/>
  <c r="H26" i="3"/>
  <c r="I26" i="3"/>
  <c r="J26" i="3"/>
  <c r="K26" i="3"/>
  <c r="G27" i="3"/>
  <c r="H27" i="3"/>
  <c r="I27" i="3"/>
  <c r="J27" i="3"/>
  <c r="K27" i="3"/>
  <c r="G28" i="3"/>
  <c r="H28" i="3"/>
  <c r="I28" i="3"/>
  <c r="J28" i="3"/>
  <c r="K28" i="3"/>
  <c r="G29" i="3"/>
  <c r="H29" i="3"/>
  <c r="I29" i="3"/>
  <c r="J29" i="3"/>
  <c r="K29" i="3"/>
  <c r="G30" i="3"/>
  <c r="H30" i="3"/>
  <c r="I30" i="3"/>
  <c r="J30" i="3"/>
  <c r="K30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I3" i="10"/>
  <c r="K3" i="10" s="1"/>
  <c r="H3" i="10"/>
  <c r="G3" i="10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I3" i="5"/>
  <c r="K3" i="5" s="1"/>
  <c r="H3" i="5"/>
  <c r="G3" i="5"/>
  <c r="J3" i="4"/>
  <c r="I3" i="4"/>
  <c r="K3" i="4" s="1"/>
  <c r="H3" i="4"/>
  <c r="G3" i="4"/>
  <c r="J3" i="3"/>
  <c r="H3" i="3"/>
  <c r="G3" i="3"/>
  <c r="I3" i="3" s="1"/>
  <c r="K3" i="3" s="1"/>
  <c r="K3" i="2"/>
  <c r="J3" i="2"/>
  <c r="I3" i="2"/>
  <c r="H3" i="2"/>
  <c r="G3" i="2"/>
  <c r="L20" i="13"/>
  <c r="F20" i="13"/>
  <c r="E20" i="13"/>
  <c r="H23" i="13" s="1"/>
  <c r="D20" i="13"/>
  <c r="C20" i="13"/>
  <c r="H22" i="12"/>
  <c r="G22" i="12"/>
  <c r="L19" i="12"/>
  <c r="F19" i="12"/>
  <c r="E19" i="12"/>
  <c r="D19" i="12"/>
  <c r="C19" i="12"/>
  <c r="H32" i="11"/>
  <c r="L29" i="11"/>
  <c r="F29" i="11"/>
  <c r="E29" i="11"/>
  <c r="D29" i="11"/>
  <c r="C29" i="11"/>
  <c r="B12" i="1" s="1"/>
  <c r="L27" i="10"/>
  <c r="F27" i="10"/>
  <c r="E27" i="10"/>
  <c r="D27" i="10"/>
  <c r="C11" i="1" s="1"/>
  <c r="C27" i="10"/>
  <c r="G30" i="10" s="1"/>
  <c r="L30" i="9"/>
  <c r="F30" i="9"/>
  <c r="E30" i="9"/>
  <c r="D30" i="9"/>
  <c r="C10" i="1" s="1"/>
  <c r="C30" i="9"/>
  <c r="H31" i="8"/>
  <c r="G31" i="8"/>
  <c r="L28" i="8"/>
  <c r="F28" i="8"/>
  <c r="E28" i="8"/>
  <c r="D28" i="8"/>
  <c r="C28" i="8"/>
  <c r="L29" i="7"/>
  <c r="F29" i="7"/>
  <c r="E8" i="1" s="1"/>
  <c r="E29" i="7"/>
  <c r="D29" i="7"/>
  <c r="C29" i="7"/>
  <c r="H38" i="6"/>
  <c r="G38" i="6"/>
  <c r="L35" i="6"/>
  <c r="F35" i="6"/>
  <c r="E7" i="1" s="1"/>
  <c r="E15" i="1" s="1"/>
  <c r="E35" i="6"/>
  <c r="D35" i="6"/>
  <c r="C35" i="6"/>
  <c r="H36" i="5"/>
  <c r="L33" i="5"/>
  <c r="F33" i="5"/>
  <c r="E33" i="5"/>
  <c r="D33" i="5"/>
  <c r="C33" i="5"/>
  <c r="G36" i="5" s="1"/>
  <c r="G22" i="4"/>
  <c r="L19" i="4"/>
  <c r="F19" i="4"/>
  <c r="E19" i="4"/>
  <c r="D19" i="4"/>
  <c r="H22" i="4" s="1"/>
  <c r="C19" i="4"/>
  <c r="H34" i="3"/>
  <c r="G34" i="3"/>
  <c r="L31" i="3"/>
  <c r="F31" i="3"/>
  <c r="E31" i="3"/>
  <c r="D31" i="3"/>
  <c r="C31" i="3"/>
  <c r="H26" i="2"/>
  <c r="G26" i="2"/>
  <c r="L23" i="2"/>
  <c r="K3" i="1" s="1"/>
  <c r="K15" i="1" s="1"/>
  <c r="F23" i="2"/>
  <c r="E23" i="2"/>
  <c r="D23" i="2"/>
  <c r="C23" i="2"/>
  <c r="V14" i="1"/>
  <c r="U14" i="1"/>
  <c r="T14" i="1"/>
  <c r="K14" i="1"/>
  <c r="E14" i="1"/>
  <c r="D14" i="1"/>
  <c r="C14" i="1"/>
  <c r="B14" i="1"/>
  <c r="V13" i="1"/>
  <c r="U13" i="1"/>
  <c r="T13" i="1"/>
  <c r="K13" i="1"/>
  <c r="E13" i="1"/>
  <c r="D13" i="1"/>
  <c r="C13" i="1"/>
  <c r="B13" i="1"/>
  <c r="V12" i="1"/>
  <c r="U12" i="1"/>
  <c r="T12" i="1"/>
  <c r="K12" i="1"/>
  <c r="E12" i="1"/>
  <c r="D12" i="1"/>
  <c r="C12" i="1"/>
  <c r="V11" i="1"/>
  <c r="U11" i="1"/>
  <c r="T11" i="1"/>
  <c r="K11" i="1"/>
  <c r="E11" i="1"/>
  <c r="D11" i="1"/>
  <c r="B11" i="1"/>
  <c r="V10" i="1"/>
  <c r="K10" i="1"/>
  <c r="E10" i="1"/>
  <c r="B10" i="1"/>
  <c r="V9" i="1"/>
  <c r="U9" i="1"/>
  <c r="T9" i="1"/>
  <c r="K9" i="1"/>
  <c r="E9" i="1"/>
  <c r="D9" i="1"/>
  <c r="C9" i="1"/>
  <c r="B9" i="1"/>
  <c r="V8" i="1"/>
  <c r="K8" i="1"/>
  <c r="C8" i="1"/>
  <c r="B8" i="1"/>
  <c r="V7" i="1"/>
  <c r="U7" i="1"/>
  <c r="T7" i="1"/>
  <c r="K7" i="1"/>
  <c r="D7" i="1"/>
  <c r="C7" i="1"/>
  <c r="B7" i="1"/>
  <c r="V6" i="1"/>
  <c r="U6" i="1"/>
  <c r="T6" i="1"/>
  <c r="K6" i="1"/>
  <c r="E6" i="1"/>
  <c r="D6" i="1"/>
  <c r="C6" i="1"/>
  <c r="B6" i="1"/>
  <c r="V5" i="1"/>
  <c r="U5" i="1"/>
  <c r="T5" i="1"/>
  <c r="K5" i="1"/>
  <c r="E5" i="1"/>
  <c r="D5" i="1"/>
  <c r="C5" i="1"/>
  <c r="B5" i="1"/>
  <c r="V4" i="1"/>
  <c r="U4" i="1"/>
  <c r="T4" i="1"/>
  <c r="K4" i="1"/>
  <c r="E4" i="1"/>
  <c r="D4" i="1"/>
  <c r="C4" i="1"/>
  <c r="B4" i="1"/>
  <c r="V3" i="1"/>
  <c r="U3" i="1"/>
  <c r="T3" i="1"/>
  <c r="E3" i="1"/>
  <c r="D3" i="1"/>
  <c r="C3" i="1"/>
  <c r="B3" i="1"/>
  <c r="B15" i="1" s="1"/>
  <c r="G19" i="12" l="1"/>
  <c r="K19" i="12"/>
  <c r="J13" i="1" s="1"/>
  <c r="H35" i="6"/>
  <c r="H29" i="7"/>
  <c r="H30" i="7" s="1"/>
  <c r="G29" i="7"/>
  <c r="G30" i="7" s="1"/>
  <c r="H19" i="12"/>
  <c r="H20" i="12" s="1"/>
  <c r="I33" i="5"/>
  <c r="H27" i="10"/>
  <c r="H28" i="10" s="1"/>
  <c r="I27" i="10"/>
  <c r="I28" i="10" s="1"/>
  <c r="H33" i="5"/>
  <c r="G6" i="1" s="1"/>
  <c r="K23" i="2"/>
  <c r="J3" i="1" s="1"/>
  <c r="K33" i="5"/>
  <c r="J6" i="1" s="1"/>
  <c r="J31" i="3"/>
  <c r="J32" i="3" s="1"/>
  <c r="I19" i="4"/>
  <c r="H5" i="1" s="1"/>
  <c r="G33" i="5"/>
  <c r="G34" i="5" s="1"/>
  <c r="I35" i="6"/>
  <c r="I36" i="6" s="1"/>
  <c r="J19" i="4"/>
  <c r="J20" i="4" s="1"/>
  <c r="J30" i="9"/>
  <c r="I10" i="1" s="1"/>
  <c r="J27" i="10"/>
  <c r="I11" i="1" s="1"/>
  <c r="I19" i="12"/>
  <c r="I21" i="12" s="1"/>
  <c r="G20" i="13"/>
  <c r="G21" i="13" s="1"/>
  <c r="K27" i="10"/>
  <c r="J11" i="1" s="1"/>
  <c r="J19" i="12"/>
  <c r="J20" i="12" s="1"/>
  <c r="G35" i="6"/>
  <c r="H37" i="6" s="1"/>
  <c r="I28" i="8"/>
  <c r="I29" i="8" s="1"/>
  <c r="G30" i="9"/>
  <c r="F10" i="1" s="1"/>
  <c r="M10" i="1" s="1"/>
  <c r="H19" i="4"/>
  <c r="G5" i="1" s="1"/>
  <c r="K31" i="3"/>
  <c r="K32" i="3" s="1"/>
  <c r="K29" i="7"/>
  <c r="K28" i="8"/>
  <c r="K29" i="8" s="1"/>
  <c r="K24" i="2"/>
  <c r="H23" i="2"/>
  <c r="H24" i="2" s="1"/>
  <c r="K29" i="11"/>
  <c r="J12" i="1" s="1"/>
  <c r="J33" i="5"/>
  <c r="I6" i="1" s="1"/>
  <c r="I31" i="3"/>
  <c r="H4" i="1" s="1"/>
  <c r="H30" i="9"/>
  <c r="G10" i="1" s="1"/>
  <c r="G29" i="11"/>
  <c r="H20" i="13"/>
  <c r="K19" i="4"/>
  <c r="J5" i="1" s="1"/>
  <c r="I30" i="9"/>
  <c r="H10" i="1" s="1"/>
  <c r="H29" i="11"/>
  <c r="G12" i="1" s="1"/>
  <c r="I20" i="13"/>
  <c r="K30" i="9"/>
  <c r="J10" i="1" s="1"/>
  <c r="J23" i="2"/>
  <c r="J24" i="2" s="1"/>
  <c r="I29" i="11"/>
  <c r="I30" i="11" s="1"/>
  <c r="J20" i="13"/>
  <c r="I14" i="1" s="1"/>
  <c r="G28" i="8"/>
  <c r="G29" i="8" s="1"/>
  <c r="G31" i="3"/>
  <c r="F4" i="1" s="1"/>
  <c r="M4" i="1" s="1"/>
  <c r="J35" i="6"/>
  <c r="I29" i="7"/>
  <c r="I30" i="7" s="1"/>
  <c r="J28" i="8"/>
  <c r="I9" i="1" s="1"/>
  <c r="J29" i="11"/>
  <c r="I12" i="1" s="1"/>
  <c r="K20" i="13"/>
  <c r="J14" i="1" s="1"/>
  <c r="G23" i="2"/>
  <c r="K35" i="6"/>
  <c r="J7" i="1" s="1"/>
  <c r="J29" i="7"/>
  <c r="I8" i="1" s="1"/>
  <c r="G27" i="10"/>
  <c r="G19" i="4"/>
  <c r="K20" i="12"/>
  <c r="K21" i="12"/>
  <c r="F13" i="1"/>
  <c r="M13" i="1" s="1"/>
  <c r="G20" i="12"/>
  <c r="G33" i="9"/>
  <c r="D10" i="1"/>
  <c r="H33" i="9"/>
  <c r="D8" i="1"/>
  <c r="H32" i="7"/>
  <c r="G32" i="7"/>
  <c r="C15" i="1"/>
  <c r="V15" i="1" s="1"/>
  <c r="I23" i="2"/>
  <c r="H31" i="3"/>
  <c r="H28" i="8"/>
  <c r="D15" i="1"/>
  <c r="H36" i="6"/>
  <c r="G7" i="1"/>
  <c r="H30" i="10"/>
  <c r="G32" i="11"/>
  <c r="G8" i="1"/>
  <c r="G23" i="13"/>
  <c r="H31" i="7" l="1"/>
  <c r="K31" i="7"/>
  <c r="F8" i="1"/>
  <c r="M8" i="1" s="1"/>
  <c r="H20" i="4"/>
  <c r="I4" i="1"/>
  <c r="K35" i="5"/>
  <c r="F7" i="1"/>
  <c r="M7" i="1" s="1"/>
  <c r="H29" i="10"/>
  <c r="G13" i="1"/>
  <c r="P13" i="1" s="1"/>
  <c r="H21" i="12"/>
  <c r="H7" i="1"/>
  <c r="O7" i="1" s="1"/>
  <c r="H35" i="5"/>
  <c r="I20" i="4"/>
  <c r="H9" i="1"/>
  <c r="O9" i="1" s="1"/>
  <c r="I35" i="5"/>
  <c r="I22" i="13"/>
  <c r="H22" i="13"/>
  <c r="F14" i="1"/>
  <c r="M14" i="1" s="1"/>
  <c r="H14" i="1"/>
  <c r="J31" i="9"/>
  <c r="H11" i="1"/>
  <c r="O11" i="1" s="1"/>
  <c r="J35" i="5"/>
  <c r="K30" i="8"/>
  <c r="H34" i="5"/>
  <c r="G11" i="1"/>
  <c r="N11" i="1" s="1"/>
  <c r="I34" i="5"/>
  <c r="H13" i="1"/>
  <c r="Q13" i="1" s="1"/>
  <c r="H6" i="1"/>
  <c r="F9" i="1"/>
  <c r="M9" i="1" s="1"/>
  <c r="I20" i="12"/>
  <c r="J30" i="7"/>
  <c r="G14" i="1"/>
  <c r="N14" i="1" s="1"/>
  <c r="K30" i="11"/>
  <c r="J9" i="1"/>
  <c r="K28" i="10"/>
  <c r="J21" i="12"/>
  <c r="G31" i="9"/>
  <c r="J32" i="9"/>
  <c r="I21" i="4"/>
  <c r="G36" i="6"/>
  <c r="K20" i="4"/>
  <c r="K36" i="6"/>
  <c r="I32" i="9"/>
  <c r="I21" i="13"/>
  <c r="I37" i="6"/>
  <c r="J21" i="13"/>
  <c r="K30" i="7"/>
  <c r="K31" i="11"/>
  <c r="K32" i="9"/>
  <c r="K25" i="2"/>
  <c r="H8" i="1"/>
  <c r="O8" i="1" s="1"/>
  <c r="I30" i="8"/>
  <c r="F11" i="1"/>
  <c r="M11" i="1" s="1"/>
  <c r="G30" i="11"/>
  <c r="K29" i="10"/>
  <c r="K21" i="4"/>
  <c r="J22" i="13"/>
  <c r="I31" i="9"/>
  <c r="F12" i="1"/>
  <c r="M12" i="1" s="1"/>
  <c r="I32" i="3"/>
  <c r="J4" i="1"/>
  <c r="S4" i="1" s="1"/>
  <c r="G28" i="10"/>
  <c r="J31" i="7"/>
  <c r="J8" i="1"/>
  <c r="S8" i="1" s="1"/>
  <c r="H21" i="13"/>
  <c r="F6" i="1"/>
  <c r="M6" i="1" s="1"/>
  <c r="H12" i="1"/>
  <c r="O12" i="1" s="1"/>
  <c r="K21" i="13"/>
  <c r="J28" i="10"/>
  <c r="I5" i="1"/>
  <c r="H30" i="11"/>
  <c r="I31" i="11"/>
  <c r="J30" i="11"/>
  <c r="H31" i="11"/>
  <c r="H31" i="9"/>
  <c r="J31" i="11"/>
  <c r="I31" i="7"/>
  <c r="I29" i="10"/>
  <c r="I33" i="3"/>
  <c r="K34" i="5"/>
  <c r="K37" i="6"/>
  <c r="G24" i="2"/>
  <c r="K31" i="9"/>
  <c r="J29" i="10"/>
  <c r="G32" i="3"/>
  <c r="J34" i="5"/>
  <c r="J33" i="3"/>
  <c r="J30" i="8"/>
  <c r="J29" i="8"/>
  <c r="G3" i="1"/>
  <c r="N3" i="1" s="1"/>
  <c r="I13" i="1"/>
  <c r="R13" i="1" s="1"/>
  <c r="K33" i="3"/>
  <c r="J37" i="6"/>
  <c r="I7" i="1"/>
  <c r="J36" i="6"/>
  <c r="H25" i="2"/>
  <c r="J25" i="2"/>
  <c r="I3" i="1"/>
  <c r="F3" i="1"/>
  <c r="S3" i="1" s="1"/>
  <c r="R10" i="1"/>
  <c r="R4" i="1"/>
  <c r="K22" i="13"/>
  <c r="H32" i="9"/>
  <c r="S10" i="1"/>
  <c r="R8" i="1"/>
  <c r="O10" i="1"/>
  <c r="Q10" i="1"/>
  <c r="P10" i="1"/>
  <c r="N10" i="1"/>
  <c r="N6" i="1"/>
  <c r="P8" i="1"/>
  <c r="N8" i="1"/>
  <c r="N7" i="1"/>
  <c r="N5" i="1"/>
  <c r="O5" i="1"/>
  <c r="N12" i="1"/>
  <c r="F5" i="1"/>
  <c r="P5" i="1" s="1"/>
  <c r="G20" i="4"/>
  <c r="J21" i="4"/>
  <c r="Q4" i="1"/>
  <c r="O4" i="1"/>
  <c r="H21" i="4"/>
  <c r="U15" i="1"/>
  <c r="T15" i="1"/>
  <c r="H30" i="8"/>
  <c r="G9" i="1"/>
  <c r="H29" i="8"/>
  <c r="U8" i="1"/>
  <c r="T8" i="1"/>
  <c r="T10" i="1"/>
  <c r="U10" i="1"/>
  <c r="H33" i="3"/>
  <c r="G4" i="1"/>
  <c r="H32" i="3"/>
  <c r="S13" i="1"/>
  <c r="I25" i="2"/>
  <c r="H3" i="1"/>
  <c r="I24" i="2"/>
  <c r="N13" i="1" l="1"/>
  <c r="P7" i="1"/>
  <c r="S7" i="1"/>
  <c r="P14" i="1"/>
  <c r="Q14" i="1"/>
  <c r="Q7" i="1"/>
  <c r="Q9" i="1"/>
  <c r="O13" i="1"/>
  <c r="S14" i="1"/>
  <c r="R9" i="1"/>
  <c r="Q6" i="1"/>
  <c r="O14" i="1"/>
  <c r="R14" i="1"/>
  <c r="Q8" i="1"/>
  <c r="O6" i="1"/>
  <c r="P12" i="1"/>
  <c r="S9" i="1"/>
  <c r="Q12" i="1"/>
  <c r="Q11" i="1"/>
  <c r="R11" i="1"/>
  <c r="S11" i="1"/>
  <c r="P6" i="1"/>
  <c r="J15" i="1"/>
  <c r="R6" i="1"/>
  <c r="P11" i="1"/>
  <c r="S6" i="1"/>
  <c r="R12" i="1"/>
  <c r="S12" i="1"/>
  <c r="M3" i="1"/>
  <c r="G15" i="1"/>
  <c r="N15" i="1" s="1"/>
  <c r="Q5" i="1"/>
  <c r="I15" i="1"/>
  <c r="R3" i="1"/>
  <c r="R7" i="1"/>
  <c r="P3" i="1"/>
  <c r="H15" i="1"/>
  <c r="O3" i="1"/>
  <c r="Q3" i="1"/>
  <c r="M5" i="1"/>
  <c r="S5" i="1"/>
  <c r="R5" i="1"/>
  <c r="P4" i="1"/>
  <c r="N4" i="1"/>
  <c r="P9" i="1"/>
  <c r="N9" i="1"/>
  <c r="F15" i="1"/>
  <c r="M15" i="1" s="1"/>
  <c r="S15" i="1" l="1"/>
  <c r="P15" i="1"/>
  <c r="R15" i="1"/>
  <c r="Q15" i="1"/>
  <c r="O15" i="1"/>
</calcChain>
</file>

<file path=xl/sharedStrings.xml><?xml version="1.0" encoding="utf-8"?>
<sst xmlns="http://schemas.openxmlformats.org/spreadsheetml/2006/main" count="531" uniqueCount="346">
  <si>
    <t>Year: 2019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</si>
  <si>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</si>
  <si>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</si>
  <si>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</si>
  <si>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</si>
  <si>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</si>
  <si>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</si>
  <si>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</si>
  <si>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</si>
  <si>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</si>
  <si>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</si>
  <si>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</si>
  <si>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</si>
  <si>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</si>
  <si>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</si>
  <si>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</si>
  <si>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</si>
  <si>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</si>
  <si>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</si>
  <si>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</si>
  <si>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</si>
  <si>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</si>
  <si>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</si>
  <si>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</si>
  <si>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</si>
  <si>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</si>
  <si>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</si>
  <si>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</si>
  <si>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</si>
  <si>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</si>
  <si>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</si>
  <si>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</si>
  <si>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>January 2019 Issue (vol 8, #1)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</si>
  <si>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</si>
  <si>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</si>
  <si>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</si>
  <si>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</si>
  <si>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</si>
  <si>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</si>
  <si>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</si>
  <si>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</si>
  <si>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</si>
  <si>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</si>
  <si>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</si>
  <si>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Biological Engineered Living Materials: Growing Functional Materials with Genetically Programmable Properties</t>
  </si>
  <si>
    <t>Comparison of Integrases Identifies Bxb1-GA Mutant as the Most Efficient Site-Specific Integrase System in Mammalian Cells</t>
  </si>
  <si>
    <t>S-MiRAGE: A Quantitative, Secreted RNA-Based Reporter of Gene Expression and Cell Persistence</t>
  </si>
  <si>
    <t>Tuning the Performance of Synthetic Riboswitches using Machine Learning</t>
  </si>
  <si>
    <t>Establishing a Multivariate Model for Predictable Antisense RNA-Mediated Repression</t>
  </si>
  <si>
    <t>Knock-Down of a ligIV Homologue Enables DNA Integration via Homologous Recombination in the Marine Diatom Phaeodactylum tricornutum</t>
  </si>
  <si>
    <t>Modular Pathway Engineering of Bacillus subtilis To Promote De Novo Biosynthesis of Menaquinone-7</t>
  </si>
  <si>
    <t>A Uniform Molecular Low-Density Parity Check Decoder</t>
  </si>
  <si>
    <t>Longer Inactivating Sequence in Peptide Lock Improves Performance of Synthetic Protease-Activatable Adeno-Associated Virus</t>
  </si>
  <si>
    <t>Less Is More: Toward a Genome-Reduced Bacillus Cell Factory for “Difficult Proteins”</t>
  </si>
  <si>
    <t>Atolypenes, Tricyclic Bacterial Sesterterpenes Discovered Using a Multiplexed In VitroCas9-TAR Gene Cluster Refactoring Approach</t>
  </si>
  <si>
    <t>Designing Spatially Distributed Gene Regulatory Networks To Elicit Contrasting Patterns</t>
  </si>
  <si>
    <t>Machine Learning of Designed Translational Control Allows Predictive Pathway Optimization in Escherichia coli</t>
  </si>
  <si>
    <t>Enhanced Heterologous Spinosad Production from a 79-kb Synthetic Multioperon Assembly</t>
  </si>
  <si>
    <t>Stationary Patterns in a Two-Protein Reaction-Diffusion System</t>
  </si>
  <si>
    <t>Tn-Core: A Toolbox for Integrating Tn-seq Gene Essentiality Data and Constraint-Based Metabolic Modeling</t>
  </si>
  <si>
    <t>Expanding the Potential of CRISPR-Cpf1-Based Genome Editing Technology in the Cyanobacterium Anabaena PCC 7120</t>
  </si>
  <si>
    <t>Engineering the S-Layer of Caulobacter crescentus as a Foundation for Stable, High-Density, 2D Living Materials</t>
  </si>
  <si>
    <t>sboljs: Bringing the Synthetic Biology Open Language to the Web Browser</t>
  </si>
  <si>
    <t>A Robust and All-Inclusive Pipeline for Shuffling of Adeno-Associated Viruses</t>
  </si>
  <si>
    <t>Totals:</t>
  </si>
  <si>
    <t>% of SBOL-possible papers</t>
  </si>
  <si>
    <t>% of all / possible figures</t>
  </si>
  <si>
    <t>February 2019 Issue (vol 8, #2)</t>
  </si>
  <si>
    <t>Application of mRNA Arrays for the Production of mCherry Reporter-Protein Arrays for Quantitative Gene Expression Analysis</t>
  </si>
  <si>
    <t>Incorporation of a Synthetic Amino Acid into dCas9 Improves Control of Gene Silencing</t>
  </si>
  <si>
    <t>Synthetic Transcription Factors Switch from Local to Long-Range Control during Cell Differentiation</t>
  </si>
  <si>
    <t>An Artificial Pathway for Isoprenoid Biosynthesis Decoupled from Native Hemiterpene Metabolism</t>
  </si>
  <si>
    <t>Direct Transfer of a Mycoplasma mycoides Genome to Yeast Is Enhanced by Removal of the Mycoides Glycerol Uptake Factor Gene glpF</t>
  </si>
  <si>
    <t>Riboswitch Signal Amplification by Controlling Plasmid Copy Number</t>
  </si>
  <si>
    <t>Antisense RNA-Based Strategy for Enhancing Surfactin Production in Bacillus subtilisTS1726 via Overexpression of the Unconventional Biotin Carboxylase II To Enhance ACCase Activity</t>
  </si>
  <si>
    <t>Building Microbial Hosts for Heterologous Production of N-Methylpyrrolinium</t>
  </si>
  <si>
    <t>A Regulatory NADH/NAD+ Redox Biosensor for Bacteria</t>
  </si>
  <si>
    <t>Pyruvate Carboxylase Variants Enabling Improved Lysine Production from Glucose Identified by Biosensor-Based High-Throughput Fluorescence-Activated Cell Sorting Screening</t>
  </si>
  <si>
    <t>Ligase-Mediated Threose Nucleic Acid Synthesis on DNA Templates</t>
  </si>
  <si>
    <t>Incorporation of Modified Amino Acids by Engineered Elongation Factors with Expanded Substrate Capabilities</t>
  </si>
  <si>
    <t>Development of a Synthetic 3-Dehydroshikimate Biosensor in Escherichia coli for Metabolite Monitoring and Genetic Screening</t>
  </si>
  <si>
    <t>Engineering a New Class of Anti-LacI Transcription Factors with Alternate DNA Recognition</t>
  </si>
  <si>
    <t>Chimeric LysR-Type Transcriptional Biosensors for Customizing Ligand Specificity Profiles toward Flavonoids</t>
  </si>
  <si>
    <t>Metabolic Engineering Strategies Based on Secondary Messengers (p)ppGpp and C-di-GMP To Increase Erythromycin Yield in Saccharopolyspora erythraea</t>
  </si>
  <si>
    <t>Metabolic Engineering of Saccharomyces cerevisiae for Production of Shinorine, a Sunscreen Material, from Xylose</t>
  </si>
  <si>
    <t>miRNA-Mediated Regulation of Synthetic Gene Circuits in the Green Alga Chlamydomonas reinhardtii</t>
  </si>
  <si>
    <t>Precursor Supply for Erythromycin Biosynthesis: Engineering of Propionate Assimilation Pathway Based on Propionylation Modification</t>
  </si>
  <si>
    <t>Site-Specific Chemoselective Pyrrolysine Analogues Incorporation Using the Cell-Free Protein Synthesis System</t>
  </si>
  <si>
    <t>Redirecting Metabolic Flux via Combinatorial Multiplex CRISPRi-Mediated Repression for Isopentenol Production in Escherichia coli</t>
  </si>
  <si>
    <t>Deconstructing Cell-Free Extract Preparation for in Vitro Activation of Transcriptional Genetic Circuitry</t>
  </si>
  <si>
    <t>Biosynthetic Routes for Producing Various Fucosyl-Oligosaccharides</t>
  </si>
  <si>
    <t>Combining Pro-peptide Engineering and Multisite Saturation Mutagenesis To Improve the Catalytic Potential of Keratinase</t>
  </si>
  <si>
    <t>A Synthetic System That Senses Candida albicans and Inhibits Virulence Factors</t>
  </si>
  <si>
    <t>CRISPR/Cas9-Based Genome Editing in the Filamentous Fungus Fusarium fujikuroi and Its Application in Strain Engineering for Gibberellic Acid Production</t>
  </si>
  <si>
    <t>A Simple, Robust, and Low-Cost Method To Produce the PURE Cell-Free System</t>
  </si>
  <si>
    <t>A Standardized Synthetic Eucalyptus Transcription Factor and Promoter Panel for Re-engineering Secondary Cell Wall Regulation in Biomass and Bioenergy Crops</t>
  </si>
  <si>
    <t>March 2019 Issue (vol 8, #3)</t>
  </si>
  <si>
    <t>Characterizing Transcriptional Interference between Converging Genes in Bacteria</t>
  </si>
  <si>
    <t>An Automated Data-Driven Pipeline for Improving Heterologous Enzyme Expression</t>
  </si>
  <si>
    <t>Network-Based Combinatorial CRISPR-Cas9 Screens Identify Synergistic Modules in Human Cells</t>
  </si>
  <si>
    <t>Self-Assembling RNA Nanoparticle for Gene Expression Regulation in a Model System</t>
  </si>
  <si>
    <t>Physical Plasma Membrane Perturbation Using Subcellular Optogenetics Drives Integrin-Activated Cell Migration</t>
  </si>
  <si>
    <t>Construction of a Nonnatural C60 Carotenoid Biosynthetic Pathway</t>
  </si>
  <si>
    <t>Synthetic Genome Defenses against Selfish DNA Elements Stabilize Engineered Bacteria against Evolutionary Failure</t>
  </si>
  <si>
    <t>Modular Cloning of the Type III Secretion Gene Cluster from the Plant-Pathogenic Bacterium Xanthomonas euvesicatoria</t>
  </si>
  <si>
    <t>An Artificial Biosynthetic Pathway for 2-Amino-1,3-Propanediol Production Using Metabolically Engineered Escherichia coli</t>
  </si>
  <si>
    <t>Osmolyte-Enhanced Protein Synthesis Activity of a Reconstituted Translation System</t>
  </si>
  <si>
    <t>Combining 26s rDNA and the Cre-loxP System for Iterative Gene Integration and Efficient Marker Curation in Yarrowia lipolytica</t>
  </si>
  <si>
    <t>Synthetic Inducible Regulatory Systems Optimized for the Modulation of Secondary Metabolite Production in Streptomyces</t>
  </si>
  <si>
    <t>Metabolic Engineering of a Homoserine-Derived Non-Natural Pathway for the De NovoProduction of 1,3-Propanediol from Glucose</t>
  </si>
  <si>
    <t>Facilitated Large-Scale Sequence Validation Platform Using Tn5-Tagmented Cell Lysates</t>
  </si>
  <si>
    <t>Modulating Responses of Toehold Switches by an Inhibitory Hairpin</t>
  </si>
  <si>
    <t>Construction of Incoherent Feedforward Loop Circuits in a Cell-Free System and in Cells</t>
  </si>
  <si>
    <t>April 2019 Issue (vol 8, #4)</t>
  </si>
  <si>
    <t>Membrane-Bound Protein Scaffolding in Diverse Hosts Using Thylakoid Protein CURT1A</t>
  </si>
  <si>
    <t>Knock-In Strategy for Editing Human and Zebrafish Mitochondrial DNA Using Mito-CRISPR/Cas9 System</t>
  </si>
  <si>
    <t>Developing Riboswitch-Mediated Gene Regulatory Controls in Thermophilic Bacteria</t>
  </si>
  <si>
    <t>Spatiotemporal Gene Repression System in the Heterocyst-Forming Multicellular Cyanobacterium Anabaena sp. PCC 7120</t>
  </si>
  <si>
    <t>Expanding the Toolbox of Broad Host-Range Transcriptional Terminators for Proteobacteria through Metagenomics</t>
  </si>
  <si>
    <t>Building an Inducible T7 RNA Polymerase/T7 Promoter Circuit in Synechocystis sp. PCC6803</t>
  </si>
  <si>
    <t>Desymmetrization of Cyclodepsipeptides by Assembly Mode Switching of Iterative Nonribosomal Peptide Synthetases</t>
  </si>
  <si>
    <t>Structural Characterization of a Synthetic Tandem-Domain Bacterial Microcompartment Shell Protein Capable of Forming Icosahedral Shell Assemblies</t>
  </si>
  <si>
    <t>Measuring Amber Initiator tRNA Orthogonality in a Genomically Recoded Organism</t>
  </si>
  <si>
    <t>A Self-Actuated Cellular Protein Delivery Machine</t>
  </si>
  <si>
    <t>Modeling Genetic Circuit Behavior in Transiently Transfected Mammalian Cells</t>
  </si>
  <si>
    <t>An Expanded Synthetic Biology Toolkit for Gene Expression Control in Acetobacteraceae</t>
  </si>
  <si>
    <t>Constructing Yeast Chimeric Pathways To Boost Lipophilic Terpene Synthesis</t>
  </si>
  <si>
    <t>Designing of a Cofactor Self-Sufficient Whole-Cell Biocatalyst System for Production of 1,2-Amino Alcohols from Epoxides</t>
  </si>
  <si>
    <t>A Yeast System for Discovering Optogenetic Inhibitors of Eukaryotic Translation Initiation</t>
  </si>
  <si>
    <t>Systematic Evaluation of Site-Specific Recombinant Gene Expression for Programmable Mammalian Cell Engineering</t>
  </si>
  <si>
    <t>Sensor-Enabled Alleviation of Product Inhibition in Chorismate Pyruvate-Lyase</t>
  </si>
  <si>
    <t>Enhanced Pyruvate Production in Candida glabrata by Engineering ATP Futile Cycle System</t>
  </si>
  <si>
    <t>Phage-Assisted Evolution of Bacillus methanolicus Methanol Dehydrogenase 2</t>
  </si>
  <si>
    <t>Combinatorial Sensor Design in Caulobacter crescentus for Selective Environmental Uranium Detection</t>
  </si>
  <si>
    <t>Construction of an Efficient and Robust Aspergillus terreus Cell Factory for Monacolin J Production</t>
  </si>
  <si>
    <t>Temporal Pattern Recognition through Analog Molecular Computation</t>
  </si>
  <si>
    <t>The Generation of Thermostable Fungal Laccase Chimeras by SCHEMA-RASPP Structure-Guided Recombination in Vivo</t>
  </si>
  <si>
    <t>An Accessible Continuous-Culture Turbidostat for Pooled Analysis of Complex Libraries</t>
  </si>
  <si>
    <t>Direct Aromatic Nitration System for Synthesis of Nitrotryptophans in Escherichia coli</t>
  </si>
  <si>
    <t>Metabolic Engineering of Main Transcription Factors in Carbon, Nitrogen, and Phosphorus Metabolisms for Enhanced Production of Bacitracin in Bacillus licheniformis</t>
  </si>
  <si>
    <t>Shunting Phenylacetic Acid Catabolism for Tropone Biosynthesis</t>
  </si>
  <si>
    <t>Systematic Evaluation of Genetic and Environmental Factors Affecting Performance of Translational Riboswitches</t>
  </si>
  <si>
    <t>PLANT-Dx: A Molecular Diagnostic for Point-of-Use Detection of Plant Pathogens</t>
  </si>
  <si>
    <t>Rapid Assembly of gRNA Arrays via Modular Cloning in Yeast</t>
  </si>
  <si>
    <t># Papers</t>
  </si>
  <si>
    <t>May 2019 Issue (vol 8, #5)</t>
  </si>
  <si>
    <t>Core Catalysis of the Reductive Glycine Pathway Demonstrated in Yeast</t>
  </si>
  <si>
    <t>A Multireporter Bacterial 2-Hybrid Assay for the High-Throughput and Dynamic Assay of PDZ Domain–Peptide Interactions</t>
  </si>
  <si>
    <t>Synthetic Bistability and Differentiation in Yeast</t>
  </si>
  <si>
    <t>One-Pot Assembly of Complex Giant Unilamellar Vesicle-Based Synthetic Cells</t>
  </si>
  <si>
    <t>Protein-Programmed Accumulation of Yeast Cytosine Deaminase in Cancer Cells in Response to Mock-Hypoxia</t>
  </si>
  <si>
    <t>RNA-Catalyzed Polymerization of Deoxyribose, Threose, and Arabinose Nucleic Acids</t>
  </si>
  <si>
    <t>Microfluidic Synchronizer Using a Synthetic Nanoparticle-Capped Bacterium</t>
  </si>
  <si>
    <t>Orthogonal Engineering of Biosynthetic Pathway for Efficient Production of Limonene in Saccharomyces cerevisiae</t>
  </si>
  <si>
    <t>Turnover Dependent Phenotypic Simulation: A Quantitative Constraint-Based Simulation Method That Accommodates All Main Strain Design Strategies</t>
  </si>
  <si>
    <t>Development of Whole-Porcine Monoclonal Antibodies with Potent Neutralization Activity against Classical Swine Fever Virus from Single B Cells</t>
  </si>
  <si>
    <t>BioBits Health: Classroom Activities Exploring Engineering, Biology, and Human Health with Fluorescent Readouts</t>
  </si>
  <si>
    <t>PERSIA for Direct Fluorescence Measurements of Transcription, Translation, and Enzyme Activity in Cell-Free Systems</t>
  </si>
  <si>
    <t>Optogenetic Downregulation of Protein Levels with an Ultrasensitive Switch</t>
  </si>
  <si>
    <t>Engineering an Artificial Membrane Vesicle Trafficking System (AMVTS) for the Excretion of β-Carotene in Escherichia coli</t>
  </si>
  <si>
    <t>Highly Efficient Single-Pot Scarless Golden Gate Assembly</t>
  </si>
  <si>
    <t>Endocytosing Escherichia coli as a Whole-Cell Biocatalyst of Fatty Acids</t>
  </si>
  <si>
    <t>A Direct RNA-to-RNA Replication System for Enhanced Gene Expression in Bacteria</t>
  </si>
  <si>
    <t>A Novel Synthetic Toehold Switch for MicroRNA Detection in Mammalian Cells</t>
  </si>
  <si>
    <t>Engineering a Synthetic, Catabolically Orthogonal Coculture System for Enhanced Conversion of Lignocellulose-Derived Sugars to Ethanol</t>
  </si>
  <si>
    <t>Improved Optical Multiplexing with Temporal DNA Barcodes</t>
  </si>
  <si>
    <t>Construction of a Quadrangular Tetramer and a Cage-Like Hexamer from Three-Helix Bundle-Linked Fusion Proteins</t>
  </si>
  <si>
    <t>Biosynthesis and Heterologous Production of Argyrins</t>
  </si>
  <si>
    <t>A CRISPR-Cas9 Strategy for Activating the Saccharopolyspora erythraea Erythromycin Biosynthetic Gene Cluster with Knock-in Bidirectional Promoters</t>
  </si>
  <si>
    <t>Thermostability Trends of TNA:DNA Duplexes Reveal Strong Purine Dependence</t>
  </si>
  <si>
    <t>Combining Protein and Metabolic Engineering Strategies for High-Level Production of O-Acetylhomoserine in Escherichia coli</t>
  </si>
  <si>
    <t>Genetic Incorporation of Noncanonical Amino Acids Using Two Mutually Orthogonal Quadruplet Codons</t>
  </si>
  <si>
    <t>Rapid, Heuristic Discovery and Design of Promoter Collections in Non-Model Microbes for Industrial Applications</t>
  </si>
  <si>
    <t>Mutagenesis of the Microcystin Tailoring and Transport Proteins in a Heterologous Cyanotoxin Expression System</t>
  </si>
  <si>
    <t>Construction of Bacterial Cells with an Active Transport System for Unnatural Amino Acids</t>
  </si>
  <si>
    <t>sessing the Flexibility of the Prochlorosin 2.8 Scaffold for Bioengineering Applications</t>
  </si>
  <si>
    <t>Cell-Penetrating Peptide-Mediated Transformation of Large Plasmid DNA into Escherichia coli</t>
  </si>
  <si>
    <t>Fine-Tuning Native Promoters of Synechococcus elongatus PCC 7942 To Develop a Synthetic Toolbox for Heterologous Protein Expression</t>
  </si>
  <si>
    <t>June 2019 Issue (vol 8, #6)</t>
  </si>
  <si>
    <t>Controlling Secretion in Artificial Cells with a Membrane AND Gate</t>
  </si>
  <si>
    <t>Growth Defects and Loss-of-Function in Synthetic Gene Circuits</t>
  </si>
  <si>
    <t>Driving the Scalability of DNA-Based Information Storage Systems</t>
  </si>
  <si>
    <t>Genetic Compatibility and Extensibility of Orthogonal Replication</t>
  </si>
  <si>
    <t>De Novo Production of the Plant-Derived Tropine and Pseudotropine in Yeast</t>
  </si>
  <si>
    <t>Design and Evaluation of Synthetic Terminators for Regulating Mammalian Cell Transgene Expression</t>
  </si>
  <si>
    <t>Artificial Caprolactam-Specific Riboswitch as an Intracellular Metabolite Sensor</t>
  </si>
  <si>
    <t>Guiding Biomolecular Interactions in Cells Using de Novo Protein–Protein Interfaces</t>
  </si>
  <si>
    <t>Dichotomous Nature of Bistability Generated by Negative Cooperativity in Receptor–Ligand Binding</t>
  </si>
  <si>
    <t>Expanding the Isoprenoid Building Block Repertoire with an IPP Methyltransferase from Streptomyces monomycini</t>
  </si>
  <si>
    <t>Engineering Adenylate Cyclase Activated by Near-Infrared Window Light for Mammalian Optogenetic Applications</t>
  </si>
  <si>
    <t>Altering the Substrate Specificity of Acetyl-CoA Synthetase by Rational Mutagenesis of the Carboxylate Binding Pocket</t>
  </si>
  <si>
    <t>Lessons from Two Design–Build–Test–Learn Cycles of Dodecanol Production in Escherichia coli Aided by Machine Learning</t>
  </si>
  <si>
    <t>Intracellular Noise Level Determines Ratio Control Strategy Confined by Speed–Accuracy Trade-off</t>
  </si>
  <si>
    <t>Deconvolution of Luminescence Cross-Talk in High-Throughput Gene Expression Profiling</t>
  </si>
  <si>
    <t>GeneORator: An Effective Strategy for Navigating Protein Sequence Space More Efficiently through Boolean OR-Type DNA Libraries</t>
  </si>
  <si>
    <t>RiboCas: A Universal CRISPR-Based Editing Tool for Clostridium</t>
  </si>
  <si>
    <t>Development of a Genetically Encoded Biosensor for Detection of Polyketide Synthase Extender Units in Escherichia coli</t>
  </si>
  <si>
    <t>DNA Sequencing Method Including Unnatural Bases for DNA Aptamer Generation by Genetic Alphabet Expansion</t>
  </si>
  <si>
    <t>Machine Learning Applied to Predicting Microorganism Growth Temperatures and Enzyme Catalytic Optima</t>
  </si>
  <si>
    <t>Elucidating the Determinants of Polymerase Specificity by Microfluidic-Based Deep Mutational Scanning</t>
  </si>
  <si>
    <t>Fluorescence-Activated Droplet Sorting for Single-Cell Directed Evolution</t>
  </si>
  <si>
    <t>Improved Efficiency of the Desulfurization of Oil Sulfur Compounds in Escherichia coliUsing a Combination of Desensitization Engineering and DszC Overexpression</t>
  </si>
  <si>
    <t>Broad-Spectrum Gene Repression Using Scaffold Engineering of Synthetic sRNAs</t>
  </si>
  <si>
    <t>Engineered Reversal of Function in Glycolytic Yeast Promoters</t>
  </si>
  <si>
    <t>Characterization of a Panel of Strong Constitutive Promoters from Streptococcus thermophilus for Fine-Tuning Gene Expression</t>
  </si>
  <si>
    <t>July 2019 Issue (vol 8, #7)</t>
  </si>
  <si>
    <t>Opportunities at the Intersection of Synthetic Biology, Machine Learning, and Automation</t>
  </si>
  <si>
    <t>SelProm: A Queryable and Predictive Expression Vector Selection Tool for Escherichia coli</t>
  </si>
  <si>
    <t>An Automated Biomodel Selection System (BMSS) for Gene Circuit Designs</t>
  </si>
  <si>
    <t>SBOL-OWL: An Ontological Approach for Formal and Semantic Representation of Synthetic Biology Information</t>
  </si>
  <si>
    <t>pySBOL: A Python Package for Genetic Design Automation and Standardization</t>
  </si>
  <si>
    <t>Specifying Combinatorial Designs with the Synthetic Biology Open Language (SBOL)</t>
  </si>
  <si>
    <t>TASBE Flow Analytics: A Package for Calibrated Flow Cytometry Analysis</t>
  </si>
  <si>
    <t>A Logic Programming Language for Computational Nucleic Acid Devices</t>
  </si>
  <si>
    <t>A Computational Workflow for the Automated Generation of Models of Genetic Designs</t>
  </si>
  <si>
    <t>iBioSim 3: A Tool for Model-Based Genetic Circuit Design</t>
  </si>
  <si>
    <t>3D Printing for the Fabrication of Biofilm-Based Functional Living Materials</t>
  </si>
  <si>
    <t>5S rRNA Promoter for Guide RNA Expression Enabled Highly Efficient CRISPR/Cas9 Genome Editing in Aspergillus niger</t>
  </si>
  <si>
    <t>Cell-Type-Specific CRISPR Activation with MicroRNA-Responsive AcrllA4 Switch</t>
  </si>
  <si>
    <t>Programmable CRISPR-Cas Repression, Activation, and Computation with Sequence-Independent Targets and Triggers</t>
  </si>
  <si>
    <t>Reversing an Extracellular Electron Transfer Pathway for Electrode-Driven Acetoin Reduction</t>
  </si>
  <si>
    <t>Design Principles for Compartmentalization and Spatial Organization of Synthetic Genetic Circuits</t>
  </si>
  <si>
    <t>Metabolic Engineering of the MEP Pathway in Bacillus subtilis for Increased Biosynthesis of Menaquinone-7</t>
  </si>
  <si>
    <t>Optimization of Recombinant Membrane Protein Production in the Engineered Escherichia coli Strains SuptoxD and SuptoxR</t>
  </si>
  <si>
    <t>Heterologous Microcompartment Assembly in Bacillaceae: Establishing the Components Necessary for Scaffold Formation</t>
  </si>
  <si>
    <t>Symmetric-Key Encryption Based on Bioaffinity Interactions</t>
  </si>
  <si>
    <t>A Universal Assay for Making DNA, RNA, and RNA–DNA Hybrid Configurations for Single-Molecule Manipulation in Two or Three Steps without Ligation</t>
  </si>
  <si>
    <t>An Engineered B. subtilis Inducible Promoter System with over 10 000-Fold Dynamic Range</t>
  </si>
  <si>
    <t>OpEn-Tag—A Customizable Optogenetic Toolbox To Dissect Subcellular Signaling</t>
  </si>
  <si>
    <t>Bicistronic Design-Based Continuous and High-Level Membrane Protein Production in Escherichia coli</t>
  </si>
  <si>
    <t>A Framework for the Modular and Combinatorial Assembly of Synthetic Gene Circuits</t>
  </si>
  <si>
    <t>August 2019 Issue (vol 8, #8)</t>
  </si>
  <si>
    <t>Cloning and Expression of a Nonribosomal Peptide Synthetase to Generate Blue Rose</t>
  </si>
  <si>
    <t>Gene Expression in on-Chip Membrane-Bound Artificial Cells</t>
  </si>
  <si>
    <t>Synthetic, Context-Dependent Microbial Consortium of Predator and Prey</t>
  </si>
  <si>
    <t>Inducible Plasmid Self-Destruction (IPSD) Assisted Genome Engineering in Lactobacilli and Bifidobacteria</t>
  </si>
  <si>
    <t>Targeted Cancer Cell Killing by Highly Selective miRNA-Triggered Activation of a Prokaryotic Toxin–Antitoxin System</t>
  </si>
  <si>
    <t>Genetic Selection for Small Molecule Production in Competitive Microfluidic Droplets</t>
  </si>
  <si>
    <t>Inducible Gene Switches with Memory in Human T Cells for Cellular Immunotherapy</t>
  </si>
  <si>
    <t>Metabolic Rewiring Improves the Production of the Fungal Active Targeting Molecule Fusarinine C</t>
  </si>
  <si>
    <t>Combined Assembly and Targeted Integration of Multigene for Nitrogenase Biosynthetic Pathway in Saccharomyces cerevisiae</t>
  </si>
  <si>
    <t>Bacterial MbtH-like Proteins Stimulate Nonribosomal Peptide Synthetase-Derived Secondary Metabolism in Filamentous Fungi</t>
  </si>
  <si>
    <t>FadR-Based Biosensor-Assisted Screening for Genes Enhancing Fatty Acyl-CoA Pools in Saccharomyces cerevisiae</t>
  </si>
  <si>
    <t>De Novo Biosynthesis of (S)- and (R)-Phenylethanediol in Yeast via Artificial Enzyme Cascades</t>
  </si>
  <si>
    <t>Decorating the Outer Surface of Microbially Produced Protein Nanowires with Peptides</t>
  </si>
  <si>
    <t>Communicating Structure and Function in Synthetic Biology Diagrams</t>
  </si>
  <si>
    <t>Engineering a Bifunctional Phr60-Rap60-Spo0A Quorum-Sensing Molecular Switch for Dynamic Fine-Tuning of Menaquinone-7 Synthesis in Bacillus subtilis</t>
  </si>
  <si>
    <t>Automated Design of Diverse Stand-Alone Riboswitches</t>
  </si>
  <si>
    <t>Displaced by Deceivers: Prevention of Biosensor Cross-Talk Is Pivotal for Successful Biosensor-Based High-Throughput Screening Campaigns</t>
  </si>
  <si>
    <t>Diversity of O-Glycosyltransferases Contributes to the Biosynthesis of Flavonoid and Triterpenoid Glycosides in Glycyrrhiza uralensis</t>
  </si>
  <si>
    <t>Developing a Protein Scaffolding System for Rapid Enzyme Immobilization and Optimization of Enzyme Functions for Biocatalysis</t>
  </si>
  <si>
    <t>Efficient and Precise Genome Editing in Shewanella with Recombineering and CRISPR/Cas9-Mediated Counter-Selection</t>
  </si>
  <si>
    <t>Reverse Engineering of an Aspirin-Responsive Transcriptional Regulator in Escherichia coli</t>
  </si>
  <si>
    <t>Targeting 16S rDNA for Stable Recombinant Gene Expression in Pseudomonas</t>
  </si>
  <si>
    <t>An Adaptive Synthetic Cell Based on Mechanosensing, Biosensing, and Inducible Gene Circuits</t>
  </si>
  <si>
    <t>Construction of Genetic Logic Gates Based on the T7 RNA Polymerase Expression System in Rhodococcus opacus PD630</t>
  </si>
  <si>
    <t>Producing Gram-Scale Unnatural Rosavin Analogues from Glucose by Engineered Escherichia coli</t>
  </si>
  <si>
    <t>Engineered Production of Hapalindole Alkaloids in the Cyanobacterium Synechococcussp. UTEX 2973</t>
  </si>
  <si>
    <t>Optimizing Cell-Free Biosensors to Monitor Enzymatic Production</t>
  </si>
  <si>
    <t>September 2019 Issue (vol 8, #9)</t>
  </si>
  <si>
    <t>Development of a Vanillate Biosensor for the Vanillin Biosynthesis Pathway in E. coli</t>
  </si>
  <si>
    <t>Expanding the Dynamic Range of a Transcription Factor-Based Biosensor in Saccharomyces cerevisiae</t>
  </si>
  <si>
    <t>Reversible Gene Regulation in Mammalian Cells Using Riboswitch-Engineered Vesicular Stomatitis Virus Vector</t>
  </si>
  <si>
    <t>CRISPRi-Based Downregulation of Transcriptional Feedback Improves Growth and Metabolism of Arginine Overproducing E. coli</t>
  </si>
  <si>
    <t>In Vitro Packaging Mediated One-Step Targeted Cloning of Natural Product Pathway</t>
  </si>
  <si>
    <t>Systematic Evaluation of CRISPRa and CRISPRi Modalities Enables Development of a Multiplexed, Orthogonal Gene Activation and Repression System</t>
  </si>
  <si>
    <t>A Model for the Spatiotemporal Design of Gene Regulatory Circuits</t>
  </si>
  <si>
    <t>Employing 25-Residue Docking Motifs from Modular Polyketide Synthases as Orthogonal Protein Connectors</t>
  </si>
  <si>
    <t>Hysteretic Genetic Circuit for Detection of Proteasomal Degradation in Mammalian Cells</t>
  </si>
  <si>
    <t>Streamlined Pseudomonas taiwanensis VLB120 Chassis Strains with Improved Bioprocess Features</t>
  </si>
  <si>
    <t>Spatiotemporal Dynamics of Synthetic Microbial Consortia in Microfluidic Devices</t>
  </si>
  <si>
    <t>Genome Engineering of Eubacterium limosum Using Expanded Genetic Tools and the CRISPR-Cas9 System</t>
  </si>
  <si>
    <t>Synthetic Biology Tools for the Fast-Growing Marine Bacterium Vibrio natriegens</t>
  </si>
  <si>
    <t>Quantification of Interlaboratory Cell-Free Protein Synthesis Variability</t>
  </si>
  <si>
    <t>Developing a Versatile Shotgun Cloning Strategy for Single-Vector-Based Multiplex Expression of Short Interfering RNAs (siRNAs) in Mammalian Cells</t>
  </si>
  <si>
    <t>Nonlinear Regulation of Enzyme-Free DNA Circuitry with Ultrasensitive Switches</t>
  </si>
  <si>
    <t>ynthetic Gene Circuits Enable Escherichia coli To Use Endogenous H2S as a Signaling Molecule for Quorum Sensing</t>
  </si>
  <si>
    <t>Design and Characterization of Biosensors for the Screening of Modular Assembled Naringenin Biosynthetic Library in Saccharomyces cerevisiae</t>
  </si>
  <si>
    <t>Vitamin A Production by Engineered Saccharomyces cerevisiae from Xylose via Two-Phase in Situ Extraction</t>
  </si>
  <si>
    <t>Defensive Function of Transposable Elements in Bacteria</t>
  </si>
  <si>
    <t>Synthetic Genetic Circuits for Self-Actuated Cellular Nanomaterial Fabrication Devices</t>
  </si>
  <si>
    <t>Cell-Free Prototyping of AND-Logic Gates Based on Heterogeneous RNA Activators</t>
  </si>
  <si>
    <t>Top-Down Enrichment Guides in Formation of Synthetic Microbial Consortia for Biomass Degradation</t>
  </si>
  <si>
    <t>Recombination-Independent Genome Editing through CRISPR/Cas9-Enhanced TargeTron Delivery</t>
  </si>
  <si>
    <t>October 2019 Issue (vol 8, #10)</t>
  </si>
  <si>
    <t>Strategies for Applying Nonhomologous End Joining-Mediated Genome Editing in Prokaryotes</t>
  </si>
  <si>
    <t>Improving Chromosome Synthesis with a Semiquantitative Phenotypic Assay and Refined Assembly Strategy</t>
  </si>
  <si>
    <t>Low-Burden Biological Feedback Controllers for Near-Perfect Adaptation</t>
  </si>
  <si>
    <t>Functional Expression of GFP-Fused Class I Lanthipeptides in Escherichia coli</t>
  </si>
  <si>
    <t>HOLMESv2: A CRISPR-Cas12b-Assisted Platform for Nucleic Acid Detection and DNA Methylation Quantitation</t>
  </si>
  <si>
    <t>Mevalonate Pathway Promiscuity Enables Noncanonical Terpene Production</t>
  </si>
  <si>
    <t>Amelioration of Diabetes in a Murine Model upon Transplantation of Pancreatic β-Cells with Optogenetic Control of Cyclic Adenosine Monophosphate</t>
  </si>
  <si>
    <t>Modular Thermal Control of Protein Dimerization</t>
  </si>
  <si>
    <t>Exploiting Day- and Night-Time Metabolism of Synechocystis sp. PCC 6803 for Fitness-Coupled Fumarate Production around the Clock</t>
  </si>
  <si>
    <t>CRISPR-Cas12a-Mediated Gene Deletion and Regulation in Clostridium ljungdahlii and Its Application in Carbon Flux Redirection in Synthesis Gas Fermentation</t>
  </si>
  <si>
    <t>CF-Targeter: A Rational Biological Cell Factory Targeting Platform for Biosynthetic Target Chemicals</t>
  </si>
  <si>
    <t>SBOLExplorer: Data Infrastructure and Data Mining for Genetic Design Repositories</t>
  </si>
  <si>
    <t>Development of a Highly Sensitive Whole-Cell Biosensor for Arsenite Detection through Engineered Promoter Modifications</t>
  </si>
  <si>
    <t>Enhancing the Yield and Quality of Influenza Virus-like Particles (VLPs) Produced in Insect Cells by Inhibiting Cytopathic Effects of Matrix Protein M2</t>
  </si>
  <si>
    <t>Sequence-Specific Mucins for Glycocalyx Engineering</t>
  </si>
  <si>
    <t>Characterization and Engineering of a Clostridium Glycine Riboswitch and Its Use To Control a Novel Metabolic Pathway for 5-Aminolevulinic Acid Production in Escherichia coli</t>
  </si>
  <si>
    <t>Controlling Heterogeneity and Increasing Titer from Riboswitch-Regulated Bacillus subtilis Spores for Time-Delayed Protein Expression Applications</t>
  </si>
  <si>
    <t>Industrializing a Bacterial Strain for l-Serine Production through Translation Initiation Optimization</t>
  </si>
  <si>
    <t>An AND-Gated Drug and Photoactivatable Cre-loxP System for Spatiotemporal Control in Cell-Based Therapeutics</t>
  </si>
  <si>
    <t>A Broad-Host-Range CRISPRi Toolkit for Silencing Gene Expression in Burkholderia</t>
  </si>
  <si>
    <t>Robust Characterization of Two Distinct Glutarate Sensing Transcription Factors of Pseudomonas putidal-Lysine Metabolism</t>
  </si>
  <si>
    <t>Semisynthesis of the Neuroprotective Metabolite, Serofendic Acid</t>
  </si>
  <si>
    <t>Genetic Circuits To Detect Nanomaterial Triggered Toxicity through Engineered Heat Shock Response Mechanism</t>
  </si>
  <si>
    <t>Engineering the Substrate Transport and Cofactor Regeneration Systems for Enhancing 2′-Fucosyllactose Synthesis in Bacillus subtilis</t>
  </si>
  <si>
    <t>Construction of Two-Input Logic Gates Using Transcriptional Interference</t>
  </si>
  <si>
    <t>Production of Phytochromes by High-Cell-Density E. coli Fermentation</t>
  </si>
  <si>
    <t>November 2019 Issue (vol 8, #11)</t>
  </si>
  <si>
    <t>Design and Control of Extrachromosomal Elements in Methylorubrum extorquens AM1</t>
  </si>
  <si>
    <t>Model-Assisted Fine-Tuning of Central Carbon Metabolism in Yeast through dCas9-Based Regulation</t>
  </si>
  <si>
    <t>Interkingdom Genetic Mix-and-Match To Produce Novel Sunscreens</t>
  </si>
  <si>
    <t>Generation of Stable Influenza Virus Hemagglutinin through Structure-Guided Recombination</t>
  </si>
  <si>
    <t>An Aldolase-Catalyzed New Metabolic Pathway for the Assimilation of Formaldehyde and Methanol To Synthesize 2-Keto-4-hydroxybutyrate and 1,3-Propanediol in Escherichia coli</t>
  </si>
  <si>
    <t>Exploring Chemical Biosynthetic Design Space with Transform-MinER</t>
  </si>
  <si>
    <t>Synthesis and Characterization of Versatile O-Glycan Precursors for Cellular O-Glycomics</t>
  </si>
  <si>
    <t>Optimizing Oleaginous Yeast Cell Factories for Flavonoids and Hydroxylated Flavonoids Biosynthesis</t>
  </si>
  <si>
    <t>Model-Driven Engineering of N-Linked Glycosylation in Chinese Hamster Ovary Cells</t>
  </si>
  <si>
    <t>Simultaneous Visualization of Multiple Gene Expression in Single Cells Using an Engineered Multicolor Reporter Toolbox and Approach of Spectral Crosstalk Correction</t>
  </si>
  <si>
    <t>CReasPy-Cloning: A Method for Simultaneous Cloning and Engineering of Megabase-Sized Genomes in Yeast Using the CRISPR-Cas9 System</t>
  </si>
  <si>
    <t>In Vitro Transcriptional Regulation via Nucleic-Acid-Based Transcription Factors</t>
  </si>
  <si>
    <t>Off-Colony Screening of Biosynthetic Libraries by Rapid Laser-Enabled Mass Spectrometry</t>
  </si>
  <si>
    <t>Development of a New Biocontainment Strategy in Model Cyanobacterium Synechococcus Strains</t>
  </si>
  <si>
    <t>Repurposing Protein Degradation for Optogenetic Modulation of Protein Activities</t>
  </si>
  <si>
    <t>A Toolkit for Rapid Modular Construction of Biological Circuits in Mammalian Cells</t>
  </si>
  <si>
    <t>December 2019 Issue (vol 8, #12)</t>
  </si>
  <si>
    <t>Advancing CRISPR-Based Programmable Platforms beyond Genome Editing in Mammalian Cells</t>
  </si>
  <si>
    <t>Detecting Changes in the Caenorhabditis elegans Intestinal Environment Using an Engineered Bacterial Biosensor</t>
  </si>
  <si>
    <t>Double-Check Base Editing for Efficient A to G Conversions</t>
  </si>
  <si>
    <t>Models for DNA Design Tools: The Trouble with Metaphors Is That They Don’t Go Away</t>
  </si>
  <si>
    <t>Enhanced Population Control in a Synthetic Bacterial Consortium by Interconnected Carbon Cross-Feeding</t>
  </si>
  <si>
    <t>Seeded Chain-Growth Polymerization of Proteins in Living Bacterial Cells</t>
  </si>
  <si>
    <t>Unravelling the Biosynthetic Flexibility of UK-2A Enables Enzymatic Synthesis of Its Structural Variants</t>
  </si>
  <si>
    <t>Pregnenolone Overproduction in Yarrowia lipolytica by Integrative Components Pairing of the Cytochrome P450scc System</t>
  </si>
  <si>
    <t>Switching the Ligand Specificity of the Biosensor XylS from meta to para-Toluic Acid through Directed Evolution Exploiting a Dual Selection System</t>
  </si>
  <si>
    <t>High-Throughput, Lysis-Free Screening for Sulfatase Activity Using Escherichia coli Autodisplay in Microdroplets</t>
  </si>
  <si>
    <t>Single-Stage Astaxanthin Production Enhances the Nonmevalonate Pathway and Photosynthetic Central Metabolism in Synechococcus sp. PCC 7002</t>
  </si>
  <si>
    <t>Identification of Three Antimicrobials Activating Serotonin Receptor 4 in Colon Cells</t>
  </si>
  <si>
    <t>Enzymatic O-Glycosylation of Etoposide Aglycone by Exploration of the Substrate Promiscuity for Glycosyltransferases</t>
  </si>
  <si>
    <t>CRISPR/Cas12a Mediated Genome Editing To Introduce Amino Acid Substitutions into the Mechanosensitive Channel MscCG of Corynebacterium glutamicum</t>
  </si>
  <si>
    <t>Engineering New Branches of the Kynurenine Pathway To Produce Oxo-(2-aminophenyl) and Quinoline Scaffolds in Yeast</t>
  </si>
  <si>
    <t>Organism Engineering for the Bioproduction of the Triaminotrinitrobenzene (TATB) Precursor Phloroglucinol (PG)</t>
  </si>
  <si>
    <t>Heterochiral DNA Strand-Displacement Based on Chimeric d/l-Oligonucleotides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</si>
</sst>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9"/>
      <color rgb="FF000000"/>
      <name val="&quot;Google Sans Mono&quot;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"/>
  <sheetViews>
    <sheetView tabSelected="1" workbookViewId="0"/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11" t="s">
        <v>1</v>
      </c>
      <c r="C1" s="12"/>
      <c r="D1" s="12"/>
      <c r="E1" s="12"/>
      <c r="F1" s="11" t="s">
        <v>2</v>
      </c>
      <c r="G1" s="12"/>
      <c r="H1" s="12"/>
      <c r="I1" s="12"/>
      <c r="J1" s="12"/>
      <c r="K1" s="12"/>
      <c r="M1" s="11" t="s">
        <v>3</v>
      </c>
      <c r="N1" s="12"/>
      <c r="O1" s="12"/>
      <c r="P1" s="11" t="s">
        <v>4</v>
      </c>
      <c r="Q1" s="12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January!C23</f>
        <v>113</v>
      </c>
      <c r="C3" s="1">
        <f>January!D23</f>
        <v>38</v>
      </c>
      <c r="D3" s="1">
        <f>January!E23</f>
        <v>10</v>
      </c>
      <c r="E3" s="1">
        <f>January!F23</f>
        <v>4</v>
      </c>
      <c r="F3" s="1">
        <f>January!G23</f>
        <v>14</v>
      </c>
      <c r="G3" s="1">
        <f>January!H23</f>
        <v>6</v>
      </c>
      <c r="H3" s="1">
        <f>January!I23</f>
        <v>4</v>
      </c>
      <c r="I3" s="1">
        <f>January!J23</f>
        <v>2</v>
      </c>
      <c r="J3" s="1">
        <f>January!K23</f>
        <v>2</v>
      </c>
      <c r="K3" s="1">
        <f>January!L23</f>
        <v>20</v>
      </c>
      <c r="M3" s="2">
        <f t="shared" ref="M3:O3" si="0">F3/$K3</f>
        <v>0.7</v>
      </c>
      <c r="N3" s="2">
        <f t="shared" si="0"/>
        <v>0.3</v>
      </c>
      <c r="O3" s="2">
        <f t="shared" si="0"/>
        <v>0.2</v>
      </c>
      <c r="P3" s="2">
        <f t="shared" ref="P3:Q3" si="1">G3/$F3</f>
        <v>0.42857142857142855</v>
      </c>
      <c r="Q3" s="2">
        <f t="shared" si="1"/>
        <v>0.2857142857142857</v>
      </c>
      <c r="R3" s="2">
        <f t="shared" ref="R3:R15" si="2">I3/F3</f>
        <v>0.14285714285714285</v>
      </c>
      <c r="S3" s="2">
        <f t="shared" ref="S3:S15" si="3">J3/F3</f>
        <v>0.14285714285714285</v>
      </c>
      <c r="T3" s="3">
        <f t="shared" ref="T3:T15" si="4">D3/$B3</f>
        <v>8.8495575221238937E-2</v>
      </c>
      <c r="U3" s="3">
        <f t="shared" ref="U3:U15" si="5">D3/C3</f>
        <v>0.26315789473684209</v>
      </c>
      <c r="V3" s="2">
        <f t="shared" ref="V3:V15" si="6">E3/C3</f>
        <v>0.10526315789473684</v>
      </c>
    </row>
    <row r="4" spans="1:22" ht="15.75" customHeight="1">
      <c r="A4" s="1" t="s">
        <v>20</v>
      </c>
      <c r="B4" s="1">
        <f>February!C31</f>
        <v>153</v>
      </c>
      <c r="C4" s="1">
        <f>February!D31</f>
        <v>47</v>
      </c>
      <c r="D4" s="1">
        <f>February!E31</f>
        <v>27</v>
      </c>
      <c r="E4" s="1">
        <f>February!F31</f>
        <v>13</v>
      </c>
      <c r="F4" s="1">
        <f>February!G31</f>
        <v>17</v>
      </c>
      <c r="G4" s="1">
        <f>February!H31</f>
        <v>10</v>
      </c>
      <c r="H4" s="1">
        <f>February!I31</f>
        <v>5</v>
      </c>
      <c r="I4" s="1">
        <f>February!J31</f>
        <v>6</v>
      </c>
      <c r="J4" s="1">
        <f>February!K31</f>
        <v>3</v>
      </c>
      <c r="K4" s="1">
        <f>February!L31</f>
        <v>28</v>
      </c>
      <c r="M4" s="2">
        <f t="shared" ref="M4:O4" si="7">F4/$K4</f>
        <v>0.6071428571428571</v>
      </c>
      <c r="N4" s="2">
        <f t="shared" si="7"/>
        <v>0.35714285714285715</v>
      </c>
      <c r="O4" s="2">
        <f t="shared" si="7"/>
        <v>0.17857142857142858</v>
      </c>
      <c r="P4" s="2">
        <f t="shared" ref="P4:Q4" si="8">G4/$F4</f>
        <v>0.58823529411764708</v>
      </c>
      <c r="Q4" s="2">
        <f t="shared" si="8"/>
        <v>0.29411764705882354</v>
      </c>
      <c r="R4" s="2">
        <f t="shared" si="2"/>
        <v>0.35294117647058826</v>
      </c>
      <c r="S4" s="2">
        <f t="shared" si="3"/>
        <v>0.17647058823529413</v>
      </c>
      <c r="T4" s="3">
        <f t="shared" si="4"/>
        <v>0.17647058823529413</v>
      </c>
      <c r="U4" s="3">
        <f t="shared" si="5"/>
        <v>0.57446808510638303</v>
      </c>
      <c r="V4" s="2">
        <f t="shared" si="6"/>
        <v>0.27659574468085107</v>
      </c>
    </row>
    <row r="5" spans="1:22" ht="15.75" customHeight="1">
      <c r="A5" s="1" t="s">
        <v>21</v>
      </c>
      <c r="B5" s="1">
        <f>March!C19</f>
        <v>83</v>
      </c>
      <c r="C5" s="1">
        <f>March!D19</f>
        <v>36</v>
      </c>
      <c r="D5" s="1">
        <f>March!E19</f>
        <v>30</v>
      </c>
      <c r="E5" s="1">
        <f>March!F19</f>
        <v>19</v>
      </c>
      <c r="F5" s="1">
        <f>March!G19</f>
        <v>10</v>
      </c>
      <c r="G5" s="1">
        <f>March!H19</f>
        <v>8</v>
      </c>
      <c r="H5" s="1">
        <f>March!I19</f>
        <v>7</v>
      </c>
      <c r="I5" s="1">
        <f>March!J19</f>
        <v>5</v>
      </c>
      <c r="J5" s="1">
        <f>March!K19</f>
        <v>4</v>
      </c>
      <c r="K5" s="1">
        <f>March!L19</f>
        <v>16</v>
      </c>
      <c r="M5" s="2">
        <f t="shared" ref="M5:O5" si="9">F5/$K5</f>
        <v>0.625</v>
      </c>
      <c r="N5" s="2">
        <f t="shared" si="9"/>
        <v>0.5</v>
      </c>
      <c r="O5" s="2">
        <f t="shared" si="9"/>
        <v>0.4375</v>
      </c>
      <c r="P5" s="2">
        <f t="shared" ref="P5:Q5" si="10">G5/$F5</f>
        <v>0.8</v>
      </c>
      <c r="Q5" s="2">
        <f t="shared" si="10"/>
        <v>0.7</v>
      </c>
      <c r="R5" s="2">
        <f t="shared" si="2"/>
        <v>0.5</v>
      </c>
      <c r="S5" s="2">
        <f t="shared" si="3"/>
        <v>0.4</v>
      </c>
      <c r="T5" s="3">
        <f t="shared" si="4"/>
        <v>0.36144578313253012</v>
      </c>
      <c r="U5" s="3">
        <f t="shared" si="5"/>
        <v>0.83333333333333337</v>
      </c>
      <c r="V5" s="2">
        <f t="shared" si="6"/>
        <v>0.52777777777777779</v>
      </c>
    </row>
    <row r="6" spans="1:22" ht="15.75" customHeight="1">
      <c r="A6" s="1" t="s">
        <v>22</v>
      </c>
      <c r="B6" s="1">
        <f>April!C33</f>
        <v>166</v>
      </c>
      <c r="C6" s="1">
        <f>April!D33</f>
        <v>51</v>
      </c>
      <c r="D6" s="1">
        <f>April!E33</f>
        <v>30</v>
      </c>
      <c r="E6" s="1">
        <f>April!F33</f>
        <v>14</v>
      </c>
      <c r="F6" s="1">
        <f>April!G33</f>
        <v>23</v>
      </c>
      <c r="G6" s="1">
        <f>April!H33</f>
        <v>12</v>
      </c>
      <c r="H6" s="1">
        <f>April!I33</f>
        <v>8</v>
      </c>
      <c r="I6" s="1">
        <f>April!J33</f>
        <v>7</v>
      </c>
      <c r="J6" s="1">
        <f>April!K33</f>
        <v>3</v>
      </c>
      <c r="K6" s="1">
        <f>April!L33</f>
        <v>30</v>
      </c>
      <c r="M6" s="2">
        <f t="shared" ref="M6:O6" si="11">F6/$K6</f>
        <v>0.76666666666666672</v>
      </c>
      <c r="N6" s="2">
        <f t="shared" si="11"/>
        <v>0.4</v>
      </c>
      <c r="O6" s="2">
        <f t="shared" si="11"/>
        <v>0.26666666666666666</v>
      </c>
      <c r="P6" s="2">
        <f t="shared" ref="P6:Q6" si="12">G6/$F6</f>
        <v>0.52173913043478259</v>
      </c>
      <c r="Q6" s="2">
        <f t="shared" si="12"/>
        <v>0.34782608695652173</v>
      </c>
      <c r="R6" s="2">
        <f t="shared" si="2"/>
        <v>0.30434782608695654</v>
      </c>
      <c r="S6" s="2">
        <f t="shared" si="3"/>
        <v>0.13043478260869565</v>
      </c>
      <c r="T6" s="3">
        <f t="shared" si="4"/>
        <v>0.18072289156626506</v>
      </c>
      <c r="U6" s="3">
        <f t="shared" si="5"/>
        <v>0.58823529411764708</v>
      </c>
      <c r="V6" s="2">
        <f t="shared" si="6"/>
        <v>0.27450980392156865</v>
      </c>
    </row>
    <row r="7" spans="1:22" ht="15.75" customHeight="1">
      <c r="A7" s="1" t="s">
        <v>23</v>
      </c>
      <c r="B7" s="1">
        <f>May!C35</f>
        <v>174</v>
      </c>
      <c r="C7" s="1">
        <f>May!D35</f>
        <v>29</v>
      </c>
      <c r="D7" s="1">
        <f>May!E35</f>
        <v>6</v>
      </c>
      <c r="E7" s="1">
        <f>May!F35</f>
        <v>1</v>
      </c>
      <c r="F7" s="1">
        <f>May!G35</f>
        <v>14</v>
      </c>
      <c r="G7" s="1">
        <f>May!H35</f>
        <v>5</v>
      </c>
      <c r="H7" s="1">
        <f>May!I35</f>
        <v>4</v>
      </c>
      <c r="I7" s="1">
        <f>May!J35</f>
        <v>1</v>
      </c>
      <c r="J7" s="1">
        <f>May!K35</f>
        <v>1</v>
      </c>
      <c r="K7" s="1">
        <f>May!L35</f>
        <v>32</v>
      </c>
      <c r="M7" s="2">
        <f t="shared" ref="M7:O7" si="13">F7/$K7</f>
        <v>0.4375</v>
      </c>
      <c r="N7" s="2">
        <f t="shared" si="13"/>
        <v>0.15625</v>
      </c>
      <c r="O7" s="2">
        <f t="shared" si="13"/>
        <v>0.125</v>
      </c>
      <c r="P7" s="2">
        <f t="shared" ref="P7:Q7" si="14">G7/$F7</f>
        <v>0.35714285714285715</v>
      </c>
      <c r="Q7" s="2">
        <f t="shared" si="14"/>
        <v>0.2857142857142857</v>
      </c>
      <c r="R7" s="2">
        <f t="shared" si="2"/>
        <v>7.1428571428571425E-2</v>
      </c>
      <c r="S7" s="2">
        <f t="shared" si="3"/>
        <v>7.1428571428571425E-2</v>
      </c>
      <c r="T7" s="3">
        <f t="shared" si="4"/>
        <v>3.4482758620689655E-2</v>
      </c>
      <c r="U7" s="3">
        <f t="shared" si="5"/>
        <v>0.20689655172413793</v>
      </c>
      <c r="V7" s="2">
        <f t="shared" si="6"/>
        <v>3.4482758620689655E-2</v>
      </c>
    </row>
    <row r="8" spans="1:22" ht="15.75" customHeight="1">
      <c r="A8" s="1" t="s">
        <v>24</v>
      </c>
      <c r="B8" s="1">
        <f>June!C29</f>
        <v>131</v>
      </c>
      <c r="C8" s="1">
        <f>June!D29</f>
        <v>28</v>
      </c>
      <c r="D8" s="1">
        <f>June!E29</f>
        <v>20</v>
      </c>
      <c r="E8" s="1">
        <f>June!F29</f>
        <v>4</v>
      </c>
      <c r="F8" s="1">
        <f>June!G29</f>
        <v>15</v>
      </c>
      <c r="G8" s="1">
        <f>June!H29</f>
        <v>10</v>
      </c>
      <c r="H8" s="1">
        <f>June!I29</f>
        <v>10</v>
      </c>
      <c r="I8" s="1">
        <f>June!J29</f>
        <v>2</v>
      </c>
      <c r="J8" s="1">
        <f>June!K29</f>
        <v>1</v>
      </c>
      <c r="K8" s="1">
        <f>June!L29</f>
        <v>26</v>
      </c>
      <c r="M8" s="2">
        <f t="shared" ref="M8:O8" si="15">F8/$K8</f>
        <v>0.57692307692307687</v>
      </c>
      <c r="N8" s="2">
        <f t="shared" si="15"/>
        <v>0.38461538461538464</v>
      </c>
      <c r="O8" s="2">
        <f t="shared" si="15"/>
        <v>0.38461538461538464</v>
      </c>
      <c r="P8" s="2">
        <f t="shared" ref="P8:Q8" si="16">G8/$F8</f>
        <v>0.66666666666666663</v>
      </c>
      <c r="Q8" s="2">
        <f t="shared" si="16"/>
        <v>0.66666666666666663</v>
      </c>
      <c r="R8" s="2">
        <f t="shared" si="2"/>
        <v>0.13333333333333333</v>
      </c>
      <c r="S8" s="2">
        <f t="shared" si="3"/>
        <v>6.6666666666666666E-2</v>
      </c>
      <c r="T8" s="3">
        <f t="shared" si="4"/>
        <v>0.15267175572519084</v>
      </c>
      <c r="U8" s="3">
        <f t="shared" si="5"/>
        <v>0.7142857142857143</v>
      </c>
      <c r="V8" s="2">
        <f t="shared" si="6"/>
        <v>0.14285714285714285</v>
      </c>
    </row>
    <row r="9" spans="1:22" ht="15.75" customHeight="1">
      <c r="A9" s="1" t="s">
        <v>25</v>
      </c>
      <c r="B9" s="1">
        <f>July!C28</f>
        <v>118</v>
      </c>
      <c r="C9" s="1">
        <f>July!D28</f>
        <v>36</v>
      </c>
      <c r="D9" s="1">
        <f>July!E28</f>
        <v>20</v>
      </c>
      <c r="E9" s="1">
        <f>July!F28</f>
        <v>19</v>
      </c>
      <c r="F9" s="1">
        <f>July!G28</f>
        <v>15</v>
      </c>
      <c r="G9" s="1">
        <f>July!H28</f>
        <v>7</v>
      </c>
      <c r="H9" s="1">
        <f>July!I28</f>
        <v>7</v>
      </c>
      <c r="I9" s="1">
        <f>July!J28</f>
        <v>6</v>
      </c>
      <c r="J9" s="1">
        <f>July!K28</f>
        <v>6</v>
      </c>
      <c r="K9" s="1">
        <f>July!L28</f>
        <v>25</v>
      </c>
      <c r="M9" s="2">
        <f t="shared" ref="M9:O9" si="17">F9/$K9</f>
        <v>0.6</v>
      </c>
      <c r="N9" s="2">
        <f t="shared" si="17"/>
        <v>0.28000000000000003</v>
      </c>
      <c r="O9" s="2">
        <f t="shared" si="17"/>
        <v>0.28000000000000003</v>
      </c>
      <c r="P9" s="2">
        <f t="shared" ref="P9:Q9" si="18">G9/$F9</f>
        <v>0.46666666666666667</v>
      </c>
      <c r="Q9" s="2">
        <f t="shared" si="18"/>
        <v>0.46666666666666667</v>
      </c>
      <c r="R9" s="2">
        <f t="shared" si="2"/>
        <v>0.4</v>
      </c>
      <c r="S9" s="2">
        <f t="shared" si="3"/>
        <v>0.4</v>
      </c>
      <c r="T9" s="3">
        <f t="shared" si="4"/>
        <v>0.16949152542372881</v>
      </c>
      <c r="U9" s="3">
        <f t="shared" si="5"/>
        <v>0.55555555555555558</v>
      </c>
      <c r="V9" s="2">
        <f t="shared" si="6"/>
        <v>0.52777777777777779</v>
      </c>
    </row>
    <row r="10" spans="1:22" ht="15.75" customHeight="1">
      <c r="A10" s="1" t="s">
        <v>26</v>
      </c>
      <c r="B10" s="1">
        <f>August!C30</f>
        <v>146</v>
      </c>
      <c r="C10" s="1">
        <f>August!D30</f>
        <v>51</v>
      </c>
      <c r="D10" s="1">
        <f>August!E30</f>
        <v>21</v>
      </c>
      <c r="E10" s="1">
        <f>August!F30</f>
        <v>14</v>
      </c>
      <c r="F10" s="1">
        <f>August!G30</f>
        <v>21</v>
      </c>
      <c r="G10" s="1">
        <f>August!H30</f>
        <v>9</v>
      </c>
      <c r="H10" s="1">
        <f>August!I30</f>
        <v>5</v>
      </c>
      <c r="I10" s="1">
        <f>August!J30</f>
        <v>4</v>
      </c>
      <c r="J10" s="1">
        <f>August!K30</f>
        <v>3</v>
      </c>
      <c r="K10" s="1">
        <f>August!L30</f>
        <v>27</v>
      </c>
      <c r="M10" s="2">
        <f t="shared" ref="M10:O10" si="19">F10/$K10</f>
        <v>0.77777777777777779</v>
      </c>
      <c r="N10" s="2">
        <f t="shared" si="19"/>
        <v>0.33333333333333331</v>
      </c>
      <c r="O10" s="2">
        <f t="shared" si="19"/>
        <v>0.18518518518518517</v>
      </c>
      <c r="P10" s="2">
        <f t="shared" ref="P10:Q10" si="20">G10/$F10</f>
        <v>0.42857142857142855</v>
      </c>
      <c r="Q10" s="2">
        <f t="shared" si="20"/>
        <v>0.23809523809523808</v>
      </c>
      <c r="R10" s="2">
        <f t="shared" si="2"/>
        <v>0.19047619047619047</v>
      </c>
      <c r="S10" s="2">
        <f t="shared" si="3"/>
        <v>0.14285714285714285</v>
      </c>
      <c r="T10" s="3">
        <f t="shared" si="4"/>
        <v>0.14383561643835616</v>
      </c>
      <c r="U10" s="3">
        <f t="shared" si="5"/>
        <v>0.41176470588235292</v>
      </c>
      <c r="V10" s="2">
        <f t="shared" si="6"/>
        <v>0.27450980392156865</v>
      </c>
    </row>
    <row r="11" spans="1:22" ht="15.75" customHeight="1">
      <c r="A11" s="1" t="s">
        <v>27</v>
      </c>
      <c r="B11" s="1">
        <f>September!C27</f>
        <v>139</v>
      </c>
      <c r="C11" s="1">
        <f>September!D27</f>
        <v>42</v>
      </c>
      <c r="D11" s="1">
        <f>September!E27</f>
        <v>16</v>
      </c>
      <c r="E11" s="1">
        <f>September!F27</f>
        <v>12</v>
      </c>
      <c r="F11" s="1">
        <f>September!G27</f>
        <v>18</v>
      </c>
      <c r="G11" s="1">
        <f>September!H27</f>
        <v>8</v>
      </c>
      <c r="H11" s="1">
        <f>September!I27</f>
        <v>7</v>
      </c>
      <c r="I11" s="1">
        <f>September!J27</f>
        <v>6</v>
      </c>
      <c r="J11" s="1">
        <f>September!K27</f>
        <v>5</v>
      </c>
      <c r="K11" s="1">
        <f>September!L27</f>
        <v>24</v>
      </c>
      <c r="M11" s="2">
        <f t="shared" ref="M11:O11" si="21">F11/$K11</f>
        <v>0.75</v>
      </c>
      <c r="N11" s="2">
        <f t="shared" si="21"/>
        <v>0.33333333333333331</v>
      </c>
      <c r="O11" s="2">
        <f t="shared" si="21"/>
        <v>0.29166666666666669</v>
      </c>
      <c r="P11" s="2">
        <f t="shared" ref="P11:Q11" si="22">G11/$F11</f>
        <v>0.44444444444444442</v>
      </c>
      <c r="Q11" s="2">
        <f t="shared" si="22"/>
        <v>0.3888888888888889</v>
      </c>
      <c r="R11" s="2">
        <f t="shared" si="2"/>
        <v>0.33333333333333331</v>
      </c>
      <c r="S11" s="2">
        <f t="shared" si="3"/>
        <v>0.27777777777777779</v>
      </c>
      <c r="T11" s="3">
        <f t="shared" si="4"/>
        <v>0.11510791366906475</v>
      </c>
      <c r="U11" s="3">
        <f t="shared" si="5"/>
        <v>0.38095238095238093</v>
      </c>
      <c r="V11" s="2">
        <f t="shared" si="6"/>
        <v>0.2857142857142857</v>
      </c>
    </row>
    <row r="12" spans="1:22" ht="15.75" customHeight="1">
      <c r="A12" s="1" t="s">
        <v>28</v>
      </c>
      <c r="B12" s="1">
        <f>October!C29</f>
        <v>129</v>
      </c>
      <c r="C12" s="1">
        <f>October!D29</f>
        <v>43</v>
      </c>
      <c r="D12" s="1">
        <f>October!E29</f>
        <v>23</v>
      </c>
      <c r="E12" s="1">
        <f>October!F29</f>
        <v>15</v>
      </c>
      <c r="F12" s="1">
        <f>October!G29</f>
        <v>19</v>
      </c>
      <c r="G12" s="1">
        <f>October!H29</f>
        <v>11</v>
      </c>
      <c r="H12" s="1">
        <f>October!I29</f>
        <v>11</v>
      </c>
      <c r="I12" s="1">
        <f>October!J29</f>
        <v>8</v>
      </c>
      <c r="J12" s="1">
        <f>October!K29</f>
        <v>6</v>
      </c>
      <c r="K12" s="1">
        <f>October!L29</f>
        <v>26</v>
      </c>
      <c r="M12" s="2">
        <f t="shared" ref="M12:O12" si="23">F12/$K12</f>
        <v>0.73076923076923073</v>
      </c>
      <c r="N12" s="2">
        <f t="shared" si="23"/>
        <v>0.42307692307692307</v>
      </c>
      <c r="O12" s="2">
        <f t="shared" si="23"/>
        <v>0.42307692307692307</v>
      </c>
      <c r="P12" s="2">
        <f t="shared" ref="P12:Q12" si="24">G12/$F12</f>
        <v>0.57894736842105265</v>
      </c>
      <c r="Q12" s="2">
        <f t="shared" si="24"/>
        <v>0.57894736842105265</v>
      </c>
      <c r="R12" s="2">
        <f t="shared" si="2"/>
        <v>0.42105263157894735</v>
      </c>
      <c r="S12" s="2">
        <f t="shared" si="3"/>
        <v>0.31578947368421051</v>
      </c>
      <c r="T12" s="3">
        <f t="shared" si="4"/>
        <v>0.17829457364341086</v>
      </c>
      <c r="U12" s="3">
        <f t="shared" si="5"/>
        <v>0.53488372093023251</v>
      </c>
      <c r="V12" s="2">
        <f t="shared" si="6"/>
        <v>0.34883720930232559</v>
      </c>
    </row>
    <row r="13" spans="1:22" ht="15.75" customHeight="1">
      <c r="A13" s="1" t="s">
        <v>29</v>
      </c>
      <c r="B13" s="1">
        <f>November!C19</f>
        <v>84</v>
      </c>
      <c r="C13" s="1">
        <f>November!D19</f>
        <v>23</v>
      </c>
      <c r="D13" s="1">
        <f>November!E19</f>
        <v>8</v>
      </c>
      <c r="E13" s="1">
        <f>November!F19</f>
        <v>5</v>
      </c>
      <c r="F13" s="1">
        <f>November!G19</f>
        <v>8</v>
      </c>
      <c r="G13" s="1">
        <f>November!H19</f>
        <v>4</v>
      </c>
      <c r="H13" s="1">
        <f>November!I19</f>
        <v>2</v>
      </c>
      <c r="I13" s="1">
        <f>November!J19</f>
        <v>3</v>
      </c>
      <c r="J13" s="1">
        <f>November!K19</f>
        <v>1</v>
      </c>
      <c r="K13" s="1">
        <f>November!L19</f>
        <v>16</v>
      </c>
      <c r="M13" s="2">
        <f t="shared" ref="M13:O13" si="25">F13/$K13</f>
        <v>0.5</v>
      </c>
      <c r="N13" s="2">
        <f t="shared" si="25"/>
        <v>0.25</v>
      </c>
      <c r="O13" s="2">
        <f t="shared" si="25"/>
        <v>0.125</v>
      </c>
      <c r="P13" s="2">
        <f t="shared" ref="P13:Q13" si="26">G13/$F13</f>
        <v>0.5</v>
      </c>
      <c r="Q13" s="2">
        <f t="shared" si="26"/>
        <v>0.25</v>
      </c>
      <c r="R13" s="2">
        <f t="shared" si="2"/>
        <v>0.375</v>
      </c>
      <c r="S13" s="2">
        <f t="shared" si="3"/>
        <v>0.125</v>
      </c>
      <c r="T13" s="3">
        <f t="shared" si="4"/>
        <v>9.5238095238095233E-2</v>
      </c>
      <c r="U13" s="3">
        <f t="shared" si="5"/>
        <v>0.34782608695652173</v>
      </c>
      <c r="V13" s="2">
        <f t="shared" si="6"/>
        <v>0.21739130434782608</v>
      </c>
    </row>
    <row r="14" spans="1:22" ht="15.75" customHeight="1">
      <c r="A14" s="1" t="s">
        <v>30</v>
      </c>
      <c r="B14" s="1">
        <f>December!C20</f>
        <v>76</v>
      </c>
      <c r="C14" s="1">
        <f>December!D20</f>
        <v>8</v>
      </c>
      <c r="D14" s="1">
        <f>December!E20</f>
        <v>8</v>
      </c>
      <c r="E14" s="1">
        <f>December!F20</f>
        <v>6</v>
      </c>
      <c r="F14" s="1">
        <f>December!G20</f>
        <v>6</v>
      </c>
      <c r="G14" s="1">
        <f>December!H20</f>
        <v>6</v>
      </c>
      <c r="H14" s="1">
        <f>December!I20</f>
        <v>6</v>
      </c>
      <c r="I14" s="1">
        <f>December!J20</f>
        <v>5</v>
      </c>
      <c r="J14" s="1">
        <f>December!K20</f>
        <v>5</v>
      </c>
      <c r="K14" s="1">
        <f>December!L20</f>
        <v>16</v>
      </c>
      <c r="M14" s="2">
        <f t="shared" ref="M14:O14" si="27">F14/$K14</f>
        <v>0.375</v>
      </c>
      <c r="N14" s="2">
        <f t="shared" si="27"/>
        <v>0.375</v>
      </c>
      <c r="O14" s="2">
        <f t="shared" si="27"/>
        <v>0.375</v>
      </c>
      <c r="P14" s="2">
        <f t="shared" ref="P14:Q14" si="28">G14/$F14</f>
        <v>1</v>
      </c>
      <c r="Q14" s="2">
        <f t="shared" si="28"/>
        <v>1</v>
      </c>
      <c r="R14" s="2">
        <f t="shared" si="2"/>
        <v>0.83333333333333337</v>
      </c>
      <c r="S14" s="2">
        <f t="shared" si="3"/>
        <v>0.83333333333333337</v>
      </c>
      <c r="T14" s="3">
        <f t="shared" si="4"/>
        <v>0.10526315789473684</v>
      </c>
      <c r="U14" s="3">
        <f t="shared" si="5"/>
        <v>1</v>
      </c>
      <c r="V14" s="2">
        <f t="shared" si="6"/>
        <v>0.75</v>
      </c>
    </row>
    <row r="15" spans="1:22" ht="15.75" customHeight="1">
      <c r="A15" s="1" t="s">
        <v>31</v>
      </c>
      <c r="B15" s="1">
        <f t="shared" ref="B15:K15" si="29">SUM(B3:B14)</f>
        <v>1512</v>
      </c>
      <c r="C15" s="1">
        <f t="shared" si="29"/>
        <v>432</v>
      </c>
      <c r="D15" s="1">
        <f t="shared" si="29"/>
        <v>219</v>
      </c>
      <c r="E15" s="1">
        <f t="shared" si="29"/>
        <v>126</v>
      </c>
      <c r="F15" s="1">
        <f t="shared" si="29"/>
        <v>180</v>
      </c>
      <c r="G15" s="1">
        <f t="shared" si="29"/>
        <v>96</v>
      </c>
      <c r="H15" s="1">
        <f t="shared" si="29"/>
        <v>76</v>
      </c>
      <c r="I15" s="1">
        <f t="shared" si="29"/>
        <v>55</v>
      </c>
      <c r="J15" s="1">
        <f t="shared" si="29"/>
        <v>40</v>
      </c>
      <c r="K15" s="1">
        <f t="shared" si="29"/>
        <v>286</v>
      </c>
      <c r="M15" s="2">
        <f t="shared" ref="M15:O15" si="30">F15/$K15</f>
        <v>0.62937062937062938</v>
      </c>
      <c r="N15" s="2">
        <f t="shared" si="30"/>
        <v>0.33566433566433568</v>
      </c>
      <c r="O15" s="2">
        <f t="shared" si="30"/>
        <v>0.26573426573426573</v>
      </c>
      <c r="P15" s="2">
        <f t="shared" ref="P15:Q15" si="31">G15/$F15</f>
        <v>0.53333333333333333</v>
      </c>
      <c r="Q15" s="2">
        <f t="shared" si="31"/>
        <v>0.42222222222222222</v>
      </c>
      <c r="R15" s="2">
        <f t="shared" si="2"/>
        <v>0.30555555555555558</v>
      </c>
      <c r="S15" s="2">
        <f t="shared" si="3"/>
        <v>0.22222222222222221</v>
      </c>
      <c r="T15" s="3">
        <f t="shared" si="4"/>
        <v>0.14484126984126985</v>
      </c>
      <c r="U15" s="3">
        <f t="shared" si="5"/>
        <v>0.50694444444444442</v>
      </c>
      <c r="V15" s="2">
        <f t="shared" si="6"/>
        <v>0.29166666666666669</v>
      </c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6"/>
  <sheetViews>
    <sheetView workbookViewId="0">
      <selection activeCell="G3" sqref="G3:K22"/>
    </sheetView>
  </sheetViews>
  <sheetFormatPr baseColWidth="10" defaultColWidth="12.6640625" defaultRowHeight="15.75" customHeight="1"/>
  <cols>
    <col min="1" max="1" width="106.6640625" customWidth="1"/>
    <col min="2" max="2" width="18" customWidth="1"/>
    <col min="3" max="3" width="10.1640625" customWidth="1"/>
    <col min="4" max="4" width="28.1640625" customWidth="1"/>
    <col min="5" max="5" width="25.1640625" customWidth="1"/>
    <col min="6" max="6" width="12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44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45</v>
      </c>
      <c r="B4" s="1"/>
      <c r="C4" s="1">
        <v>4</v>
      </c>
      <c r="D4" s="1">
        <v>2</v>
      </c>
      <c r="E4" s="1">
        <v>0</v>
      </c>
      <c r="F4" s="1">
        <v>0</v>
      </c>
      <c r="G4" s="1" t="b">
        <f t="shared" ref="G4:G22" si="0">(D4&gt;0)</f>
        <v>1</v>
      </c>
      <c r="H4" s="1" t="b">
        <f t="shared" ref="H4:H22" si="1">(E4&gt;0)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5" t="s">
        <v>46</v>
      </c>
      <c r="B5" s="1"/>
      <c r="C5" s="1">
        <v>3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47</v>
      </c>
      <c r="B6" s="1"/>
      <c r="C6" s="1">
        <v>11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48</v>
      </c>
      <c r="B7" s="1"/>
      <c r="C7" s="1">
        <v>5</v>
      </c>
      <c r="D7" s="1">
        <v>2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6" t="s">
        <v>49</v>
      </c>
      <c r="B8" s="1"/>
      <c r="C8" s="1">
        <v>9</v>
      </c>
      <c r="D8" s="1">
        <v>6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6" t="s">
        <v>50</v>
      </c>
      <c r="B9" s="1"/>
      <c r="C9" s="1">
        <v>7</v>
      </c>
      <c r="D9" s="1">
        <v>4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51</v>
      </c>
      <c r="B10" s="1"/>
      <c r="C10" s="1">
        <v>10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52</v>
      </c>
      <c r="B11" s="1"/>
      <c r="C11" s="1">
        <v>6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6" t="s">
        <v>53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6" t="s">
        <v>54</v>
      </c>
      <c r="B13" s="1"/>
      <c r="C13" s="1">
        <v>4</v>
      </c>
      <c r="D13" s="1">
        <v>3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55</v>
      </c>
      <c r="B14" s="1"/>
      <c r="C14" s="1">
        <v>5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6" t="s">
        <v>56</v>
      </c>
      <c r="B15" s="1"/>
      <c r="C15" s="1">
        <v>3</v>
      </c>
      <c r="D15" s="1">
        <v>2</v>
      </c>
      <c r="E15" s="1">
        <v>2</v>
      </c>
      <c r="F15" s="1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5" t="s">
        <v>57</v>
      </c>
      <c r="B16" s="1"/>
      <c r="C16" s="1">
        <v>5</v>
      </c>
      <c r="D16" s="1">
        <v>5</v>
      </c>
      <c r="E16" s="1">
        <v>3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58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59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60</v>
      </c>
      <c r="B19" s="1"/>
      <c r="C19" s="1">
        <v>5</v>
      </c>
      <c r="D19" s="1">
        <v>4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61</v>
      </c>
      <c r="B20" s="1"/>
      <c r="C20" s="1">
        <v>7</v>
      </c>
      <c r="D20" s="1">
        <v>1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62</v>
      </c>
      <c r="B21" s="1"/>
      <c r="C21" s="1">
        <v>2</v>
      </c>
      <c r="D21" s="1">
        <v>2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5" t="s">
        <v>63</v>
      </c>
      <c r="B22" s="1"/>
      <c r="C22" s="1">
        <v>4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64</v>
      </c>
      <c r="C23" s="1">
        <f t="shared" ref="C23:F23" si="5">SUM(C2:C22)</f>
        <v>113</v>
      </c>
      <c r="D23" s="1">
        <f t="shared" si="5"/>
        <v>38</v>
      </c>
      <c r="E23" s="1">
        <f t="shared" si="5"/>
        <v>10</v>
      </c>
      <c r="F23" s="1">
        <f t="shared" si="5"/>
        <v>4</v>
      </c>
      <c r="G23" s="1">
        <f t="shared" ref="G23:K23" si="6">COUNTIF(G3:G22,"TRUE")</f>
        <v>14</v>
      </c>
      <c r="H23" s="1">
        <f t="shared" si="6"/>
        <v>6</v>
      </c>
      <c r="I23" s="1">
        <f t="shared" si="6"/>
        <v>4</v>
      </c>
      <c r="J23" s="1">
        <f t="shared" si="6"/>
        <v>2</v>
      </c>
      <c r="K23" s="1">
        <f t="shared" si="6"/>
        <v>2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0.7</v>
      </c>
      <c r="H24" s="2">
        <f>H23/L23</f>
        <v>0.3</v>
      </c>
      <c r="I24" s="2">
        <f>I23/L23</f>
        <v>0.2</v>
      </c>
      <c r="J24" s="2">
        <f>J23/L23</f>
        <v>0.1</v>
      </c>
      <c r="K24" s="2">
        <f>K23/L23</f>
        <v>0.1</v>
      </c>
    </row>
    <row r="25" spans="1:12" ht="15.75" customHeight="1">
      <c r="E25" s="1" t="s">
        <v>65</v>
      </c>
      <c r="F25" s="2"/>
      <c r="G25" s="2"/>
      <c r="H25" s="2">
        <f>H23/G23</f>
        <v>0.42857142857142855</v>
      </c>
      <c r="I25" s="2">
        <f>I23/G23</f>
        <v>0.2857142857142857</v>
      </c>
      <c r="J25" s="2">
        <f>J23/G23</f>
        <v>0.14285714285714285</v>
      </c>
      <c r="K25" s="2">
        <f>K23/G23</f>
        <v>0.14285714285714285</v>
      </c>
    </row>
    <row r="26" spans="1:12" ht="15.75" customHeight="1">
      <c r="E26" s="1" t="s">
        <v>66</v>
      </c>
      <c r="F26" s="2"/>
      <c r="G26" s="2">
        <f>E23/C23</f>
        <v>8.8495575221238937E-2</v>
      </c>
      <c r="H26" s="2">
        <f>E23/D23</f>
        <v>0.26315789473684209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4"/>
  <sheetViews>
    <sheetView workbookViewId="0">
      <selection activeCell="G3" sqref="G3:K3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67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68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69</v>
      </c>
      <c r="C4" s="1">
        <v>4</v>
      </c>
      <c r="D4" s="1">
        <v>1</v>
      </c>
      <c r="E4" s="1">
        <v>0</v>
      </c>
      <c r="F4" s="1">
        <v>0</v>
      </c>
      <c r="G4" s="1" t="b">
        <f t="shared" ref="G4:G30" si="0">(D4&gt;0)</f>
        <v>1</v>
      </c>
      <c r="H4" s="1" t="b">
        <f t="shared" ref="H4:H30" si="1">(E4&gt;0)</f>
        <v>0</v>
      </c>
      <c r="I4" s="1" t="b">
        <f t="shared" ref="I4:I30" si="2">AND(G4,(D4=E4))</f>
        <v>0</v>
      </c>
      <c r="J4" s="1" t="b">
        <f t="shared" ref="J4:J30" si="3">(F4&gt;0)</f>
        <v>0</v>
      </c>
      <c r="K4" s="1" t="b">
        <f t="shared" ref="K4:K30" si="4">AND(I4,(E4=F4))</f>
        <v>0</v>
      </c>
    </row>
    <row r="5" spans="1:11" ht="15.75" customHeight="1">
      <c r="A5" s="5" t="s">
        <v>70</v>
      </c>
      <c r="C5" s="1">
        <v>5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71</v>
      </c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6" t="s">
        <v>72</v>
      </c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73</v>
      </c>
      <c r="C8" s="1">
        <v>4</v>
      </c>
      <c r="D8" s="1">
        <v>2</v>
      </c>
      <c r="E8" s="1">
        <v>2</v>
      </c>
      <c r="F8" s="1">
        <v>2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6" t="s">
        <v>74</v>
      </c>
      <c r="C9" s="1">
        <v>4</v>
      </c>
      <c r="D9" s="1">
        <v>2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6" t="s">
        <v>75</v>
      </c>
      <c r="C10" s="1">
        <v>4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76</v>
      </c>
      <c r="C11" s="1">
        <v>5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5" t="s">
        <v>77</v>
      </c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78</v>
      </c>
      <c r="C13" s="1">
        <v>5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79</v>
      </c>
      <c r="C14" s="1">
        <v>7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6" t="s">
        <v>80</v>
      </c>
      <c r="C15" s="1">
        <v>5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81</v>
      </c>
      <c r="C16" s="1">
        <v>8</v>
      </c>
      <c r="D16" s="1">
        <v>3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82</v>
      </c>
      <c r="C17" s="1">
        <v>7</v>
      </c>
      <c r="D17" s="1">
        <v>7</v>
      </c>
      <c r="E17" s="1">
        <v>7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6" t="s">
        <v>83</v>
      </c>
      <c r="C18" s="1">
        <v>12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84</v>
      </c>
      <c r="C19" s="1">
        <v>8</v>
      </c>
      <c r="D19" s="1">
        <v>3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85</v>
      </c>
      <c r="C20" s="1">
        <v>7</v>
      </c>
      <c r="D20" s="1">
        <v>5</v>
      </c>
      <c r="E20" s="1">
        <v>4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0</v>
      </c>
      <c r="J20" s="1" t="b">
        <f t="shared" si="3"/>
        <v>1</v>
      </c>
      <c r="K20" s="1" t="b">
        <f t="shared" si="4"/>
        <v>0</v>
      </c>
    </row>
    <row r="21" spans="1:12" ht="15.75" customHeight="1">
      <c r="A21" s="5" t="s">
        <v>86</v>
      </c>
      <c r="C21" s="1">
        <v>8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87</v>
      </c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88</v>
      </c>
      <c r="C23" s="1">
        <v>7</v>
      </c>
      <c r="D23" s="1">
        <v>5</v>
      </c>
      <c r="E23" s="1">
        <v>1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6" t="s">
        <v>89</v>
      </c>
      <c r="C24" s="1">
        <v>5</v>
      </c>
      <c r="D24" s="1">
        <v>5</v>
      </c>
      <c r="E24" s="1">
        <v>4</v>
      </c>
      <c r="F24" s="1">
        <v>4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1</v>
      </c>
      <c r="K24" s="1" t="b">
        <f t="shared" si="4"/>
        <v>0</v>
      </c>
    </row>
    <row r="25" spans="1:12" ht="15.75" customHeight="1">
      <c r="A25" s="5" t="s">
        <v>90</v>
      </c>
      <c r="C25" s="1">
        <v>7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5" t="s">
        <v>91</v>
      </c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6" t="s">
        <v>92</v>
      </c>
      <c r="C27" s="1">
        <v>5</v>
      </c>
      <c r="D27" s="1">
        <v>4</v>
      </c>
      <c r="E27" s="1">
        <v>3</v>
      </c>
      <c r="F27" s="1">
        <v>3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1</v>
      </c>
      <c r="K27" s="1" t="b">
        <f t="shared" si="4"/>
        <v>0</v>
      </c>
    </row>
    <row r="28" spans="1:12" ht="15.75" customHeight="1">
      <c r="A28" s="6" t="s">
        <v>93</v>
      </c>
      <c r="C28" s="1">
        <v>6</v>
      </c>
      <c r="D28" s="1">
        <v>2</v>
      </c>
      <c r="E28" s="1">
        <v>2</v>
      </c>
      <c r="F28" s="1">
        <v>2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5" t="s">
        <v>94</v>
      </c>
      <c r="C29" s="1">
        <v>2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6" t="s">
        <v>95</v>
      </c>
      <c r="C30" s="1">
        <v>1</v>
      </c>
      <c r="D30" s="1">
        <v>1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B31" s="1" t="s">
        <v>64</v>
      </c>
      <c r="C31" s="1">
        <f t="shared" ref="C31:F31" si="5">SUM(C2:C30)</f>
        <v>153</v>
      </c>
      <c r="D31" s="1">
        <f t="shared" si="5"/>
        <v>47</v>
      </c>
      <c r="E31" s="1">
        <f t="shared" si="5"/>
        <v>27</v>
      </c>
      <c r="F31" s="1">
        <f t="shared" si="5"/>
        <v>13</v>
      </c>
      <c r="G31" s="1">
        <f t="shared" ref="G31:K31" si="6">COUNTIF(G3:G30,"TRUE")</f>
        <v>17</v>
      </c>
      <c r="H31" s="1">
        <f t="shared" si="6"/>
        <v>10</v>
      </c>
      <c r="I31" s="1">
        <f t="shared" si="6"/>
        <v>5</v>
      </c>
      <c r="J31" s="1">
        <f t="shared" si="6"/>
        <v>6</v>
      </c>
      <c r="K31" s="1">
        <f t="shared" si="6"/>
        <v>3</v>
      </c>
      <c r="L31" s="7">
        <f>COUNTA(E3:E30)</f>
        <v>28</v>
      </c>
    </row>
    <row r="32" spans="1:12" ht="15.75" customHeight="1">
      <c r="E32" s="1" t="s">
        <v>3</v>
      </c>
      <c r="F32" s="2"/>
      <c r="G32" s="2">
        <f>G31/L31</f>
        <v>0.6071428571428571</v>
      </c>
      <c r="H32" s="2">
        <f>H31/L31</f>
        <v>0.35714285714285715</v>
      </c>
      <c r="I32" s="2">
        <f>I31/L31</f>
        <v>0.17857142857142858</v>
      </c>
      <c r="J32" s="2">
        <f>J31/L31</f>
        <v>0.21428571428571427</v>
      </c>
      <c r="K32" s="2">
        <f>K31/L31</f>
        <v>0.10714285714285714</v>
      </c>
    </row>
    <row r="33" spans="5:11" ht="15.75" customHeight="1">
      <c r="E33" s="1" t="s">
        <v>65</v>
      </c>
      <c r="F33" s="2"/>
      <c r="G33" s="2"/>
      <c r="H33" s="2">
        <f>H31/G31</f>
        <v>0.58823529411764708</v>
      </c>
      <c r="I33" s="2">
        <f>I31/G31</f>
        <v>0.29411764705882354</v>
      </c>
      <c r="J33" s="2">
        <f>J31/G31</f>
        <v>0.35294117647058826</v>
      </c>
      <c r="K33" s="2">
        <f>K31/G31</f>
        <v>0.17647058823529413</v>
      </c>
    </row>
    <row r="34" spans="5:11" ht="15.75" customHeight="1">
      <c r="E34" s="1" t="s">
        <v>66</v>
      </c>
      <c r="F34" s="2"/>
      <c r="G34" s="2">
        <f>E31/C31</f>
        <v>0.17647058823529413</v>
      </c>
      <c r="H34" s="2">
        <f>E31/D31</f>
        <v>0.57446808510638303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2"/>
  <sheetViews>
    <sheetView workbookViewId="0">
      <selection activeCell="G3" sqref="G3:K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96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97</v>
      </c>
      <c r="B3" s="1"/>
      <c r="C3" s="1">
        <v>4</v>
      </c>
      <c r="D3" s="1">
        <v>4</v>
      </c>
      <c r="E3" s="1">
        <v>4</v>
      </c>
      <c r="F3" s="1">
        <v>4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5" t="s">
        <v>98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8" si="0">(D4&gt;0)</f>
        <v>0</v>
      </c>
      <c r="H4" s="1" t="b">
        <f t="shared" ref="H4:H18" si="1">(E4&gt;0)</f>
        <v>0</v>
      </c>
      <c r="I4" s="1" t="b">
        <f t="shared" ref="I4:I18" si="2">AND(G4,(D4=E4))</f>
        <v>0</v>
      </c>
      <c r="J4" s="1" t="b">
        <f t="shared" ref="J4:J18" si="3">(F4&gt;0)</f>
        <v>0</v>
      </c>
      <c r="K4" s="1" t="b">
        <f t="shared" ref="K4:K18" si="4">AND(I4,(E4=F4))</f>
        <v>0</v>
      </c>
    </row>
    <row r="5" spans="1:11" ht="15.75" customHeight="1">
      <c r="A5" s="5" t="s">
        <v>99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100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101</v>
      </c>
      <c r="B7" s="1"/>
      <c r="C7" s="1">
        <v>10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t="s">
        <v>102</v>
      </c>
      <c r="B8" s="1"/>
      <c r="C8" s="1">
        <v>6</v>
      </c>
      <c r="D8" s="1">
        <v>5</v>
      </c>
      <c r="E8" s="1">
        <v>5</v>
      </c>
      <c r="F8" s="1">
        <v>5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5" t="s">
        <v>103</v>
      </c>
      <c r="B9" s="1"/>
      <c r="C9" s="1">
        <v>7</v>
      </c>
      <c r="D9" s="1">
        <v>7</v>
      </c>
      <c r="E9" s="1">
        <v>7</v>
      </c>
      <c r="F9" s="1">
        <v>7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6" t="s">
        <v>104</v>
      </c>
      <c r="B10" s="1"/>
      <c r="C10" s="1">
        <v>7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6" t="s">
        <v>105</v>
      </c>
      <c r="B11" s="1"/>
      <c r="C11" s="1">
        <v>7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106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6" t="s">
        <v>107</v>
      </c>
      <c r="B13" s="1"/>
      <c r="C13" s="1">
        <v>5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108</v>
      </c>
      <c r="B14" s="1"/>
      <c r="C14" s="1">
        <v>6</v>
      </c>
      <c r="D14" s="1">
        <v>5</v>
      </c>
      <c r="E14" s="1">
        <v>4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6" t="s">
        <v>109</v>
      </c>
      <c r="B15" s="1"/>
      <c r="C15" s="1">
        <v>6</v>
      </c>
      <c r="D15" s="1">
        <v>4</v>
      </c>
      <c r="E15" s="1">
        <v>4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110</v>
      </c>
      <c r="B16" s="1"/>
      <c r="C16" s="1">
        <v>2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111</v>
      </c>
      <c r="B17" s="1"/>
      <c r="C17" s="1">
        <v>2</v>
      </c>
      <c r="D17" s="1">
        <v>2</v>
      </c>
      <c r="E17" s="1">
        <v>2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112</v>
      </c>
      <c r="B18" s="1"/>
      <c r="C18" s="1">
        <v>2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B19" s="1" t="s">
        <v>64</v>
      </c>
      <c r="C19" s="1">
        <f t="shared" ref="C19:F19" si="5">SUM(C2:C18)</f>
        <v>83</v>
      </c>
      <c r="D19" s="1">
        <f t="shared" si="5"/>
        <v>36</v>
      </c>
      <c r="E19" s="1">
        <f t="shared" si="5"/>
        <v>30</v>
      </c>
      <c r="F19" s="1">
        <f t="shared" si="5"/>
        <v>19</v>
      </c>
      <c r="G19" s="1">
        <f t="shared" ref="G19:K19" si="6">COUNTIF(G3:G18,"TRUE")</f>
        <v>10</v>
      </c>
      <c r="H19" s="1">
        <f t="shared" si="6"/>
        <v>8</v>
      </c>
      <c r="I19" s="1">
        <f t="shared" si="6"/>
        <v>7</v>
      </c>
      <c r="J19" s="1">
        <f t="shared" si="6"/>
        <v>5</v>
      </c>
      <c r="K19" s="1">
        <f t="shared" si="6"/>
        <v>4</v>
      </c>
      <c r="L19" s="7">
        <f>COUNTA(E3:E18)</f>
        <v>16</v>
      </c>
    </row>
    <row r="20" spans="1:12" ht="15.75" customHeight="1">
      <c r="E20" s="1" t="s">
        <v>3</v>
      </c>
      <c r="F20" s="2"/>
      <c r="G20" s="2">
        <f>G19/L19</f>
        <v>0.625</v>
      </c>
      <c r="H20" s="2">
        <f>H19/L19</f>
        <v>0.5</v>
      </c>
      <c r="I20" s="2">
        <f>I19/L19</f>
        <v>0.4375</v>
      </c>
      <c r="J20" s="2">
        <f>J19/L19</f>
        <v>0.3125</v>
      </c>
      <c r="K20" s="2">
        <f>K19/L19</f>
        <v>0.25</v>
      </c>
    </row>
    <row r="21" spans="1:12" ht="15.75" customHeight="1">
      <c r="E21" s="1" t="s">
        <v>65</v>
      </c>
      <c r="F21" s="2"/>
      <c r="G21" s="2"/>
      <c r="H21" s="2">
        <f>H19/G19</f>
        <v>0.8</v>
      </c>
      <c r="I21" s="2">
        <f>I19/G19</f>
        <v>0.7</v>
      </c>
      <c r="J21" s="2">
        <f>J19/G19</f>
        <v>0.5</v>
      </c>
      <c r="K21" s="2">
        <f>K19/G19</f>
        <v>0.4</v>
      </c>
    </row>
    <row r="22" spans="1:12" ht="15.75" customHeight="1">
      <c r="E22" s="1" t="s">
        <v>66</v>
      </c>
      <c r="F22" s="2"/>
      <c r="G22" s="2">
        <f>E19/C19</f>
        <v>0.36144578313253012</v>
      </c>
      <c r="H22" s="2">
        <f>E19/D19</f>
        <v>0.83333333333333337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6"/>
  <sheetViews>
    <sheetView workbookViewId="0">
      <selection activeCell="G3" sqref="G3:K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113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114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115</v>
      </c>
      <c r="B4" s="1"/>
      <c r="C4" s="1">
        <v>4</v>
      </c>
      <c r="D4" s="1">
        <v>1</v>
      </c>
      <c r="E4" s="1">
        <v>0</v>
      </c>
      <c r="F4" s="1">
        <v>0</v>
      </c>
      <c r="G4" s="1" t="b">
        <f t="shared" ref="G4:G32" si="0">(D4&gt;0)</f>
        <v>1</v>
      </c>
      <c r="H4" s="1" t="b">
        <f t="shared" ref="H4:H32" si="1">(E4&gt;0)</f>
        <v>0</v>
      </c>
      <c r="I4" s="1" t="b">
        <f t="shared" ref="I4:I32" si="2">AND(G4,(D4=E4))</f>
        <v>0</v>
      </c>
      <c r="J4" s="1" t="b">
        <f t="shared" ref="J4:J32" si="3">(F4&gt;0)</f>
        <v>0</v>
      </c>
      <c r="K4" s="1" t="b">
        <f t="shared" ref="K4:K32" si="4">AND(I4,(E4=F4))</f>
        <v>0</v>
      </c>
    </row>
    <row r="5" spans="1:11" ht="15.75" customHeight="1">
      <c r="A5" s="5" t="s">
        <v>116</v>
      </c>
      <c r="B5" s="1"/>
      <c r="C5" s="1">
        <v>5</v>
      </c>
      <c r="D5" s="1">
        <v>2</v>
      </c>
      <c r="E5" s="1">
        <v>2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0</v>
      </c>
    </row>
    <row r="6" spans="1:11" ht="15.75" customHeight="1">
      <c r="A6" s="6" t="s">
        <v>117</v>
      </c>
      <c r="B6" s="1"/>
      <c r="C6" s="1">
        <v>4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5" t="s">
        <v>118</v>
      </c>
      <c r="B7" s="1"/>
      <c r="C7" s="1">
        <v>4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6" t="s">
        <v>119</v>
      </c>
      <c r="B8" s="1"/>
      <c r="C8" s="1">
        <v>4</v>
      </c>
      <c r="D8" s="1">
        <v>4</v>
      </c>
      <c r="E8" s="1">
        <v>4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0</v>
      </c>
    </row>
    <row r="9" spans="1:11" ht="15.75" customHeight="1">
      <c r="A9" s="5" t="s">
        <v>120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121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122</v>
      </c>
      <c r="B11" s="1"/>
      <c r="C11" s="1">
        <v>6</v>
      </c>
      <c r="D11" s="1">
        <v>3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123</v>
      </c>
      <c r="B12" s="1"/>
      <c r="C12" s="1">
        <v>5</v>
      </c>
      <c r="D12" s="1">
        <v>3</v>
      </c>
      <c r="E12" s="1">
        <v>2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124</v>
      </c>
      <c r="B13" s="1"/>
      <c r="C13" s="1">
        <v>10</v>
      </c>
      <c r="D13" s="1">
        <v>3</v>
      </c>
      <c r="E13" s="1">
        <v>3</v>
      </c>
      <c r="F13" s="1">
        <v>3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6" t="s">
        <v>125</v>
      </c>
      <c r="B14" s="1"/>
      <c r="C14" s="1">
        <v>10</v>
      </c>
      <c r="D14" s="1">
        <v>6</v>
      </c>
      <c r="E14" s="1">
        <v>6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126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127</v>
      </c>
      <c r="B16" s="1"/>
      <c r="C16" s="1">
        <v>5</v>
      </c>
      <c r="D16" s="1">
        <v>2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128</v>
      </c>
      <c r="B17" s="1"/>
      <c r="C17" s="1">
        <v>9</v>
      </c>
      <c r="D17" s="1">
        <v>1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129</v>
      </c>
      <c r="B18" s="1"/>
      <c r="C18" s="1">
        <v>4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130</v>
      </c>
      <c r="B19" s="1"/>
      <c r="C19" s="1">
        <v>6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131</v>
      </c>
      <c r="B20" s="1"/>
      <c r="C20" s="1">
        <v>5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6" t="s">
        <v>132</v>
      </c>
      <c r="B21" s="1"/>
      <c r="C21" s="1">
        <v>6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6" t="s">
        <v>133</v>
      </c>
      <c r="B22" s="1"/>
      <c r="C22" s="1">
        <v>6</v>
      </c>
      <c r="D22" s="1">
        <v>4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134</v>
      </c>
      <c r="B23" s="1"/>
      <c r="C23" s="1">
        <v>5</v>
      </c>
      <c r="D23" s="1">
        <v>2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5" t="s">
        <v>135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6" t="s">
        <v>136</v>
      </c>
      <c r="B25" s="1"/>
      <c r="C25" s="1">
        <v>6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5" t="s">
        <v>137</v>
      </c>
      <c r="B26" s="1"/>
      <c r="C26" s="1">
        <v>6</v>
      </c>
      <c r="D26" s="1">
        <v>2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6" t="s">
        <v>138</v>
      </c>
      <c r="B27" s="1"/>
      <c r="C27" s="1">
        <v>6</v>
      </c>
      <c r="D27" s="1">
        <v>1</v>
      </c>
      <c r="E27" s="1">
        <v>1</v>
      </c>
      <c r="F27" s="1">
        <v>1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6" t="s">
        <v>139</v>
      </c>
      <c r="B28" s="1"/>
      <c r="C28" s="1">
        <v>7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5" t="s">
        <v>140</v>
      </c>
      <c r="B29" s="1"/>
      <c r="C29" s="1">
        <v>7</v>
      </c>
      <c r="D29" s="1">
        <v>1</v>
      </c>
      <c r="E29" s="1">
        <v>0</v>
      </c>
      <c r="F29" s="1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5" t="s">
        <v>141</v>
      </c>
      <c r="B30" s="1"/>
      <c r="C30" s="1">
        <v>9</v>
      </c>
      <c r="D30" s="1">
        <v>6</v>
      </c>
      <c r="E30" s="1">
        <v>5</v>
      </c>
      <c r="F30" s="1">
        <v>5</v>
      </c>
      <c r="G30" s="1" t="b">
        <f t="shared" si="0"/>
        <v>1</v>
      </c>
      <c r="H30" s="1" t="b">
        <f t="shared" si="1"/>
        <v>1</v>
      </c>
      <c r="I30" s="1" t="b">
        <f t="shared" si="2"/>
        <v>0</v>
      </c>
      <c r="J30" s="1" t="b">
        <f t="shared" si="3"/>
        <v>1</v>
      </c>
      <c r="K30" s="1" t="b">
        <f t="shared" si="4"/>
        <v>0</v>
      </c>
    </row>
    <row r="31" spans="1:12" ht="15.75" customHeight="1">
      <c r="A31" s="5" t="s">
        <v>142</v>
      </c>
      <c r="B31" s="1"/>
      <c r="C31" s="1">
        <v>2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6" t="s">
        <v>143</v>
      </c>
      <c r="B32" s="1"/>
      <c r="C32" s="1">
        <v>2</v>
      </c>
      <c r="D32" s="1">
        <v>2</v>
      </c>
      <c r="E32" s="1">
        <v>2</v>
      </c>
      <c r="F32" s="1">
        <v>0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0</v>
      </c>
      <c r="K32" s="1" t="b">
        <f t="shared" si="4"/>
        <v>0</v>
      </c>
      <c r="L32" s="1" t="s">
        <v>144</v>
      </c>
    </row>
    <row r="33" spans="2:12" ht="15.75" customHeight="1">
      <c r="B33" s="1" t="s">
        <v>64</v>
      </c>
      <c r="C33" s="1">
        <f t="shared" ref="C33:F33" si="5">SUM(C2:C32)</f>
        <v>166</v>
      </c>
      <c r="D33" s="1">
        <f t="shared" si="5"/>
        <v>51</v>
      </c>
      <c r="E33" s="1">
        <f t="shared" si="5"/>
        <v>30</v>
      </c>
      <c r="F33" s="1">
        <f t="shared" si="5"/>
        <v>14</v>
      </c>
      <c r="G33" s="1">
        <f t="shared" ref="G33:K33" si="6">COUNTIF(G3:G32,"TRUE")</f>
        <v>23</v>
      </c>
      <c r="H33" s="1">
        <f t="shared" si="6"/>
        <v>12</v>
      </c>
      <c r="I33" s="1">
        <f t="shared" si="6"/>
        <v>8</v>
      </c>
      <c r="J33" s="1">
        <f t="shared" si="6"/>
        <v>7</v>
      </c>
      <c r="K33" s="1">
        <f t="shared" si="6"/>
        <v>3</v>
      </c>
      <c r="L33" s="7">
        <f>COUNTA(E3:E32)</f>
        <v>30</v>
      </c>
    </row>
    <row r="34" spans="2:12" ht="15.75" customHeight="1">
      <c r="E34" s="1" t="s">
        <v>3</v>
      </c>
      <c r="F34" s="2"/>
      <c r="G34" s="2">
        <f>G33/L33</f>
        <v>0.76666666666666672</v>
      </c>
      <c r="H34" s="2">
        <f>H33/L33</f>
        <v>0.4</v>
      </c>
      <c r="I34" s="2">
        <f>I33/L33</f>
        <v>0.26666666666666666</v>
      </c>
      <c r="J34" s="2">
        <f>J33/L33</f>
        <v>0.23333333333333334</v>
      </c>
      <c r="K34" s="2">
        <f>K33/L33</f>
        <v>0.1</v>
      </c>
    </row>
    <row r="35" spans="2:12" ht="15.75" customHeight="1">
      <c r="E35" s="1" t="s">
        <v>65</v>
      </c>
      <c r="F35" s="2"/>
      <c r="G35" s="2"/>
      <c r="H35" s="2">
        <f>H33/G33</f>
        <v>0.52173913043478259</v>
      </c>
      <c r="I35" s="2">
        <f>I33/G33</f>
        <v>0.34782608695652173</v>
      </c>
      <c r="J35" s="2">
        <f>J33/G33</f>
        <v>0.30434782608695654</v>
      </c>
      <c r="K35" s="2">
        <f>K33/G33</f>
        <v>0.13043478260869565</v>
      </c>
    </row>
    <row r="36" spans="2:12" ht="15.75" customHeight="1">
      <c r="E36" s="1" t="s">
        <v>66</v>
      </c>
      <c r="F36" s="2"/>
      <c r="G36" s="2">
        <f>E33/C33</f>
        <v>0.18072289156626506</v>
      </c>
      <c r="H36" s="2">
        <f>E33/D33</f>
        <v>0.58823529411764708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8"/>
  <sheetViews>
    <sheetView workbookViewId="0">
      <selection activeCell="G3" sqref="G3:K3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145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146</v>
      </c>
      <c r="B3" s="1"/>
      <c r="C3" s="1">
        <v>4</v>
      </c>
      <c r="D3" s="1">
        <v>1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147</v>
      </c>
      <c r="B4" s="1"/>
      <c r="C4" s="1">
        <v>5</v>
      </c>
      <c r="D4" s="1">
        <v>2</v>
      </c>
      <c r="E4" s="1">
        <v>0</v>
      </c>
      <c r="F4" s="1">
        <v>0</v>
      </c>
      <c r="G4" s="1" t="b">
        <f t="shared" ref="G4:G34" si="0">(D4&gt;0)</f>
        <v>1</v>
      </c>
      <c r="H4" s="1" t="b">
        <f t="shared" ref="H4:H34" si="1">(E4&gt;0)</f>
        <v>0</v>
      </c>
      <c r="I4" s="1" t="b">
        <f t="shared" ref="I4:I34" si="2">AND(G4,(D4=E4))</f>
        <v>0</v>
      </c>
      <c r="J4" s="1" t="b">
        <f t="shared" ref="J4:J34" si="3">(F4&gt;0)</f>
        <v>0</v>
      </c>
      <c r="K4" s="1" t="b">
        <f t="shared" ref="K4:K34" si="4">AND(I4,(E4=F4))</f>
        <v>0</v>
      </c>
    </row>
    <row r="5" spans="1:11" ht="15.75" customHeight="1">
      <c r="A5" s="5" t="s">
        <v>148</v>
      </c>
      <c r="B5" s="1"/>
      <c r="C5" s="1">
        <v>4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149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150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151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152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6" t="s">
        <v>153</v>
      </c>
      <c r="B10" s="1"/>
      <c r="C10" s="1">
        <v>5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154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155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156</v>
      </c>
      <c r="B13" s="1"/>
      <c r="C13" s="1">
        <v>4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157</v>
      </c>
      <c r="B14" s="1"/>
      <c r="C14" s="1">
        <v>11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158</v>
      </c>
      <c r="B15" s="1"/>
      <c r="C15" s="1">
        <v>5</v>
      </c>
      <c r="D15" s="1">
        <v>4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6" t="s">
        <v>159</v>
      </c>
      <c r="B16" s="1"/>
      <c r="C16" s="1">
        <v>9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5" t="s">
        <v>160</v>
      </c>
      <c r="B17" s="1"/>
      <c r="C17" s="1">
        <v>4</v>
      </c>
      <c r="D17" s="1">
        <v>1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6" t="s">
        <v>161</v>
      </c>
      <c r="B18" s="1"/>
      <c r="C18" s="1">
        <v>7</v>
      </c>
      <c r="D18" s="1">
        <v>2</v>
      </c>
      <c r="E18" s="1">
        <v>2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5" t="s">
        <v>162</v>
      </c>
      <c r="B19" s="1"/>
      <c r="C19" s="1">
        <v>8</v>
      </c>
      <c r="D19" s="1">
        <v>5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5" t="s">
        <v>163</v>
      </c>
      <c r="B20" s="1"/>
      <c r="C20" s="1">
        <v>7</v>
      </c>
      <c r="D20" s="1">
        <v>3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5" t="s">
        <v>164</v>
      </c>
      <c r="B21" s="1"/>
      <c r="C21" s="1">
        <v>4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5" t="s">
        <v>165</v>
      </c>
      <c r="B22" s="1"/>
      <c r="C22" s="1">
        <v>9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5" t="s">
        <v>166</v>
      </c>
      <c r="B23" s="1"/>
      <c r="C23" s="1">
        <v>5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5" t="s">
        <v>167</v>
      </c>
      <c r="B24" s="1"/>
      <c r="C24" s="1">
        <v>5</v>
      </c>
      <c r="D24" s="1">
        <v>2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6" t="s">
        <v>168</v>
      </c>
      <c r="B25" s="1"/>
      <c r="C25" s="1">
        <v>6</v>
      </c>
      <c r="D25" s="1">
        <v>3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5" t="s">
        <v>169</v>
      </c>
      <c r="B26" s="1"/>
      <c r="C26" s="1">
        <v>6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6" t="s">
        <v>170</v>
      </c>
      <c r="B27" s="1"/>
      <c r="C27" s="1">
        <v>7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5" t="s">
        <v>171</v>
      </c>
      <c r="B28" s="1"/>
      <c r="C28" s="1">
        <v>3</v>
      </c>
      <c r="D28" s="1">
        <v>1</v>
      </c>
      <c r="E28" s="1">
        <v>1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5" t="s">
        <v>172</v>
      </c>
      <c r="B29" s="1"/>
      <c r="C29" s="1">
        <v>4</v>
      </c>
      <c r="D29" s="1">
        <v>1</v>
      </c>
      <c r="E29" s="1">
        <v>1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1" ht="15.75" customHeight="1">
      <c r="A30" s="5" t="s">
        <v>173</v>
      </c>
      <c r="B30" s="1"/>
      <c r="C30" s="1">
        <v>7</v>
      </c>
      <c r="D30" s="1">
        <v>1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5" t="s">
        <v>174</v>
      </c>
      <c r="B31" s="1"/>
      <c r="C31" s="1">
        <v>7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5" t="s">
        <v>175</v>
      </c>
      <c r="B32" s="1"/>
      <c r="C32" s="1">
        <v>6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6" t="s">
        <v>176</v>
      </c>
      <c r="B33" s="1"/>
      <c r="C33" s="1">
        <v>2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</row>
    <row r="34" spans="1:12" ht="15.75" customHeight="1">
      <c r="A34" s="6" t="s">
        <v>177</v>
      </c>
      <c r="B34" s="1"/>
      <c r="C34" s="1">
        <v>2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</row>
    <row r="35" spans="1:12" ht="15.75" customHeight="1">
      <c r="B35" s="1" t="s">
        <v>64</v>
      </c>
      <c r="C35" s="1">
        <f t="shared" ref="C35:F35" si="5">SUM(C2:C34)</f>
        <v>174</v>
      </c>
      <c r="D35" s="1">
        <f t="shared" si="5"/>
        <v>29</v>
      </c>
      <c r="E35" s="1">
        <f t="shared" si="5"/>
        <v>6</v>
      </c>
      <c r="F35" s="1">
        <f t="shared" si="5"/>
        <v>1</v>
      </c>
      <c r="G35" s="1">
        <f t="shared" ref="G35:K35" si="6">COUNTIF(G3:G34,"TRUE")</f>
        <v>14</v>
      </c>
      <c r="H35" s="1">
        <f t="shared" si="6"/>
        <v>5</v>
      </c>
      <c r="I35" s="1">
        <f t="shared" si="6"/>
        <v>4</v>
      </c>
      <c r="J35" s="1">
        <f t="shared" si="6"/>
        <v>1</v>
      </c>
      <c r="K35" s="1">
        <f t="shared" si="6"/>
        <v>1</v>
      </c>
      <c r="L35" s="7">
        <f>COUNTA(E3:E34)</f>
        <v>32</v>
      </c>
    </row>
    <row r="36" spans="1:12" ht="15.75" customHeight="1">
      <c r="E36" s="1" t="s">
        <v>3</v>
      </c>
      <c r="F36" s="2"/>
      <c r="G36" s="2">
        <f>G35/L35</f>
        <v>0.4375</v>
      </c>
      <c r="H36" s="2">
        <f>H35/L35</f>
        <v>0.15625</v>
      </c>
      <c r="I36" s="2">
        <f>I35/L35</f>
        <v>0.125</v>
      </c>
      <c r="J36" s="2">
        <f>J35/L35</f>
        <v>3.125E-2</v>
      </c>
      <c r="K36" s="2">
        <f>K35/L35</f>
        <v>3.125E-2</v>
      </c>
    </row>
    <row r="37" spans="1:12" ht="15.75" customHeight="1">
      <c r="E37" s="1" t="s">
        <v>65</v>
      </c>
      <c r="F37" s="2"/>
      <c r="G37" s="2"/>
      <c r="H37" s="2">
        <f>H35/G35</f>
        <v>0.35714285714285715</v>
      </c>
      <c r="I37" s="2">
        <f>I35/G35</f>
        <v>0.2857142857142857</v>
      </c>
      <c r="J37" s="2">
        <f>J35/G35</f>
        <v>7.1428571428571425E-2</v>
      </c>
      <c r="K37" s="2">
        <f>K35/G35</f>
        <v>7.1428571428571425E-2</v>
      </c>
    </row>
    <row r="38" spans="1:12" ht="15.75" customHeight="1">
      <c r="E38" s="1" t="s">
        <v>66</v>
      </c>
      <c r="F38" s="2"/>
      <c r="G38" s="2">
        <f>E35/C35</f>
        <v>3.4482758620689655E-2</v>
      </c>
      <c r="H38" s="2">
        <f>E35/D35</f>
        <v>0.20689655172413793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2"/>
  <sheetViews>
    <sheetView workbookViewId="0">
      <selection activeCell="G3" sqref="G3:K2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178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179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180</v>
      </c>
      <c r="B4" s="1"/>
      <c r="C4" s="1">
        <v>6</v>
      </c>
      <c r="D4" s="1">
        <v>3</v>
      </c>
      <c r="E4" s="1">
        <v>0</v>
      </c>
      <c r="F4" s="1">
        <v>0</v>
      </c>
      <c r="G4" s="1" t="b">
        <f t="shared" ref="G4:G28" si="0">(D4&gt;0)</f>
        <v>1</v>
      </c>
      <c r="H4" s="1" t="b">
        <f t="shared" ref="H4:H28" si="1">(E4&gt;0)</f>
        <v>0</v>
      </c>
      <c r="I4" s="1" t="b">
        <f t="shared" ref="I4:I28" si="2">AND(G4,(D4=E4))</f>
        <v>0</v>
      </c>
      <c r="J4" s="1" t="b">
        <f t="shared" ref="J4:J28" si="3">(F4&gt;0)</f>
        <v>0</v>
      </c>
      <c r="K4" s="1" t="b">
        <f t="shared" ref="K4:K28" si="4">AND(I4,(E4=F4))</f>
        <v>0</v>
      </c>
    </row>
    <row r="5" spans="1:11" ht="15.75" customHeight="1">
      <c r="A5" s="5" t="s">
        <v>181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182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6" t="s">
        <v>183</v>
      </c>
      <c r="B7" s="1"/>
      <c r="C7" s="1">
        <v>4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184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185</v>
      </c>
      <c r="B9" s="1"/>
      <c r="C9" s="1">
        <v>4</v>
      </c>
      <c r="D9" s="1">
        <v>2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6" t="s">
        <v>186</v>
      </c>
      <c r="B10" s="1"/>
      <c r="C10" s="1">
        <v>6</v>
      </c>
      <c r="D10" s="1">
        <v>5</v>
      </c>
      <c r="E10" s="1">
        <v>5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187</v>
      </c>
      <c r="B11" s="1"/>
      <c r="C11" s="1">
        <v>7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6" t="s">
        <v>188</v>
      </c>
      <c r="B12" s="1"/>
      <c r="C12" s="1">
        <v>5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189</v>
      </c>
      <c r="B13" s="1"/>
      <c r="C13" s="1">
        <v>6</v>
      </c>
      <c r="D13" s="1">
        <v>2</v>
      </c>
      <c r="E13" s="1">
        <v>2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5" t="s">
        <v>190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6" t="s">
        <v>191</v>
      </c>
      <c r="B15" s="1"/>
      <c r="C15" s="1">
        <v>8</v>
      </c>
      <c r="D15" s="1">
        <v>3</v>
      </c>
      <c r="E15" s="1">
        <v>3</v>
      </c>
      <c r="F15" s="1">
        <v>3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5" t="s">
        <v>192</v>
      </c>
      <c r="B16" s="1"/>
      <c r="C16" s="1">
        <v>4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193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194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195</v>
      </c>
      <c r="B19" s="1"/>
      <c r="C19" s="1">
        <v>9</v>
      </c>
      <c r="D19" s="1">
        <v>3</v>
      </c>
      <c r="E19" s="1">
        <v>3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196</v>
      </c>
      <c r="B20" s="1"/>
      <c r="C20" s="1">
        <v>6</v>
      </c>
      <c r="D20" s="1">
        <v>2</v>
      </c>
      <c r="E20" s="1">
        <v>2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197</v>
      </c>
      <c r="B21" s="1"/>
      <c r="C21" s="1">
        <v>7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198</v>
      </c>
      <c r="B22" s="1"/>
      <c r="C22" s="1">
        <v>4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5" t="s">
        <v>199</v>
      </c>
      <c r="B23" s="1"/>
      <c r="C23" s="1">
        <v>5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5" t="s">
        <v>200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6" t="s">
        <v>201</v>
      </c>
      <c r="B25" s="1"/>
      <c r="C25" s="1">
        <v>4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5" t="s">
        <v>202</v>
      </c>
      <c r="B26" s="1"/>
      <c r="C26" s="1">
        <v>4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5" t="s">
        <v>203</v>
      </c>
      <c r="B27" s="1"/>
      <c r="C27" s="1">
        <v>2</v>
      </c>
      <c r="D27" s="1">
        <v>1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6" t="s">
        <v>204</v>
      </c>
      <c r="B28" s="1"/>
      <c r="C28" s="1">
        <v>2</v>
      </c>
      <c r="D28" s="1">
        <v>1</v>
      </c>
      <c r="E28" s="1">
        <v>1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B29" s="1" t="s">
        <v>64</v>
      </c>
      <c r="C29" s="1">
        <f t="shared" ref="C29:F29" si="5">SUM(C2:C28)</f>
        <v>131</v>
      </c>
      <c r="D29" s="1">
        <f t="shared" si="5"/>
        <v>28</v>
      </c>
      <c r="E29" s="1">
        <f t="shared" si="5"/>
        <v>20</v>
      </c>
      <c r="F29" s="1">
        <f t="shared" si="5"/>
        <v>4</v>
      </c>
      <c r="G29" s="1">
        <f t="shared" ref="G29:K29" si="6">COUNTIF(G3:G28,"TRUE")</f>
        <v>15</v>
      </c>
      <c r="H29" s="1">
        <f t="shared" si="6"/>
        <v>10</v>
      </c>
      <c r="I29" s="1">
        <f t="shared" si="6"/>
        <v>10</v>
      </c>
      <c r="J29" s="1">
        <f t="shared" si="6"/>
        <v>2</v>
      </c>
      <c r="K29" s="1">
        <f t="shared" si="6"/>
        <v>1</v>
      </c>
      <c r="L29" s="7">
        <f>COUNTA(E3:E28)</f>
        <v>26</v>
      </c>
    </row>
    <row r="30" spans="1:12" ht="15.75" customHeight="1">
      <c r="E30" s="1" t="s">
        <v>3</v>
      </c>
      <c r="F30" s="2"/>
      <c r="G30" s="2">
        <f>G29/L29</f>
        <v>0.57692307692307687</v>
      </c>
      <c r="H30" s="2">
        <f>H29/L29</f>
        <v>0.38461538461538464</v>
      </c>
      <c r="I30" s="2">
        <f>I29/L29</f>
        <v>0.38461538461538464</v>
      </c>
      <c r="J30" s="2">
        <f>J29/L29</f>
        <v>7.6923076923076927E-2</v>
      </c>
      <c r="K30" s="2">
        <f>K29/L29</f>
        <v>3.8461538461538464E-2</v>
      </c>
    </row>
    <row r="31" spans="1:12" ht="15.75" customHeight="1">
      <c r="E31" s="1" t="s">
        <v>65</v>
      </c>
      <c r="F31" s="2"/>
      <c r="G31" s="2"/>
      <c r="H31" s="2">
        <f>H29/G29</f>
        <v>0.66666666666666663</v>
      </c>
      <c r="I31" s="2">
        <f>I29/G29</f>
        <v>0.66666666666666663</v>
      </c>
      <c r="J31" s="2">
        <f>J29/G29</f>
        <v>0.13333333333333333</v>
      </c>
      <c r="K31" s="2">
        <f>K29/G29</f>
        <v>6.6666666666666666E-2</v>
      </c>
    </row>
    <row r="32" spans="1:12" ht="15.75" customHeight="1">
      <c r="E32" s="1" t="s">
        <v>66</v>
      </c>
      <c r="F32" s="2"/>
      <c r="G32" s="2">
        <f>E29/C29</f>
        <v>0.15267175572519084</v>
      </c>
      <c r="H32" s="2">
        <f>E29/D29</f>
        <v>0.7142857142857143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31"/>
  <sheetViews>
    <sheetView workbookViewId="0">
      <selection activeCell="G3" sqref="G3:K2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205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206</v>
      </c>
      <c r="B3" s="1"/>
      <c r="C3" s="1">
        <v>2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6" t="s">
        <v>207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6" si="0">(D4&gt;0)</f>
        <v>0</v>
      </c>
      <c r="H4" s="1" t="b">
        <f t="shared" ref="H4:H26" si="1">(E4&gt;0)</f>
        <v>0</v>
      </c>
      <c r="I4" s="1" t="b">
        <f t="shared" ref="I4:I26" si="2">AND(G4,(D4=E4))</f>
        <v>0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5" t="s">
        <v>208</v>
      </c>
      <c r="B5" s="1"/>
      <c r="C5" s="1">
        <v>4</v>
      </c>
      <c r="D5" s="1">
        <v>3</v>
      </c>
      <c r="E5" s="1">
        <v>3</v>
      </c>
      <c r="F5" s="1">
        <v>3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5" t="s">
        <v>209</v>
      </c>
      <c r="B6" s="1"/>
      <c r="C6" s="1">
        <v>12</v>
      </c>
      <c r="D6" s="1">
        <v>4</v>
      </c>
      <c r="E6" s="1">
        <v>4</v>
      </c>
      <c r="F6" s="1">
        <v>4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5" t="s">
        <v>210</v>
      </c>
      <c r="B7" s="1"/>
      <c r="C7" s="1">
        <v>2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5" t="s">
        <v>211</v>
      </c>
      <c r="B8" s="1"/>
      <c r="C8" s="1">
        <v>2</v>
      </c>
      <c r="D8" s="1">
        <v>2</v>
      </c>
      <c r="E8" s="1">
        <v>2</v>
      </c>
      <c r="F8" s="1">
        <v>2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5" t="s">
        <v>212</v>
      </c>
      <c r="B9" s="1"/>
      <c r="C9" s="1">
        <v>2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213</v>
      </c>
      <c r="B10" s="1"/>
      <c r="C10" s="1">
        <v>8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214</v>
      </c>
      <c r="B11" s="1"/>
      <c r="C11" s="1">
        <v>11</v>
      </c>
      <c r="D11" s="1">
        <v>8</v>
      </c>
      <c r="E11" s="1">
        <v>8</v>
      </c>
      <c r="F11" s="1">
        <v>8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5" t="s">
        <v>215</v>
      </c>
      <c r="B12" s="1"/>
      <c r="C12" s="1">
        <v>2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216</v>
      </c>
      <c r="B13" s="1"/>
      <c r="C13" s="1">
        <v>1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217</v>
      </c>
      <c r="B14" s="1"/>
      <c r="C14" s="1">
        <v>2</v>
      </c>
      <c r="D14" s="1">
        <v>2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218</v>
      </c>
      <c r="B15" s="1"/>
      <c r="C15" s="1">
        <v>4</v>
      </c>
      <c r="D15" s="1">
        <v>3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219</v>
      </c>
      <c r="B16" s="1"/>
      <c r="C16" s="1">
        <v>4</v>
      </c>
      <c r="D16" s="1">
        <v>4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220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221</v>
      </c>
      <c r="B18" s="1"/>
      <c r="C18" s="1">
        <v>7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222</v>
      </c>
      <c r="B19" s="1"/>
      <c r="C19" s="1">
        <v>8</v>
      </c>
      <c r="D19" s="1">
        <v>2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223</v>
      </c>
      <c r="B20" s="1"/>
      <c r="C20" s="1">
        <v>10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6" t="s">
        <v>224</v>
      </c>
      <c r="B21" s="1"/>
      <c r="C21" s="1">
        <v>4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225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5" t="s">
        <v>226</v>
      </c>
      <c r="B23" s="1"/>
      <c r="C23" s="1">
        <v>9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6" t="s">
        <v>227</v>
      </c>
      <c r="B24" s="1"/>
      <c r="C24" s="1">
        <v>1</v>
      </c>
      <c r="D24" s="1">
        <v>1</v>
      </c>
      <c r="E24" s="1">
        <v>1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5" t="s">
        <v>228</v>
      </c>
      <c r="B25" s="1"/>
      <c r="C25" s="1">
        <v>3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6" t="s">
        <v>229</v>
      </c>
      <c r="B26" s="1"/>
      <c r="C26" s="1">
        <v>2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5" t="s">
        <v>230</v>
      </c>
      <c r="B27" s="1"/>
      <c r="C27" s="1">
        <v>3</v>
      </c>
      <c r="D27" s="1">
        <v>2</v>
      </c>
      <c r="E27" s="1">
        <v>0</v>
      </c>
      <c r="F27" s="1">
        <v>0</v>
      </c>
      <c r="G27" s="1" t="b">
        <f>(D27&gt;0)</f>
        <v>1</v>
      </c>
      <c r="H27" s="1" t="b">
        <f>(E27&gt;0)</f>
        <v>0</v>
      </c>
      <c r="I27" s="1" t="b">
        <f>AND(G27,(D27=E27))</f>
        <v>0</v>
      </c>
      <c r="J27" s="1" t="b">
        <f>(F27&gt;0)</f>
        <v>0</v>
      </c>
      <c r="K27" s="1" t="b">
        <f>AND(I27,(E27=F27))</f>
        <v>0</v>
      </c>
    </row>
    <row r="28" spans="1:12" ht="15.75" customHeight="1">
      <c r="B28" s="1" t="s">
        <v>64</v>
      </c>
      <c r="C28" s="1">
        <f t="shared" ref="C28:F28" si="5">SUM(C2:C27)</f>
        <v>118</v>
      </c>
      <c r="D28" s="1">
        <f t="shared" si="5"/>
        <v>36</v>
      </c>
      <c r="E28" s="1">
        <f t="shared" si="5"/>
        <v>20</v>
      </c>
      <c r="F28" s="1">
        <f t="shared" si="5"/>
        <v>19</v>
      </c>
      <c r="G28" s="1">
        <f t="shared" ref="G28:K28" si="6">COUNTIF(G3:G27,"TRUE")</f>
        <v>15</v>
      </c>
      <c r="H28" s="1">
        <f t="shared" si="6"/>
        <v>7</v>
      </c>
      <c r="I28" s="1">
        <f t="shared" si="6"/>
        <v>7</v>
      </c>
      <c r="J28" s="1">
        <f t="shared" si="6"/>
        <v>6</v>
      </c>
      <c r="K28" s="1">
        <f t="shared" si="6"/>
        <v>6</v>
      </c>
      <c r="L28" s="7">
        <f>COUNTA(E3:E27)</f>
        <v>25</v>
      </c>
    </row>
    <row r="29" spans="1:12" ht="15.75" customHeight="1">
      <c r="E29" s="1" t="s">
        <v>3</v>
      </c>
      <c r="F29" s="2"/>
      <c r="G29" s="2">
        <f>G28/L28</f>
        <v>0.6</v>
      </c>
      <c r="H29" s="2">
        <f>H28/L28</f>
        <v>0.28000000000000003</v>
      </c>
      <c r="I29" s="2">
        <f>I28/L28</f>
        <v>0.28000000000000003</v>
      </c>
      <c r="J29" s="2">
        <f>J28/L28</f>
        <v>0.24</v>
      </c>
      <c r="K29" s="2">
        <f>K28/L28</f>
        <v>0.24</v>
      </c>
    </row>
    <row r="30" spans="1:12" ht="15.75" customHeight="1">
      <c r="E30" s="1" t="s">
        <v>65</v>
      </c>
      <c r="F30" s="2"/>
      <c r="G30" s="2"/>
      <c r="H30" s="2">
        <f>H28/G28</f>
        <v>0.46666666666666667</v>
      </c>
      <c r="I30" s="2">
        <f>I28/G28</f>
        <v>0.46666666666666667</v>
      </c>
      <c r="J30" s="2">
        <f>J28/G28</f>
        <v>0.4</v>
      </c>
      <c r="K30" s="2">
        <f>K28/G28</f>
        <v>0.4</v>
      </c>
    </row>
    <row r="31" spans="1:12" ht="15.75" customHeight="1">
      <c r="E31" s="1" t="s">
        <v>66</v>
      </c>
      <c r="F31" s="2"/>
      <c r="G31" s="2">
        <f>E28/C28</f>
        <v>0.16949152542372881</v>
      </c>
      <c r="H31" s="2">
        <f>E28/D28</f>
        <v>0.55555555555555558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33"/>
  <sheetViews>
    <sheetView workbookViewId="0">
      <selection activeCell="G3" sqref="G3:K2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231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232</v>
      </c>
      <c r="B3" s="1"/>
      <c r="C3" s="1">
        <v>4</v>
      </c>
      <c r="D3" s="1">
        <v>2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233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29" si="0">(D4&gt;0)</f>
        <v>0</v>
      </c>
      <c r="H4" s="1" t="b">
        <f t="shared" ref="H4:H29" si="1">(E4&gt;0)</f>
        <v>0</v>
      </c>
      <c r="I4" s="1" t="b">
        <f t="shared" ref="I4:I29" si="2">AND(G4,(D4=E4))</f>
        <v>0</v>
      </c>
      <c r="J4" s="1" t="b">
        <f t="shared" ref="J4:J29" si="3">(F4&gt;0)</f>
        <v>0</v>
      </c>
      <c r="K4" s="1" t="b">
        <f t="shared" ref="K4:K29" si="4">AND(I4,(E4=F4))</f>
        <v>0</v>
      </c>
    </row>
    <row r="5" spans="1:11" ht="15.75" customHeight="1">
      <c r="A5" s="5" t="s">
        <v>234</v>
      </c>
      <c r="B5" s="1"/>
      <c r="C5" s="1">
        <v>6</v>
      </c>
      <c r="D5" s="1">
        <v>2</v>
      </c>
      <c r="E5" s="1">
        <v>2</v>
      </c>
      <c r="F5" s="1">
        <v>2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5" t="s">
        <v>235</v>
      </c>
      <c r="B6" s="1"/>
      <c r="C6" s="1">
        <v>4</v>
      </c>
      <c r="D6" s="1">
        <v>4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236</v>
      </c>
      <c r="B7" s="1"/>
      <c r="C7" s="1">
        <v>4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237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238</v>
      </c>
      <c r="B9" s="1"/>
      <c r="C9" s="1">
        <v>6</v>
      </c>
      <c r="D9" s="1">
        <v>4</v>
      </c>
      <c r="E9" s="1">
        <v>4</v>
      </c>
      <c r="F9" s="1">
        <v>4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239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6" t="s">
        <v>240</v>
      </c>
      <c r="B11" s="1"/>
      <c r="C11" s="1">
        <v>5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241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6" t="s">
        <v>242</v>
      </c>
      <c r="B13" s="1"/>
      <c r="C13" s="1">
        <v>6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243</v>
      </c>
      <c r="B14" s="1"/>
      <c r="C14" s="1">
        <v>4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244</v>
      </c>
      <c r="B15" s="1"/>
      <c r="C15" s="1">
        <v>7</v>
      </c>
      <c r="D15" s="1">
        <v>2</v>
      </c>
      <c r="E15" s="1">
        <v>2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245</v>
      </c>
      <c r="B16" s="1"/>
      <c r="C16" s="1">
        <v>7</v>
      </c>
      <c r="D16" s="1">
        <v>7</v>
      </c>
      <c r="E16" s="1">
        <v>7</v>
      </c>
      <c r="F16" s="1">
        <v>7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6" t="s">
        <v>246</v>
      </c>
      <c r="B17" s="1"/>
      <c r="C17" s="1">
        <v>8</v>
      </c>
      <c r="D17" s="1">
        <v>3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247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248</v>
      </c>
      <c r="B19" s="1"/>
      <c r="C19" s="1">
        <v>5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249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250</v>
      </c>
      <c r="B21" s="1"/>
      <c r="C21" s="1">
        <v>6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6" t="s">
        <v>251</v>
      </c>
      <c r="B22" s="1"/>
      <c r="C22" s="1">
        <v>6</v>
      </c>
      <c r="D22" s="1">
        <v>4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252</v>
      </c>
      <c r="B23" s="1"/>
      <c r="C23" s="1">
        <v>6</v>
      </c>
      <c r="D23" s="1">
        <v>3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6" t="s">
        <v>253</v>
      </c>
      <c r="B24" s="1"/>
      <c r="C24" s="1">
        <v>4</v>
      </c>
      <c r="D24" s="1">
        <v>2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5" t="s">
        <v>254</v>
      </c>
      <c r="B25" s="1"/>
      <c r="C25" s="1">
        <v>4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6" t="s">
        <v>255</v>
      </c>
      <c r="B26" s="1"/>
      <c r="C26" s="1">
        <v>6</v>
      </c>
      <c r="D26" s="1">
        <v>5</v>
      </c>
      <c r="E26" s="1">
        <v>1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0</v>
      </c>
      <c r="J26" s="1" t="b">
        <f t="shared" si="3"/>
        <v>1</v>
      </c>
      <c r="K26" s="1" t="b">
        <f t="shared" si="4"/>
        <v>0</v>
      </c>
    </row>
    <row r="27" spans="1:12" ht="15.75" customHeight="1">
      <c r="A27" s="6" t="s">
        <v>256</v>
      </c>
      <c r="B27" s="1"/>
      <c r="C27" s="1">
        <v>5</v>
      </c>
      <c r="D27" s="1">
        <v>2</v>
      </c>
      <c r="E27" s="1">
        <v>2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6" t="s">
        <v>257</v>
      </c>
      <c r="B28" s="1"/>
      <c r="C28" s="1">
        <v>7</v>
      </c>
      <c r="D28" s="1">
        <v>1</v>
      </c>
      <c r="E28" s="1">
        <v>0</v>
      </c>
      <c r="F28" s="1">
        <v>0</v>
      </c>
      <c r="G28" s="1" t="b">
        <f t="shared" si="0"/>
        <v>1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5" t="s">
        <v>258</v>
      </c>
      <c r="B29" s="1"/>
      <c r="C29" s="1">
        <v>2</v>
      </c>
      <c r="D29" s="1">
        <v>2</v>
      </c>
      <c r="E29" s="1">
        <v>0</v>
      </c>
      <c r="F29" s="1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B30" s="1" t="s">
        <v>64</v>
      </c>
      <c r="C30" s="1">
        <f t="shared" ref="C30:F30" si="5">SUM(C2:C29)</f>
        <v>146</v>
      </c>
      <c r="D30" s="1">
        <f t="shared" si="5"/>
        <v>51</v>
      </c>
      <c r="E30" s="1">
        <f t="shared" si="5"/>
        <v>21</v>
      </c>
      <c r="F30" s="1">
        <f t="shared" si="5"/>
        <v>14</v>
      </c>
      <c r="G30" s="1">
        <f t="shared" ref="G30:K30" si="6">COUNTIF(G3:G29,"TRUE")</f>
        <v>21</v>
      </c>
      <c r="H30" s="1">
        <f t="shared" si="6"/>
        <v>9</v>
      </c>
      <c r="I30" s="1">
        <f t="shared" si="6"/>
        <v>5</v>
      </c>
      <c r="J30" s="1">
        <f t="shared" si="6"/>
        <v>4</v>
      </c>
      <c r="K30" s="1">
        <f t="shared" si="6"/>
        <v>3</v>
      </c>
      <c r="L30" s="7">
        <f>COUNTA(E3:E29)</f>
        <v>27</v>
      </c>
    </row>
    <row r="31" spans="1:12" ht="15.75" customHeight="1">
      <c r="E31" s="1" t="s">
        <v>3</v>
      </c>
      <c r="F31" s="2"/>
      <c r="G31" s="2">
        <f>G30/L30</f>
        <v>0.77777777777777779</v>
      </c>
      <c r="H31" s="2">
        <f>H30/L30</f>
        <v>0.33333333333333331</v>
      </c>
      <c r="I31" s="2">
        <f>I30/L30</f>
        <v>0.18518518518518517</v>
      </c>
      <c r="J31" s="2">
        <f>J30/L30</f>
        <v>0.14814814814814814</v>
      </c>
      <c r="K31" s="2">
        <f>K30/L30</f>
        <v>0.1111111111111111</v>
      </c>
    </row>
    <row r="32" spans="1:12" ht="15.75" customHeight="1">
      <c r="E32" s="1" t="s">
        <v>65</v>
      </c>
      <c r="F32" s="2"/>
      <c r="G32" s="2"/>
      <c r="H32" s="2">
        <f>H30/G30</f>
        <v>0.42857142857142855</v>
      </c>
      <c r="I32" s="2">
        <f>I30/G30</f>
        <v>0.23809523809523808</v>
      </c>
      <c r="J32" s="2">
        <f>J30/G30</f>
        <v>0.19047619047619047</v>
      </c>
      <c r="K32" s="2">
        <f>K30/G30</f>
        <v>0.14285714285714285</v>
      </c>
    </row>
    <row r="33" spans="5:8" ht="15.75" customHeight="1">
      <c r="E33" s="1" t="s">
        <v>66</v>
      </c>
      <c r="F33" s="2"/>
      <c r="G33" s="2">
        <f>E30/C30</f>
        <v>0.14383561643835616</v>
      </c>
      <c r="H33" s="2">
        <f>E30/D30</f>
        <v>0.41176470588235292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259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8" t="s">
        <v>260</v>
      </c>
      <c r="B3" s="1"/>
      <c r="C3" s="1">
        <v>6</v>
      </c>
      <c r="D3" s="1">
        <v>2</v>
      </c>
      <c r="E3" s="1">
        <v>2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0</v>
      </c>
    </row>
    <row r="4" spans="1:11" ht="15.75" customHeight="1">
      <c r="A4" s="8" t="s">
        <v>261</v>
      </c>
      <c r="B4" s="1"/>
      <c r="C4" s="1">
        <v>5</v>
      </c>
      <c r="D4" s="1">
        <v>2</v>
      </c>
      <c r="E4" s="1">
        <v>0</v>
      </c>
      <c r="F4" s="1">
        <v>0</v>
      </c>
      <c r="G4" s="1" t="b">
        <f t="shared" ref="G4:G26" si="0">(D4&gt;0)</f>
        <v>1</v>
      </c>
      <c r="H4" s="1" t="b">
        <f t="shared" ref="H4:H26" si="1">(E4&gt;0)</f>
        <v>0</v>
      </c>
      <c r="I4" s="1" t="b">
        <f t="shared" ref="I4:I26" si="2">AND(G4,(D4=E4))</f>
        <v>0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t="s">
        <v>262</v>
      </c>
      <c r="B5" s="1"/>
      <c r="C5" s="1">
        <v>4</v>
      </c>
      <c r="D5" s="1">
        <v>4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8" t="s">
        <v>263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8" t="s">
        <v>264</v>
      </c>
      <c r="B7" s="1"/>
      <c r="C7" s="1">
        <v>2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t="s">
        <v>265</v>
      </c>
      <c r="B8" s="1"/>
      <c r="C8" s="1">
        <v>5</v>
      </c>
      <c r="D8" s="1">
        <v>3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t="s">
        <v>266</v>
      </c>
      <c r="B9" s="1"/>
      <c r="C9" s="1">
        <v>5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t="s">
        <v>267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t="s">
        <v>268</v>
      </c>
      <c r="B11" s="1"/>
      <c r="C11" s="1">
        <v>7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8" t="s">
        <v>269</v>
      </c>
      <c r="B12" s="1"/>
      <c r="C12" s="1">
        <v>8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t="s">
        <v>270</v>
      </c>
      <c r="B13" s="1"/>
      <c r="C13" s="1">
        <v>6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8" t="s">
        <v>271</v>
      </c>
      <c r="B14" s="1"/>
      <c r="C14" s="1">
        <v>5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8" t="s">
        <v>272</v>
      </c>
      <c r="B15" s="1"/>
      <c r="C15" s="1">
        <v>6</v>
      </c>
      <c r="D15" s="1">
        <v>2</v>
      </c>
      <c r="E15" s="1">
        <v>2</v>
      </c>
      <c r="F15" s="1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t="s">
        <v>273</v>
      </c>
      <c r="B16" s="1"/>
      <c r="C16" s="1">
        <v>7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t="s">
        <v>274</v>
      </c>
      <c r="B17" s="1"/>
      <c r="C17" s="1">
        <v>7</v>
      </c>
      <c r="D17" s="1">
        <v>4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t="s">
        <v>275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8" t="s">
        <v>276</v>
      </c>
      <c r="B19" s="1"/>
      <c r="C19" s="1">
        <v>6</v>
      </c>
      <c r="D19" s="1">
        <v>5</v>
      </c>
      <c r="E19" s="1">
        <v>5</v>
      </c>
      <c r="F19" s="1">
        <v>5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8" t="s">
        <v>277</v>
      </c>
      <c r="B20" s="1"/>
      <c r="C20" s="1">
        <v>7</v>
      </c>
      <c r="D20" s="1">
        <v>3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8" t="s">
        <v>278</v>
      </c>
      <c r="B21" s="1"/>
      <c r="C21" s="1">
        <v>8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t="s">
        <v>279</v>
      </c>
      <c r="B22" s="1"/>
      <c r="C22" s="1">
        <v>4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t="s">
        <v>280</v>
      </c>
      <c r="B23" s="1"/>
      <c r="C23" s="1">
        <v>4</v>
      </c>
      <c r="D23" s="1">
        <v>3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t="s">
        <v>281</v>
      </c>
      <c r="B24" s="1"/>
      <c r="C24" s="1">
        <v>10</v>
      </c>
      <c r="D24" s="1">
        <v>2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t="s">
        <v>282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t="s">
        <v>283</v>
      </c>
      <c r="B26" s="1"/>
      <c r="C26" s="1">
        <v>6</v>
      </c>
      <c r="D26" s="1">
        <v>4</v>
      </c>
      <c r="E26" s="1">
        <v>2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64</v>
      </c>
      <c r="C27" s="1">
        <f t="shared" ref="C27:F27" si="5">SUM(C2:C26)</f>
        <v>139</v>
      </c>
      <c r="D27" s="1">
        <f t="shared" si="5"/>
        <v>42</v>
      </c>
      <c r="E27" s="1">
        <f t="shared" si="5"/>
        <v>16</v>
      </c>
      <c r="F27" s="1">
        <f t="shared" si="5"/>
        <v>12</v>
      </c>
      <c r="G27" s="1">
        <f t="shared" ref="G27:K27" si="6">COUNTIF(G3:G26,"TRUE")</f>
        <v>18</v>
      </c>
      <c r="H27" s="1">
        <f t="shared" si="6"/>
        <v>8</v>
      </c>
      <c r="I27" s="1">
        <f t="shared" si="6"/>
        <v>7</v>
      </c>
      <c r="J27" s="1">
        <f t="shared" si="6"/>
        <v>6</v>
      </c>
      <c r="K27" s="1">
        <f t="shared" si="6"/>
        <v>5</v>
      </c>
      <c r="L27" s="7">
        <f>COUNTA(E3:E26)</f>
        <v>24</v>
      </c>
    </row>
    <row r="28" spans="1:12" ht="15.75" customHeight="1">
      <c r="E28" s="1" t="s">
        <v>3</v>
      </c>
      <c r="F28" s="2"/>
      <c r="G28" s="2">
        <f>G27/L27</f>
        <v>0.75</v>
      </c>
      <c r="H28" s="2">
        <f>H27/L27</f>
        <v>0.33333333333333331</v>
      </c>
      <c r="I28" s="2">
        <f>I27/L27</f>
        <v>0.29166666666666669</v>
      </c>
      <c r="J28" s="2">
        <f>J27/L27</f>
        <v>0.25</v>
      </c>
      <c r="K28" s="2">
        <f>K27/L27</f>
        <v>0.20833333333333334</v>
      </c>
    </row>
    <row r="29" spans="1:12" ht="15.75" customHeight="1">
      <c r="E29" s="1" t="s">
        <v>65</v>
      </c>
      <c r="F29" s="2"/>
      <c r="G29" s="2"/>
      <c r="H29" s="2">
        <f>H27/G27</f>
        <v>0.44444444444444442</v>
      </c>
      <c r="I29" s="2">
        <f>I27/G27</f>
        <v>0.3888888888888889</v>
      </c>
      <c r="J29" s="2">
        <f>J27/G27</f>
        <v>0.33333333333333331</v>
      </c>
      <c r="K29" s="2">
        <f>K27/G27</f>
        <v>0.27777777777777779</v>
      </c>
    </row>
    <row r="30" spans="1:12" ht="15.75" customHeight="1">
      <c r="E30" s="1" t="s">
        <v>66</v>
      </c>
      <c r="F30" s="2"/>
      <c r="G30" s="2">
        <f>E27/C27</f>
        <v>0.11510791366906475</v>
      </c>
      <c r="H30" s="2">
        <f>E27/D27</f>
        <v>0.38095238095238093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32"/>
  <sheetViews>
    <sheetView workbookViewId="0">
      <selection activeCell="G3" sqref="G3:K2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284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5" t="s">
        <v>285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286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28" si="0">(D4&gt;0)</f>
        <v>0</v>
      </c>
      <c r="H4" s="1" t="b">
        <f t="shared" ref="H4:H28" si="1">(E4&gt;0)</f>
        <v>0</v>
      </c>
      <c r="I4" s="1" t="b">
        <f t="shared" ref="I4:I28" si="2">AND(G4,(D4=E4))</f>
        <v>0</v>
      </c>
      <c r="J4" s="1" t="b">
        <f t="shared" ref="J4:J28" si="3">(F4&gt;0)</f>
        <v>0</v>
      </c>
      <c r="K4" s="1" t="b">
        <f t="shared" ref="K4:K28" si="4">AND(I4,(E4=F4))</f>
        <v>0</v>
      </c>
    </row>
    <row r="5" spans="1:11" ht="15.75" customHeight="1">
      <c r="A5" s="5" t="s">
        <v>287</v>
      </c>
      <c r="B5" s="1"/>
      <c r="C5" s="1">
        <v>4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6" t="s">
        <v>288</v>
      </c>
      <c r="B6" s="1"/>
      <c r="C6" s="1">
        <v>6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289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290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291</v>
      </c>
      <c r="B9" s="1"/>
      <c r="C9" s="1">
        <v>4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292</v>
      </c>
      <c r="B10" s="1"/>
      <c r="C10" s="1">
        <v>4</v>
      </c>
      <c r="D10" s="1">
        <v>3</v>
      </c>
      <c r="E10" s="1">
        <v>3</v>
      </c>
      <c r="F10" s="1">
        <v>3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6" t="s">
        <v>293</v>
      </c>
      <c r="B11" s="1"/>
      <c r="C11" s="1">
        <v>3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6" t="s">
        <v>294</v>
      </c>
      <c r="B12" s="1"/>
      <c r="C12" s="1">
        <v>5</v>
      </c>
      <c r="D12" s="1">
        <v>3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295</v>
      </c>
      <c r="B13" s="1"/>
      <c r="C13" s="1">
        <v>2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296</v>
      </c>
      <c r="B14" s="1"/>
      <c r="C14" s="1">
        <v>6</v>
      </c>
      <c r="D14" s="1">
        <v>2</v>
      </c>
      <c r="E14" s="1">
        <v>2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5" t="s">
        <v>297</v>
      </c>
      <c r="B15" s="1"/>
      <c r="C15" s="1">
        <v>4</v>
      </c>
      <c r="D15" s="1">
        <v>1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5" t="s">
        <v>298</v>
      </c>
      <c r="B16" s="1"/>
      <c r="C16" s="1">
        <v>6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299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6" t="s">
        <v>300</v>
      </c>
      <c r="B18" s="1"/>
      <c r="C18" s="1">
        <v>7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301</v>
      </c>
      <c r="B19" s="1"/>
      <c r="C19" s="1">
        <v>9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302</v>
      </c>
      <c r="B20" s="1"/>
      <c r="C20" s="1">
        <v>5</v>
      </c>
      <c r="D20" s="1">
        <v>4</v>
      </c>
      <c r="E20" s="1">
        <v>4</v>
      </c>
      <c r="F20" s="1">
        <v>3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2" ht="15.75" customHeight="1">
      <c r="A21" s="6" t="s">
        <v>303</v>
      </c>
      <c r="B21" s="1"/>
      <c r="C21" s="1">
        <v>5</v>
      </c>
      <c r="D21" s="1">
        <v>4</v>
      </c>
      <c r="E21" s="1">
        <v>4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6" t="s">
        <v>304</v>
      </c>
      <c r="B22" s="1"/>
      <c r="C22" s="1">
        <v>5</v>
      </c>
      <c r="D22" s="1">
        <v>5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305</v>
      </c>
      <c r="B23" s="1"/>
      <c r="C23" s="1">
        <v>7</v>
      </c>
      <c r="D23" s="1">
        <v>1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5" t="s">
        <v>306</v>
      </c>
      <c r="B24" s="1"/>
      <c r="C24" s="1">
        <v>4</v>
      </c>
      <c r="D24" s="1">
        <v>3</v>
      </c>
      <c r="E24" s="1">
        <v>3</v>
      </c>
      <c r="F24" s="1">
        <v>3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5" t="s">
        <v>307</v>
      </c>
      <c r="B25" s="1"/>
      <c r="C25" s="1">
        <v>5</v>
      </c>
      <c r="D25" s="1">
        <v>2</v>
      </c>
      <c r="E25" s="1">
        <v>2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0</v>
      </c>
    </row>
    <row r="26" spans="1:12" ht="15.75" customHeight="1">
      <c r="A26" s="6" t="s">
        <v>308</v>
      </c>
      <c r="B26" s="1"/>
      <c r="C26" s="1">
        <v>7</v>
      </c>
      <c r="D26" s="1">
        <v>3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5" t="s">
        <v>309</v>
      </c>
      <c r="B27" s="1"/>
      <c r="C27" s="1">
        <v>7</v>
      </c>
      <c r="D27" s="1">
        <v>5</v>
      </c>
      <c r="E27" s="1">
        <v>0</v>
      </c>
      <c r="F27" s="1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6" t="s">
        <v>310</v>
      </c>
      <c r="B28" s="1"/>
      <c r="C28" s="1">
        <v>3</v>
      </c>
      <c r="D28" s="1">
        <v>1</v>
      </c>
      <c r="E28" s="1">
        <v>1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B29" s="1" t="s">
        <v>64</v>
      </c>
      <c r="C29" s="1">
        <f t="shared" ref="C29:F29" si="5">SUM(C2:C28)</f>
        <v>129</v>
      </c>
      <c r="D29" s="1">
        <f t="shared" si="5"/>
        <v>43</v>
      </c>
      <c r="E29" s="1">
        <f t="shared" si="5"/>
        <v>23</v>
      </c>
      <c r="F29" s="1">
        <f t="shared" si="5"/>
        <v>15</v>
      </c>
      <c r="G29" s="1">
        <f t="shared" ref="G29:K29" si="6">COUNTIF(G3:G28,"TRUE")</f>
        <v>19</v>
      </c>
      <c r="H29" s="1">
        <f t="shared" si="6"/>
        <v>11</v>
      </c>
      <c r="I29" s="1">
        <f t="shared" si="6"/>
        <v>11</v>
      </c>
      <c r="J29" s="1">
        <f t="shared" si="6"/>
        <v>8</v>
      </c>
      <c r="K29" s="1">
        <f t="shared" si="6"/>
        <v>6</v>
      </c>
      <c r="L29" s="7">
        <f>COUNTA(E3:E28)</f>
        <v>26</v>
      </c>
    </row>
    <row r="30" spans="1:12" ht="15.75" customHeight="1">
      <c r="E30" s="1" t="s">
        <v>3</v>
      </c>
      <c r="F30" s="2"/>
      <c r="G30" s="2">
        <f>G29/L29</f>
        <v>0.73076923076923073</v>
      </c>
      <c r="H30" s="2">
        <f>H29/L29</f>
        <v>0.42307692307692307</v>
      </c>
      <c r="I30" s="2">
        <f>I29/L29</f>
        <v>0.42307692307692307</v>
      </c>
      <c r="J30" s="2">
        <f>J29/L29</f>
        <v>0.30769230769230771</v>
      </c>
      <c r="K30" s="2">
        <f>K29/L29</f>
        <v>0.23076923076923078</v>
      </c>
    </row>
    <row r="31" spans="1:12" ht="15.75" customHeight="1">
      <c r="E31" s="1" t="s">
        <v>65</v>
      </c>
      <c r="F31" s="2"/>
      <c r="G31" s="2"/>
      <c r="H31" s="2">
        <f>H29/G29</f>
        <v>0.57894736842105265</v>
      </c>
      <c r="I31" s="2">
        <f>I29/G29</f>
        <v>0.57894736842105265</v>
      </c>
      <c r="J31" s="2">
        <f>J29/G29</f>
        <v>0.42105263157894735</v>
      </c>
      <c r="K31" s="2">
        <f>K29/G29</f>
        <v>0.31578947368421051</v>
      </c>
    </row>
    <row r="32" spans="1:12" ht="15.75" customHeight="1">
      <c r="E32" s="1" t="s">
        <v>66</v>
      </c>
      <c r="F32" s="2"/>
      <c r="G32" s="2">
        <f>E29/C29</f>
        <v>0.17829457364341086</v>
      </c>
      <c r="H32" s="2">
        <f>E29/D29</f>
        <v>0.53488372093023251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2"/>
  <sheetViews>
    <sheetView workbookViewId="0">
      <selection activeCell="G3" sqref="G3:K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311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6" t="s">
        <v>312</v>
      </c>
      <c r="B3" s="1"/>
      <c r="C3" s="1">
        <v>2</v>
      </c>
      <c r="D3" s="1">
        <v>2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313</v>
      </c>
      <c r="B4" s="1"/>
      <c r="C4" s="1">
        <v>2</v>
      </c>
      <c r="D4" s="1">
        <v>0</v>
      </c>
      <c r="E4" s="1">
        <v>0</v>
      </c>
      <c r="F4" s="1">
        <v>0</v>
      </c>
      <c r="G4" s="1" t="b">
        <f t="shared" ref="G4:G18" si="0">(D4&gt;0)</f>
        <v>0</v>
      </c>
      <c r="H4" s="1" t="b">
        <f t="shared" ref="H4:H18" si="1">(E4&gt;0)</f>
        <v>0</v>
      </c>
      <c r="I4" s="1" t="b">
        <f t="shared" ref="I4:I18" si="2">AND(G4,(D4=E4))</f>
        <v>0</v>
      </c>
      <c r="J4" s="1" t="b">
        <f t="shared" ref="J4:J18" si="3">(F4&gt;0)</f>
        <v>0</v>
      </c>
      <c r="K4" s="1" t="b">
        <f t="shared" ref="K4:K18" si="4">AND(I4,(E4=F4))</f>
        <v>0</v>
      </c>
    </row>
    <row r="5" spans="1:11" ht="15.75" customHeight="1">
      <c r="A5" s="5" t="s">
        <v>314</v>
      </c>
      <c r="B5" s="1"/>
      <c r="C5" s="1">
        <v>5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315</v>
      </c>
      <c r="B6" s="1"/>
      <c r="C6" s="1">
        <v>9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6" t="s">
        <v>316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317</v>
      </c>
      <c r="B8" s="1"/>
      <c r="C8" s="1">
        <v>10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318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319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320</v>
      </c>
      <c r="B11" s="1"/>
      <c r="C11" s="1">
        <v>4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5" t="s">
        <v>321</v>
      </c>
      <c r="B12" s="1"/>
      <c r="C12" s="1">
        <v>6</v>
      </c>
      <c r="D12" s="1">
        <v>3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5" t="s">
        <v>322</v>
      </c>
      <c r="B13" s="1"/>
      <c r="C13" s="1">
        <v>4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323</v>
      </c>
      <c r="B14" s="1"/>
      <c r="C14" s="1">
        <v>5</v>
      </c>
      <c r="D14" s="1">
        <v>4</v>
      </c>
      <c r="E14" s="1">
        <v>4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5" t="s">
        <v>324</v>
      </c>
      <c r="B15" s="1"/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6" t="s">
        <v>325</v>
      </c>
      <c r="B16" s="1"/>
      <c r="C16" s="1">
        <v>6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326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327</v>
      </c>
      <c r="B18" s="1"/>
      <c r="C18" s="1">
        <v>6</v>
      </c>
      <c r="D18" s="1">
        <v>6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B19" s="1" t="s">
        <v>64</v>
      </c>
      <c r="C19" s="1">
        <f t="shared" ref="C19:F19" si="5">SUM(C2:C18)</f>
        <v>84</v>
      </c>
      <c r="D19" s="1">
        <f t="shared" si="5"/>
        <v>23</v>
      </c>
      <c r="E19" s="1">
        <f t="shared" si="5"/>
        <v>8</v>
      </c>
      <c r="F19" s="1">
        <f t="shared" si="5"/>
        <v>5</v>
      </c>
      <c r="G19" s="1">
        <f t="shared" ref="G19:K19" si="6">COUNTIF(G3:G18,"TRUE")</f>
        <v>8</v>
      </c>
      <c r="H19" s="1">
        <f t="shared" si="6"/>
        <v>4</v>
      </c>
      <c r="I19" s="1">
        <f t="shared" si="6"/>
        <v>2</v>
      </c>
      <c r="J19" s="1">
        <f t="shared" si="6"/>
        <v>3</v>
      </c>
      <c r="K19" s="1">
        <f t="shared" si="6"/>
        <v>1</v>
      </c>
      <c r="L19" s="7">
        <f>COUNTA(E3:E18)</f>
        <v>16</v>
      </c>
    </row>
    <row r="20" spans="1:12" ht="15.75" customHeight="1">
      <c r="E20" s="1" t="s">
        <v>3</v>
      </c>
      <c r="F20" s="2"/>
      <c r="G20" s="2">
        <f>G19/L19</f>
        <v>0.5</v>
      </c>
      <c r="H20" s="2">
        <f>H19/L19</f>
        <v>0.25</v>
      </c>
      <c r="I20" s="2">
        <f>I19/L19</f>
        <v>0.125</v>
      </c>
      <c r="J20" s="2">
        <f>J19/L19</f>
        <v>0.1875</v>
      </c>
      <c r="K20" s="2">
        <f>K19/L19</f>
        <v>6.25E-2</v>
      </c>
    </row>
    <row r="21" spans="1:12" ht="15.75" customHeight="1">
      <c r="E21" s="1" t="s">
        <v>65</v>
      </c>
      <c r="F21" s="2"/>
      <c r="G21" s="2"/>
      <c r="H21" s="2">
        <f>H19/G19</f>
        <v>0.5</v>
      </c>
      <c r="I21" s="2">
        <f>I19/G19</f>
        <v>0.25</v>
      </c>
      <c r="J21" s="2">
        <f>J19/G19</f>
        <v>0.375</v>
      </c>
      <c r="K21" s="2">
        <f>K19/G19</f>
        <v>0.125</v>
      </c>
    </row>
    <row r="22" spans="1:12" ht="15.75" customHeight="1">
      <c r="E22" s="1" t="s">
        <v>66</v>
      </c>
      <c r="F22" s="2"/>
      <c r="G22" s="2">
        <f>E19/C19</f>
        <v>9.5238095238095233E-2</v>
      </c>
      <c r="H22" s="2">
        <f>E19/D19</f>
        <v>0.34782608695652173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23"/>
  <sheetViews>
    <sheetView workbookViewId="0">
      <selection activeCell="G3" sqref="G3:K1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328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9" t="s">
        <v>329</v>
      </c>
      <c r="B3" s="9"/>
      <c r="C3" s="10">
        <v>5</v>
      </c>
      <c r="D3" s="10">
        <v>1</v>
      </c>
      <c r="E3" s="10">
        <v>1</v>
      </c>
      <c r="F3" s="10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9" t="s">
        <v>330</v>
      </c>
      <c r="B4" s="9"/>
      <c r="C4" s="10">
        <v>4</v>
      </c>
      <c r="D4" s="10">
        <v>1</v>
      </c>
      <c r="E4" s="10">
        <v>1</v>
      </c>
      <c r="F4" s="10">
        <v>1</v>
      </c>
      <c r="G4" s="1" t="b">
        <f t="shared" ref="G4:G19" si="0">(D4&gt;0)</f>
        <v>1</v>
      </c>
      <c r="H4" s="1" t="b">
        <f t="shared" ref="H4:H19" si="1">(E4&gt;0)</f>
        <v>1</v>
      </c>
      <c r="I4" s="1" t="b">
        <f t="shared" ref="I4:I19" si="2">AND(G4,(D4=E4))</f>
        <v>1</v>
      </c>
      <c r="J4" s="1" t="b">
        <f t="shared" ref="J4:J19" si="3">(F4&gt;0)</f>
        <v>1</v>
      </c>
      <c r="K4" s="1" t="b">
        <f t="shared" ref="K4:K19" si="4">AND(I4,(E4=F4))</f>
        <v>1</v>
      </c>
    </row>
    <row r="5" spans="1:11" ht="15.75" customHeight="1">
      <c r="A5" s="9" t="s">
        <v>331</v>
      </c>
      <c r="B5" s="9"/>
      <c r="C5" s="10">
        <v>3</v>
      </c>
      <c r="D5" s="10">
        <v>0</v>
      </c>
      <c r="E5" s="10">
        <v>0</v>
      </c>
      <c r="F5" s="10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9" t="s">
        <v>332</v>
      </c>
      <c r="B6" s="9"/>
      <c r="C6" s="10">
        <v>2</v>
      </c>
      <c r="D6" s="10">
        <v>0</v>
      </c>
      <c r="E6" s="10">
        <v>0</v>
      </c>
      <c r="F6" s="10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9" t="s">
        <v>333</v>
      </c>
      <c r="B7" s="9"/>
      <c r="C7" s="10">
        <v>4</v>
      </c>
      <c r="D7" s="10">
        <v>0</v>
      </c>
      <c r="E7" s="10">
        <v>0</v>
      </c>
      <c r="F7" s="10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9" t="s">
        <v>334</v>
      </c>
      <c r="B8" s="9"/>
      <c r="C8" s="10">
        <v>4</v>
      </c>
      <c r="D8" s="10">
        <v>1</v>
      </c>
      <c r="E8" s="10">
        <v>1</v>
      </c>
      <c r="F8" s="10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9" t="s">
        <v>335</v>
      </c>
      <c r="B9" s="9"/>
      <c r="C9" s="10">
        <v>5</v>
      </c>
      <c r="D9" s="10">
        <v>0</v>
      </c>
      <c r="E9" s="10">
        <v>0</v>
      </c>
      <c r="F9" s="10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9" t="s">
        <v>336</v>
      </c>
      <c r="B10" s="9"/>
      <c r="C10" s="10">
        <v>6</v>
      </c>
      <c r="D10" s="10">
        <v>2</v>
      </c>
      <c r="E10" s="10">
        <v>2</v>
      </c>
      <c r="F10" s="10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9" t="s">
        <v>337</v>
      </c>
      <c r="B11" s="9"/>
      <c r="C11" s="10">
        <v>7</v>
      </c>
      <c r="D11" s="10">
        <v>1</v>
      </c>
      <c r="E11" s="10">
        <v>1</v>
      </c>
      <c r="F11" s="10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9" t="s">
        <v>338</v>
      </c>
      <c r="B12" s="9"/>
      <c r="C12" s="10">
        <v>7</v>
      </c>
      <c r="D12" s="10">
        <v>0</v>
      </c>
      <c r="E12" s="10">
        <v>0</v>
      </c>
      <c r="F12" s="10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9" t="s">
        <v>339</v>
      </c>
      <c r="B13" s="9"/>
      <c r="C13" s="10">
        <v>7</v>
      </c>
      <c r="D13" s="10">
        <v>0</v>
      </c>
      <c r="E13" s="10">
        <v>0</v>
      </c>
      <c r="F13" s="10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9" t="s">
        <v>340</v>
      </c>
      <c r="B14" s="9"/>
      <c r="C14" s="10">
        <v>5</v>
      </c>
      <c r="D14" s="10">
        <v>0</v>
      </c>
      <c r="E14" s="10">
        <v>0</v>
      </c>
      <c r="F14" s="10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9" t="s">
        <v>341</v>
      </c>
      <c r="B15" s="9"/>
      <c r="C15" s="10">
        <v>5</v>
      </c>
      <c r="D15" s="10">
        <v>0</v>
      </c>
      <c r="E15" s="10">
        <v>0</v>
      </c>
      <c r="F15" s="10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9" t="s">
        <v>342</v>
      </c>
      <c r="B16" s="9"/>
      <c r="C16" s="10">
        <v>3</v>
      </c>
      <c r="D16" s="10">
        <v>0</v>
      </c>
      <c r="E16" s="10">
        <v>0</v>
      </c>
      <c r="F16" s="10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9" t="s">
        <v>343</v>
      </c>
      <c r="B17" s="9"/>
      <c r="C17" s="10">
        <v>4</v>
      </c>
      <c r="D17" s="10">
        <v>1</v>
      </c>
      <c r="E17" s="10">
        <v>1</v>
      </c>
      <c r="F17" s="10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9" t="s">
        <v>344</v>
      </c>
      <c r="B18" s="9"/>
      <c r="C18" s="10">
        <v>3</v>
      </c>
      <c r="D18" s="10">
        <v>1</v>
      </c>
      <c r="E18" s="10">
        <v>1</v>
      </c>
      <c r="F18" s="10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9" t="s">
        <v>345</v>
      </c>
      <c r="B19" s="9"/>
      <c r="C19" s="10">
        <v>2</v>
      </c>
      <c r="D19" s="10">
        <v>0</v>
      </c>
      <c r="E19" s="10">
        <v>0</v>
      </c>
      <c r="F19" s="10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B20" s="1" t="s">
        <v>64</v>
      </c>
      <c r="C20" s="1">
        <f t="shared" ref="C20:F20" si="5">SUM(C3:C19)</f>
        <v>76</v>
      </c>
      <c r="D20" s="1">
        <f t="shared" si="5"/>
        <v>8</v>
      </c>
      <c r="E20" s="1">
        <f t="shared" si="5"/>
        <v>8</v>
      </c>
      <c r="F20" s="1">
        <f t="shared" si="5"/>
        <v>6</v>
      </c>
      <c r="G20" s="1">
        <f t="shared" ref="G20:K20" si="6">COUNTIF(G4:G19,"TRUE")</f>
        <v>6</v>
      </c>
      <c r="H20" s="1">
        <f t="shared" si="6"/>
        <v>6</v>
      </c>
      <c r="I20" s="1">
        <f t="shared" si="6"/>
        <v>6</v>
      </c>
      <c r="J20" s="1">
        <f t="shared" si="6"/>
        <v>5</v>
      </c>
      <c r="K20" s="1">
        <f t="shared" si="6"/>
        <v>5</v>
      </c>
      <c r="L20" s="7">
        <f>COUNTA(E4:E19)</f>
        <v>16</v>
      </c>
    </row>
    <row r="21" spans="1:12" ht="15.75" customHeight="1">
      <c r="E21" s="1" t="s">
        <v>3</v>
      </c>
      <c r="F21" s="2"/>
      <c r="G21" s="2">
        <f>G20/L20</f>
        <v>0.375</v>
      </c>
      <c r="H21" s="2">
        <f>H20/L20</f>
        <v>0.375</v>
      </c>
      <c r="I21" s="2">
        <f>I20/L20</f>
        <v>0.375</v>
      </c>
      <c r="J21" s="2">
        <f>J20/L20</f>
        <v>0.3125</v>
      </c>
      <c r="K21" s="2">
        <f>K20/L20</f>
        <v>0.3125</v>
      </c>
    </row>
    <row r="22" spans="1:12" ht="15.75" customHeight="1">
      <c r="E22" s="1" t="s">
        <v>65</v>
      </c>
      <c r="F22" s="2"/>
      <c r="G22" s="2"/>
      <c r="H22" s="2">
        <f>H20/G20</f>
        <v>1</v>
      </c>
      <c r="I22" s="2">
        <f>I20/G20</f>
        <v>1</v>
      </c>
      <c r="J22" s="2">
        <f>J20/G20</f>
        <v>0.83333333333333337</v>
      </c>
      <c r="K22" s="2">
        <f>K20/G20</f>
        <v>0.83333333333333337</v>
      </c>
    </row>
    <row r="23" spans="1:12" ht="15.75" customHeight="1">
      <c r="E23" s="1" t="s">
        <v>66</v>
      </c>
      <c r="F23" s="2"/>
      <c r="G23" s="2">
        <f>E20/C20</f>
        <v>0.10526315789473684</v>
      </c>
      <c r="H23" s="2">
        <f>E20/D20</f>
        <v>1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2025-06-11T20:54:50Z</dcterms:modified>
</cp:coreProperties>
</file>