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rash/work_misc/acs_sbol10years/FinalSubmission/ACS Supplemental Information/"/>
    </mc:Choice>
  </mc:AlternateContent>
  <xr:revisionPtr revIDLastSave="0" documentId="13_ncr:1_{DB680493-248E-E445-B68E-A0B9000C853C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3" l="1"/>
  <c r="H4" i="13"/>
  <c r="I4" i="13"/>
  <c r="J4" i="13"/>
  <c r="K4" i="13"/>
  <c r="G5" i="13"/>
  <c r="H5" i="13"/>
  <c r="I5" i="13"/>
  <c r="J5" i="13"/>
  <c r="K5" i="13"/>
  <c r="G6" i="13"/>
  <c r="H6" i="13"/>
  <c r="I6" i="13"/>
  <c r="J6" i="13"/>
  <c r="K6" i="13"/>
  <c r="G7" i="13"/>
  <c r="H7" i="13"/>
  <c r="I7" i="13"/>
  <c r="J7" i="13"/>
  <c r="K7" i="13"/>
  <c r="G8" i="13"/>
  <c r="H8" i="13"/>
  <c r="I8" i="13"/>
  <c r="J8" i="13"/>
  <c r="K8" i="13"/>
  <c r="G9" i="13"/>
  <c r="H9" i="13"/>
  <c r="I9" i="13"/>
  <c r="J9" i="13"/>
  <c r="K9" i="13"/>
  <c r="G10" i="13"/>
  <c r="H10" i="13"/>
  <c r="I10" i="13"/>
  <c r="J10" i="13"/>
  <c r="K10" i="13"/>
  <c r="G11" i="13"/>
  <c r="H11" i="13"/>
  <c r="I11" i="13"/>
  <c r="J11" i="13"/>
  <c r="K11" i="13"/>
  <c r="G12" i="13"/>
  <c r="H12" i="13"/>
  <c r="I12" i="13"/>
  <c r="J12" i="13"/>
  <c r="K12" i="13"/>
  <c r="G13" i="13"/>
  <c r="H13" i="13"/>
  <c r="I13" i="13"/>
  <c r="J13" i="13"/>
  <c r="K13" i="13"/>
  <c r="G14" i="13"/>
  <c r="H14" i="13"/>
  <c r="I14" i="13"/>
  <c r="J14" i="13"/>
  <c r="K14" i="13"/>
  <c r="G15" i="13"/>
  <c r="H15" i="13"/>
  <c r="I15" i="13"/>
  <c r="J15" i="13"/>
  <c r="K15" i="13"/>
  <c r="G16" i="13"/>
  <c r="H16" i="13"/>
  <c r="I16" i="13"/>
  <c r="J16" i="13"/>
  <c r="K16" i="13"/>
  <c r="G17" i="13"/>
  <c r="H17" i="13"/>
  <c r="I17" i="13"/>
  <c r="J17" i="13"/>
  <c r="K17" i="13"/>
  <c r="G18" i="13"/>
  <c r="H18" i="13"/>
  <c r="I18" i="13"/>
  <c r="J18" i="13"/>
  <c r="K18" i="13"/>
  <c r="G19" i="13"/>
  <c r="H19" i="13"/>
  <c r="I19" i="13"/>
  <c r="J19" i="13"/>
  <c r="K19" i="13"/>
  <c r="G20" i="13"/>
  <c r="H20" i="13"/>
  <c r="I20" i="13"/>
  <c r="J20" i="13"/>
  <c r="K20" i="13"/>
  <c r="G21" i="13"/>
  <c r="H21" i="13"/>
  <c r="I21" i="13"/>
  <c r="J21" i="13"/>
  <c r="K21" i="13"/>
  <c r="G22" i="13"/>
  <c r="H22" i="13"/>
  <c r="I22" i="13"/>
  <c r="J22" i="13"/>
  <c r="K22" i="13"/>
  <c r="G23" i="13"/>
  <c r="H23" i="13"/>
  <c r="I23" i="13"/>
  <c r="J23" i="13"/>
  <c r="K23" i="13"/>
  <c r="G24" i="13"/>
  <c r="H24" i="13"/>
  <c r="I24" i="13"/>
  <c r="J24" i="13"/>
  <c r="K24" i="13"/>
  <c r="G25" i="13"/>
  <c r="H25" i="13"/>
  <c r="I25" i="13"/>
  <c r="J25" i="13"/>
  <c r="K25" i="13"/>
  <c r="G26" i="13"/>
  <c r="H26" i="13"/>
  <c r="I26" i="13"/>
  <c r="J26" i="13"/>
  <c r="K26" i="13"/>
  <c r="G27" i="13"/>
  <c r="H27" i="13"/>
  <c r="I27" i="13"/>
  <c r="J27" i="13"/>
  <c r="K27" i="13"/>
  <c r="G4" i="12"/>
  <c r="H4" i="12"/>
  <c r="I4" i="12"/>
  <c r="J4" i="12"/>
  <c r="K4" i="12"/>
  <c r="G5" i="12"/>
  <c r="H5" i="12"/>
  <c r="I5" i="12"/>
  <c r="J5" i="12"/>
  <c r="K5" i="12"/>
  <c r="G6" i="12"/>
  <c r="H6" i="12"/>
  <c r="I6" i="12"/>
  <c r="J6" i="12"/>
  <c r="K6" i="12"/>
  <c r="G7" i="12"/>
  <c r="H7" i="12"/>
  <c r="I7" i="12"/>
  <c r="J7" i="12"/>
  <c r="K7" i="12"/>
  <c r="G8" i="12"/>
  <c r="H8" i="12"/>
  <c r="I8" i="12"/>
  <c r="J8" i="12"/>
  <c r="K8" i="12"/>
  <c r="G9" i="12"/>
  <c r="H9" i="12"/>
  <c r="I9" i="12"/>
  <c r="J9" i="12"/>
  <c r="K9" i="12"/>
  <c r="G10" i="12"/>
  <c r="H10" i="12"/>
  <c r="I10" i="12"/>
  <c r="J10" i="12"/>
  <c r="K10" i="12"/>
  <c r="G11" i="12"/>
  <c r="H11" i="12"/>
  <c r="I11" i="12"/>
  <c r="J11" i="12"/>
  <c r="K11" i="12"/>
  <c r="G12" i="12"/>
  <c r="H12" i="12"/>
  <c r="I12" i="12"/>
  <c r="J12" i="12"/>
  <c r="K12" i="12"/>
  <c r="G13" i="12"/>
  <c r="H13" i="12"/>
  <c r="I13" i="12"/>
  <c r="J13" i="12"/>
  <c r="K13" i="12"/>
  <c r="G14" i="12"/>
  <c r="H14" i="12"/>
  <c r="I14" i="12"/>
  <c r="J14" i="12"/>
  <c r="K14" i="12"/>
  <c r="G15" i="12"/>
  <c r="H15" i="12"/>
  <c r="I15" i="12"/>
  <c r="J15" i="12"/>
  <c r="K15" i="12"/>
  <c r="G16" i="12"/>
  <c r="H16" i="12"/>
  <c r="I16" i="12"/>
  <c r="J16" i="12"/>
  <c r="K16" i="12"/>
  <c r="G17" i="12"/>
  <c r="H17" i="12"/>
  <c r="I17" i="12"/>
  <c r="J17" i="12"/>
  <c r="K17" i="12"/>
  <c r="G18" i="12"/>
  <c r="H18" i="12"/>
  <c r="I18" i="12"/>
  <c r="J18" i="12"/>
  <c r="K18" i="12"/>
  <c r="G19" i="12"/>
  <c r="H19" i="12"/>
  <c r="I19" i="12"/>
  <c r="J19" i="12"/>
  <c r="K19" i="12"/>
  <c r="G20" i="12"/>
  <c r="H20" i="12"/>
  <c r="I20" i="12"/>
  <c r="J20" i="12"/>
  <c r="K20" i="12"/>
  <c r="G21" i="12"/>
  <c r="H21" i="12"/>
  <c r="I21" i="12"/>
  <c r="J21" i="12"/>
  <c r="K21" i="12"/>
  <c r="G22" i="12"/>
  <c r="H22" i="12"/>
  <c r="I22" i="12"/>
  <c r="J22" i="12"/>
  <c r="K22" i="12"/>
  <c r="G23" i="12"/>
  <c r="H23" i="12"/>
  <c r="I23" i="12"/>
  <c r="J23" i="12"/>
  <c r="K23" i="12"/>
  <c r="G24" i="12"/>
  <c r="H24" i="12"/>
  <c r="I24" i="12"/>
  <c r="J24" i="12"/>
  <c r="K24" i="12"/>
  <c r="G25" i="12"/>
  <c r="H25" i="12"/>
  <c r="I25" i="12"/>
  <c r="J25" i="12"/>
  <c r="K25" i="12"/>
  <c r="G26" i="12"/>
  <c r="H26" i="12"/>
  <c r="I26" i="12"/>
  <c r="J26" i="12"/>
  <c r="K26" i="12"/>
  <c r="G27" i="12"/>
  <c r="H27" i="12"/>
  <c r="I27" i="12"/>
  <c r="J27" i="12"/>
  <c r="K27" i="12"/>
  <c r="G28" i="12"/>
  <c r="H28" i="12"/>
  <c r="I28" i="12"/>
  <c r="J28" i="12"/>
  <c r="K28" i="12"/>
  <c r="G29" i="12"/>
  <c r="H29" i="12"/>
  <c r="I29" i="12"/>
  <c r="J29" i="12"/>
  <c r="K29" i="12"/>
  <c r="G30" i="12"/>
  <c r="H30" i="12"/>
  <c r="I30" i="12"/>
  <c r="J30" i="12"/>
  <c r="K30" i="12"/>
  <c r="G31" i="12"/>
  <c r="H31" i="12"/>
  <c r="I31" i="12"/>
  <c r="J31" i="12"/>
  <c r="K31" i="12"/>
  <c r="G32" i="12"/>
  <c r="H32" i="12"/>
  <c r="I32" i="12"/>
  <c r="J32" i="12"/>
  <c r="K32" i="12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H14" i="11"/>
  <c r="I14" i="11"/>
  <c r="J14" i="11"/>
  <c r="K14" i="11"/>
  <c r="G15" i="11"/>
  <c r="H15" i="11"/>
  <c r="I15" i="11"/>
  <c r="J15" i="11"/>
  <c r="K15" i="11"/>
  <c r="G16" i="11"/>
  <c r="H16" i="11"/>
  <c r="I16" i="11"/>
  <c r="J16" i="11"/>
  <c r="K16" i="11"/>
  <c r="G17" i="11"/>
  <c r="H17" i="11"/>
  <c r="I17" i="11"/>
  <c r="J17" i="11"/>
  <c r="K17" i="11"/>
  <c r="G18" i="11"/>
  <c r="H18" i="11"/>
  <c r="I18" i="11"/>
  <c r="J18" i="11"/>
  <c r="K18" i="11"/>
  <c r="G19" i="11"/>
  <c r="H19" i="11"/>
  <c r="I19" i="11"/>
  <c r="J19" i="11"/>
  <c r="K19" i="11"/>
  <c r="G20" i="11"/>
  <c r="H20" i="11"/>
  <c r="I20" i="11"/>
  <c r="J20" i="11"/>
  <c r="K20" i="11"/>
  <c r="G21" i="11"/>
  <c r="H21" i="11"/>
  <c r="I21" i="11"/>
  <c r="J21" i="11"/>
  <c r="K21" i="11"/>
  <c r="G22" i="11"/>
  <c r="H22" i="11"/>
  <c r="I22" i="11"/>
  <c r="J22" i="11"/>
  <c r="K22" i="11"/>
  <c r="G23" i="11"/>
  <c r="H23" i="11"/>
  <c r="I23" i="11"/>
  <c r="J23" i="11"/>
  <c r="K23" i="11"/>
  <c r="G24" i="11"/>
  <c r="H24" i="11"/>
  <c r="I24" i="11"/>
  <c r="J24" i="11"/>
  <c r="K24" i="11"/>
  <c r="G25" i="11"/>
  <c r="H25" i="11"/>
  <c r="I25" i="11"/>
  <c r="J25" i="11"/>
  <c r="K25" i="11"/>
  <c r="G26" i="11"/>
  <c r="H26" i="11"/>
  <c r="I26" i="11"/>
  <c r="J26" i="11"/>
  <c r="K26" i="11"/>
  <c r="G27" i="11"/>
  <c r="H27" i="11"/>
  <c r="I27" i="11"/>
  <c r="J27" i="11"/>
  <c r="K27" i="11"/>
  <c r="G28" i="11"/>
  <c r="H28" i="11"/>
  <c r="I28" i="11"/>
  <c r="J28" i="11"/>
  <c r="K28" i="11"/>
  <c r="G29" i="11"/>
  <c r="H29" i="11"/>
  <c r="I29" i="11"/>
  <c r="J29" i="11"/>
  <c r="K29" i="11"/>
  <c r="G30" i="11"/>
  <c r="H30" i="11"/>
  <c r="I30" i="11"/>
  <c r="J30" i="11"/>
  <c r="K30" i="11"/>
  <c r="G31" i="11"/>
  <c r="H31" i="11"/>
  <c r="I31" i="11"/>
  <c r="J31" i="11"/>
  <c r="K31" i="11"/>
  <c r="G32" i="11"/>
  <c r="H32" i="11"/>
  <c r="I32" i="11"/>
  <c r="J32" i="11"/>
  <c r="K32" i="11"/>
  <c r="G33" i="11"/>
  <c r="H33" i="11"/>
  <c r="I33" i="11"/>
  <c r="J33" i="11"/>
  <c r="K33" i="11"/>
  <c r="G34" i="11"/>
  <c r="H34" i="11"/>
  <c r="I34" i="11"/>
  <c r="J34" i="11"/>
  <c r="K34" i="11"/>
  <c r="G35" i="11"/>
  <c r="H35" i="11"/>
  <c r="I35" i="11"/>
  <c r="J35" i="11"/>
  <c r="K35" i="11"/>
  <c r="G36" i="11"/>
  <c r="H36" i="11"/>
  <c r="I36" i="11"/>
  <c r="J36" i="11"/>
  <c r="K36" i="11"/>
  <c r="G37" i="11"/>
  <c r="H37" i="11"/>
  <c r="I37" i="11"/>
  <c r="J37" i="11"/>
  <c r="K37" i="11"/>
  <c r="G4" i="10"/>
  <c r="I4" i="10" s="1"/>
  <c r="K4" i="10" s="1"/>
  <c r="H4" i="10"/>
  <c r="J4" i="10"/>
  <c r="G5" i="10"/>
  <c r="H5" i="10"/>
  <c r="I5" i="10"/>
  <c r="J5" i="10"/>
  <c r="K5" i="10"/>
  <c r="G6" i="10"/>
  <c r="I6" i="10" s="1"/>
  <c r="K6" i="10" s="1"/>
  <c r="H6" i="10"/>
  <c r="J6" i="10"/>
  <c r="G7" i="10"/>
  <c r="H7" i="10"/>
  <c r="I7" i="10"/>
  <c r="J7" i="10"/>
  <c r="K7" i="10"/>
  <c r="G8" i="10"/>
  <c r="I8" i="10" s="1"/>
  <c r="K8" i="10" s="1"/>
  <c r="H8" i="10"/>
  <c r="J8" i="10"/>
  <c r="G9" i="10"/>
  <c r="I9" i="10" s="1"/>
  <c r="K9" i="10" s="1"/>
  <c r="H9" i="10"/>
  <c r="J9" i="10"/>
  <c r="G10" i="10"/>
  <c r="I10" i="10" s="1"/>
  <c r="K10" i="10" s="1"/>
  <c r="H10" i="10"/>
  <c r="J10" i="10"/>
  <c r="G11" i="10"/>
  <c r="H11" i="10"/>
  <c r="I11" i="10"/>
  <c r="J11" i="10"/>
  <c r="K11" i="10"/>
  <c r="G12" i="10"/>
  <c r="I12" i="10" s="1"/>
  <c r="K12" i="10" s="1"/>
  <c r="H12" i="10"/>
  <c r="J12" i="10"/>
  <c r="G13" i="10"/>
  <c r="H13" i="10"/>
  <c r="I13" i="10"/>
  <c r="J13" i="10"/>
  <c r="K13" i="10"/>
  <c r="G14" i="10"/>
  <c r="I14" i="10" s="1"/>
  <c r="K14" i="10" s="1"/>
  <c r="H14" i="10"/>
  <c r="J14" i="10"/>
  <c r="G15" i="10"/>
  <c r="H15" i="10"/>
  <c r="I15" i="10"/>
  <c r="J15" i="10"/>
  <c r="K15" i="10"/>
  <c r="G16" i="10"/>
  <c r="I16" i="10" s="1"/>
  <c r="K16" i="10" s="1"/>
  <c r="H16" i="10"/>
  <c r="J16" i="10"/>
  <c r="G17" i="10"/>
  <c r="H17" i="10"/>
  <c r="I17" i="10"/>
  <c r="J17" i="10"/>
  <c r="K17" i="10"/>
  <c r="G18" i="10"/>
  <c r="I18" i="10" s="1"/>
  <c r="K18" i="10" s="1"/>
  <c r="H18" i="10"/>
  <c r="J18" i="10"/>
  <c r="G19" i="10"/>
  <c r="H19" i="10"/>
  <c r="I19" i="10"/>
  <c r="J19" i="10"/>
  <c r="K19" i="10"/>
  <c r="G20" i="10"/>
  <c r="I20" i="10" s="1"/>
  <c r="K20" i="10" s="1"/>
  <c r="H20" i="10"/>
  <c r="J20" i="10"/>
  <c r="G21" i="10"/>
  <c r="H21" i="10"/>
  <c r="I21" i="10"/>
  <c r="J21" i="10"/>
  <c r="K21" i="10"/>
  <c r="G22" i="10"/>
  <c r="I22" i="10" s="1"/>
  <c r="K22" i="10" s="1"/>
  <c r="H22" i="10"/>
  <c r="J22" i="10"/>
  <c r="G23" i="10"/>
  <c r="H23" i="10"/>
  <c r="I23" i="10"/>
  <c r="J23" i="10"/>
  <c r="K23" i="10"/>
  <c r="G24" i="10"/>
  <c r="I24" i="10" s="1"/>
  <c r="K24" i="10" s="1"/>
  <c r="H24" i="10"/>
  <c r="J24" i="10"/>
  <c r="G25" i="10"/>
  <c r="H25" i="10"/>
  <c r="I25" i="10"/>
  <c r="J25" i="10"/>
  <c r="K25" i="10"/>
  <c r="G26" i="10"/>
  <c r="I26" i="10" s="1"/>
  <c r="K26" i="10" s="1"/>
  <c r="H26" i="10"/>
  <c r="J26" i="10"/>
  <c r="G4" i="9"/>
  <c r="H4" i="9"/>
  <c r="I4" i="9"/>
  <c r="J4" i="9"/>
  <c r="K4" i="9"/>
  <c r="G5" i="9"/>
  <c r="H5" i="9"/>
  <c r="I5" i="9"/>
  <c r="J5" i="9"/>
  <c r="K5" i="9"/>
  <c r="G6" i="9"/>
  <c r="H6" i="9"/>
  <c r="I6" i="9"/>
  <c r="J6" i="9"/>
  <c r="K6" i="9"/>
  <c r="G7" i="9"/>
  <c r="I7" i="9" s="1"/>
  <c r="K7" i="9" s="1"/>
  <c r="H7" i="9"/>
  <c r="J7" i="9"/>
  <c r="G8" i="9"/>
  <c r="H8" i="9"/>
  <c r="I8" i="9"/>
  <c r="J8" i="9"/>
  <c r="K8" i="9"/>
  <c r="G9" i="9"/>
  <c r="H9" i="9"/>
  <c r="I9" i="9"/>
  <c r="J9" i="9"/>
  <c r="K9" i="9"/>
  <c r="G10" i="9"/>
  <c r="H10" i="9"/>
  <c r="I10" i="9"/>
  <c r="J10" i="9"/>
  <c r="K10" i="9"/>
  <c r="G11" i="9"/>
  <c r="H11" i="9"/>
  <c r="I11" i="9"/>
  <c r="J11" i="9"/>
  <c r="K11" i="9"/>
  <c r="G12" i="9"/>
  <c r="H12" i="9"/>
  <c r="I12" i="9"/>
  <c r="J12" i="9"/>
  <c r="K12" i="9"/>
  <c r="G13" i="9"/>
  <c r="H13" i="9"/>
  <c r="I13" i="9"/>
  <c r="J13" i="9"/>
  <c r="K13" i="9"/>
  <c r="G14" i="9"/>
  <c r="H14" i="9"/>
  <c r="I14" i="9"/>
  <c r="J14" i="9"/>
  <c r="K14" i="9"/>
  <c r="G15" i="9"/>
  <c r="H15" i="9"/>
  <c r="I15" i="9"/>
  <c r="J15" i="9"/>
  <c r="K15" i="9"/>
  <c r="G16" i="9"/>
  <c r="H16" i="9"/>
  <c r="I16" i="9"/>
  <c r="J16" i="9"/>
  <c r="K16" i="9"/>
  <c r="G17" i="9"/>
  <c r="H17" i="9"/>
  <c r="I17" i="9"/>
  <c r="J17" i="9"/>
  <c r="K17" i="9"/>
  <c r="G18" i="9"/>
  <c r="H18" i="9"/>
  <c r="I18" i="9"/>
  <c r="J18" i="9"/>
  <c r="K18" i="9"/>
  <c r="G19" i="9"/>
  <c r="H19" i="9"/>
  <c r="I19" i="9"/>
  <c r="J19" i="9"/>
  <c r="K19" i="9"/>
  <c r="G20" i="9"/>
  <c r="H20" i="9"/>
  <c r="I20" i="9"/>
  <c r="J20" i="9"/>
  <c r="K20" i="9"/>
  <c r="G21" i="9"/>
  <c r="H21" i="9"/>
  <c r="I21" i="9"/>
  <c r="J21" i="9"/>
  <c r="K21" i="9"/>
  <c r="G22" i="9"/>
  <c r="H22" i="9"/>
  <c r="I22" i="9"/>
  <c r="J22" i="9"/>
  <c r="K22" i="9"/>
  <c r="G23" i="9"/>
  <c r="H23" i="9"/>
  <c r="I23" i="9"/>
  <c r="J23" i="9"/>
  <c r="K23" i="9"/>
  <c r="G24" i="9"/>
  <c r="H24" i="9"/>
  <c r="I24" i="9"/>
  <c r="J24" i="9"/>
  <c r="K24" i="9"/>
  <c r="G25" i="9"/>
  <c r="H25" i="9"/>
  <c r="I25" i="9"/>
  <c r="J25" i="9"/>
  <c r="K25" i="9"/>
  <c r="G26" i="9"/>
  <c r="H26" i="9"/>
  <c r="I26" i="9"/>
  <c r="J26" i="9"/>
  <c r="K26" i="9"/>
  <c r="G27" i="9"/>
  <c r="H27" i="9"/>
  <c r="I27" i="9"/>
  <c r="J27" i="9"/>
  <c r="K27" i="9"/>
  <c r="G28" i="9"/>
  <c r="H28" i="9"/>
  <c r="I28" i="9"/>
  <c r="J28" i="9"/>
  <c r="K28" i="9"/>
  <c r="G29" i="9"/>
  <c r="H29" i="9"/>
  <c r="I29" i="9"/>
  <c r="J29" i="9"/>
  <c r="K29" i="9"/>
  <c r="G30" i="9"/>
  <c r="H30" i="9"/>
  <c r="I30" i="9"/>
  <c r="J30" i="9"/>
  <c r="K30" i="9"/>
  <c r="G31" i="9"/>
  <c r="H31" i="9"/>
  <c r="I31" i="9"/>
  <c r="J31" i="9"/>
  <c r="K31" i="9"/>
  <c r="G4" i="8"/>
  <c r="H4" i="8"/>
  <c r="I4" i="8"/>
  <c r="J4" i="8"/>
  <c r="K4" i="8"/>
  <c r="G5" i="8"/>
  <c r="H5" i="8"/>
  <c r="I5" i="8"/>
  <c r="J5" i="8"/>
  <c r="K5" i="8"/>
  <c r="G6" i="8"/>
  <c r="H6" i="8"/>
  <c r="I6" i="8"/>
  <c r="J6" i="8"/>
  <c r="K6" i="8"/>
  <c r="G7" i="8"/>
  <c r="H7" i="8"/>
  <c r="I7" i="8"/>
  <c r="J7" i="8"/>
  <c r="K7" i="8"/>
  <c r="G8" i="8"/>
  <c r="H8" i="8"/>
  <c r="I8" i="8"/>
  <c r="J8" i="8"/>
  <c r="K8" i="8"/>
  <c r="G9" i="8"/>
  <c r="H9" i="8"/>
  <c r="I9" i="8"/>
  <c r="J9" i="8"/>
  <c r="K9" i="8"/>
  <c r="G10" i="8"/>
  <c r="H10" i="8"/>
  <c r="I10" i="8"/>
  <c r="J10" i="8"/>
  <c r="K10" i="8"/>
  <c r="G11" i="8"/>
  <c r="H11" i="8"/>
  <c r="I11" i="8"/>
  <c r="J11" i="8"/>
  <c r="K11" i="8"/>
  <c r="G12" i="8"/>
  <c r="H12" i="8"/>
  <c r="I12" i="8"/>
  <c r="J12" i="8"/>
  <c r="K12" i="8"/>
  <c r="G13" i="8"/>
  <c r="H13" i="8"/>
  <c r="I13" i="8"/>
  <c r="J13" i="8"/>
  <c r="K13" i="8"/>
  <c r="G14" i="8"/>
  <c r="H14" i="8"/>
  <c r="I14" i="8"/>
  <c r="J14" i="8"/>
  <c r="K14" i="8"/>
  <c r="G15" i="8"/>
  <c r="H15" i="8"/>
  <c r="I15" i="8"/>
  <c r="J15" i="8"/>
  <c r="K15" i="8"/>
  <c r="G16" i="8"/>
  <c r="H16" i="8"/>
  <c r="I16" i="8"/>
  <c r="J16" i="8"/>
  <c r="K16" i="8"/>
  <c r="G17" i="8"/>
  <c r="H17" i="8"/>
  <c r="I17" i="8"/>
  <c r="J17" i="8"/>
  <c r="K17" i="8"/>
  <c r="G18" i="8"/>
  <c r="H18" i="8"/>
  <c r="I18" i="8"/>
  <c r="J18" i="8"/>
  <c r="K18" i="8"/>
  <c r="G19" i="8"/>
  <c r="H19" i="8"/>
  <c r="I19" i="8"/>
  <c r="J19" i="8"/>
  <c r="K19" i="8"/>
  <c r="G20" i="8"/>
  <c r="H20" i="8"/>
  <c r="I20" i="8"/>
  <c r="J20" i="8"/>
  <c r="K20" i="8"/>
  <c r="G21" i="8"/>
  <c r="H21" i="8"/>
  <c r="I21" i="8"/>
  <c r="J21" i="8"/>
  <c r="K21" i="8"/>
  <c r="G22" i="8"/>
  <c r="H22" i="8"/>
  <c r="I22" i="8"/>
  <c r="J22" i="8"/>
  <c r="K22" i="8"/>
  <c r="G23" i="8"/>
  <c r="H23" i="8"/>
  <c r="I23" i="8"/>
  <c r="J23" i="8"/>
  <c r="K23" i="8"/>
  <c r="G24" i="8"/>
  <c r="H24" i="8"/>
  <c r="I24" i="8"/>
  <c r="J24" i="8"/>
  <c r="K24" i="8"/>
  <c r="G25" i="8"/>
  <c r="H25" i="8"/>
  <c r="I25" i="8"/>
  <c r="J25" i="8"/>
  <c r="K25" i="8"/>
  <c r="G26" i="8"/>
  <c r="H26" i="8"/>
  <c r="I26" i="8"/>
  <c r="J26" i="8"/>
  <c r="K26" i="8"/>
  <c r="G27" i="8"/>
  <c r="H27" i="8"/>
  <c r="I27" i="8"/>
  <c r="J27" i="8"/>
  <c r="K27" i="8"/>
  <c r="G28" i="8"/>
  <c r="H28" i="8"/>
  <c r="I28" i="8"/>
  <c r="J28" i="8"/>
  <c r="K28" i="8"/>
  <c r="G29" i="8"/>
  <c r="H29" i="8"/>
  <c r="I29" i="8"/>
  <c r="J29" i="8"/>
  <c r="K29" i="8"/>
  <c r="G30" i="8"/>
  <c r="H30" i="8"/>
  <c r="I30" i="8"/>
  <c r="J30" i="8"/>
  <c r="K30" i="8"/>
  <c r="G31" i="8"/>
  <c r="H31" i="8"/>
  <c r="I31" i="8"/>
  <c r="J31" i="8"/>
  <c r="K31" i="8"/>
  <c r="G32" i="8"/>
  <c r="H32" i="8"/>
  <c r="I32" i="8"/>
  <c r="J32" i="8"/>
  <c r="K32" i="8"/>
  <c r="G33" i="8"/>
  <c r="H33" i="8"/>
  <c r="I33" i="8"/>
  <c r="J33" i="8"/>
  <c r="K33" i="8"/>
  <c r="G4" i="7"/>
  <c r="H4" i="7"/>
  <c r="I4" i="7"/>
  <c r="J4" i="7"/>
  <c r="K4" i="7"/>
  <c r="G5" i="7"/>
  <c r="H5" i="7"/>
  <c r="I5" i="7"/>
  <c r="J5" i="7"/>
  <c r="K5" i="7"/>
  <c r="G6" i="7"/>
  <c r="H6" i="7"/>
  <c r="I6" i="7"/>
  <c r="J6" i="7"/>
  <c r="K6" i="7"/>
  <c r="G7" i="7"/>
  <c r="H7" i="7"/>
  <c r="I7" i="7"/>
  <c r="J7" i="7"/>
  <c r="K7" i="7"/>
  <c r="G8" i="7"/>
  <c r="H8" i="7"/>
  <c r="I8" i="7"/>
  <c r="J8" i="7"/>
  <c r="K8" i="7"/>
  <c r="G9" i="7"/>
  <c r="H9" i="7"/>
  <c r="I9" i="7"/>
  <c r="J9" i="7"/>
  <c r="K9" i="7"/>
  <c r="G10" i="7"/>
  <c r="H10" i="7"/>
  <c r="I10" i="7"/>
  <c r="J10" i="7"/>
  <c r="K10" i="7"/>
  <c r="G11" i="7"/>
  <c r="H11" i="7"/>
  <c r="I11" i="7"/>
  <c r="J11" i="7"/>
  <c r="K11" i="7"/>
  <c r="G12" i="7"/>
  <c r="H12" i="7"/>
  <c r="I12" i="7"/>
  <c r="J12" i="7"/>
  <c r="K12" i="7"/>
  <c r="G13" i="7"/>
  <c r="H13" i="7"/>
  <c r="I13" i="7"/>
  <c r="J13" i="7"/>
  <c r="K13" i="7"/>
  <c r="G14" i="7"/>
  <c r="H14" i="7"/>
  <c r="I14" i="7"/>
  <c r="J14" i="7"/>
  <c r="K14" i="7"/>
  <c r="G15" i="7"/>
  <c r="H15" i="7"/>
  <c r="I15" i="7"/>
  <c r="J15" i="7"/>
  <c r="K15" i="7"/>
  <c r="G16" i="7"/>
  <c r="H16" i="7"/>
  <c r="I16" i="7"/>
  <c r="J16" i="7"/>
  <c r="K16" i="7"/>
  <c r="G17" i="7"/>
  <c r="H17" i="7"/>
  <c r="I17" i="7"/>
  <c r="J17" i="7"/>
  <c r="K17" i="7"/>
  <c r="G18" i="7"/>
  <c r="H18" i="7"/>
  <c r="I18" i="7"/>
  <c r="J18" i="7"/>
  <c r="K18" i="7"/>
  <c r="G19" i="7"/>
  <c r="H19" i="7"/>
  <c r="I19" i="7"/>
  <c r="J19" i="7"/>
  <c r="K19" i="7"/>
  <c r="G20" i="7"/>
  <c r="H20" i="7"/>
  <c r="I20" i="7"/>
  <c r="J20" i="7"/>
  <c r="K20" i="7"/>
  <c r="G21" i="7"/>
  <c r="H21" i="7"/>
  <c r="I21" i="7"/>
  <c r="J21" i="7"/>
  <c r="K21" i="7"/>
  <c r="G22" i="7"/>
  <c r="H22" i="7"/>
  <c r="I22" i="7"/>
  <c r="J22" i="7"/>
  <c r="K22" i="7"/>
  <c r="G23" i="7"/>
  <c r="H23" i="7"/>
  <c r="I23" i="7"/>
  <c r="J23" i="7"/>
  <c r="K23" i="7"/>
  <c r="G24" i="7"/>
  <c r="H24" i="7"/>
  <c r="I24" i="7"/>
  <c r="J24" i="7"/>
  <c r="K24" i="7"/>
  <c r="G25" i="7"/>
  <c r="H25" i="7"/>
  <c r="I25" i="7"/>
  <c r="J25" i="7"/>
  <c r="K25" i="7"/>
  <c r="G26" i="7"/>
  <c r="H26" i="7"/>
  <c r="I26" i="7"/>
  <c r="J26" i="7"/>
  <c r="K26" i="7"/>
  <c r="G27" i="7"/>
  <c r="H27" i="7"/>
  <c r="I27" i="7"/>
  <c r="J27" i="7"/>
  <c r="K27" i="7"/>
  <c r="G28" i="7"/>
  <c r="H28" i="7"/>
  <c r="I28" i="7"/>
  <c r="J28" i="7"/>
  <c r="K28" i="7"/>
  <c r="G29" i="7"/>
  <c r="H29" i="7"/>
  <c r="I29" i="7"/>
  <c r="J29" i="7"/>
  <c r="K29" i="7"/>
  <c r="G30" i="7"/>
  <c r="H30" i="7"/>
  <c r="I30" i="7"/>
  <c r="J30" i="7"/>
  <c r="K30" i="7"/>
  <c r="G4" i="6"/>
  <c r="H4" i="6"/>
  <c r="I4" i="6"/>
  <c r="J4" i="6"/>
  <c r="K4" i="6"/>
  <c r="G5" i="6"/>
  <c r="H5" i="6"/>
  <c r="I5" i="6"/>
  <c r="J5" i="6"/>
  <c r="K5" i="6"/>
  <c r="G6" i="6"/>
  <c r="H6" i="6"/>
  <c r="I6" i="6"/>
  <c r="J6" i="6"/>
  <c r="K6" i="6"/>
  <c r="G7" i="6"/>
  <c r="H7" i="6"/>
  <c r="I7" i="6"/>
  <c r="J7" i="6"/>
  <c r="K7" i="6"/>
  <c r="G8" i="6"/>
  <c r="H8" i="6"/>
  <c r="I8" i="6"/>
  <c r="J8" i="6"/>
  <c r="K8" i="6"/>
  <c r="G9" i="6"/>
  <c r="H9" i="6"/>
  <c r="I9" i="6"/>
  <c r="J9" i="6"/>
  <c r="K9" i="6"/>
  <c r="G10" i="6"/>
  <c r="H10" i="6"/>
  <c r="I10" i="6"/>
  <c r="J10" i="6"/>
  <c r="K10" i="6"/>
  <c r="G11" i="6"/>
  <c r="H11" i="6"/>
  <c r="I11" i="6"/>
  <c r="J11" i="6"/>
  <c r="K11" i="6"/>
  <c r="G12" i="6"/>
  <c r="H12" i="6"/>
  <c r="I12" i="6"/>
  <c r="J12" i="6"/>
  <c r="K12" i="6"/>
  <c r="G13" i="6"/>
  <c r="H13" i="6"/>
  <c r="I13" i="6"/>
  <c r="J13" i="6"/>
  <c r="K13" i="6"/>
  <c r="G14" i="6"/>
  <c r="H14" i="6"/>
  <c r="I14" i="6"/>
  <c r="J14" i="6"/>
  <c r="K14" i="6"/>
  <c r="G15" i="6"/>
  <c r="H15" i="6"/>
  <c r="I15" i="6"/>
  <c r="J15" i="6"/>
  <c r="K15" i="6"/>
  <c r="G16" i="6"/>
  <c r="H16" i="6"/>
  <c r="I16" i="6"/>
  <c r="J16" i="6"/>
  <c r="K16" i="6"/>
  <c r="G17" i="6"/>
  <c r="H17" i="6"/>
  <c r="I17" i="6"/>
  <c r="J17" i="6"/>
  <c r="K17" i="6"/>
  <c r="G18" i="6"/>
  <c r="H18" i="6"/>
  <c r="I18" i="6"/>
  <c r="J18" i="6"/>
  <c r="K18" i="6"/>
  <c r="G19" i="6"/>
  <c r="H19" i="6"/>
  <c r="I19" i="6"/>
  <c r="J19" i="6"/>
  <c r="K19" i="6"/>
  <c r="G4" i="5"/>
  <c r="H4" i="5"/>
  <c r="I4" i="5"/>
  <c r="J4" i="5"/>
  <c r="K4" i="5"/>
  <c r="G5" i="5"/>
  <c r="H5" i="5"/>
  <c r="I5" i="5"/>
  <c r="J5" i="5"/>
  <c r="K5" i="5"/>
  <c r="G6" i="5"/>
  <c r="H6" i="5"/>
  <c r="I6" i="5"/>
  <c r="K6" i="5" s="1"/>
  <c r="J6" i="5"/>
  <c r="G7" i="5"/>
  <c r="H7" i="5"/>
  <c r="I7" i="5"/>
  <c r="J7" i="5"/>
  <c r="K7" i="5"/>
  <c r="G8" i="5"/>
  <c r="H8" i="5"/>
  <c r="I8" i="5"/>
  <c r="J8" i="5"/>
  <c r="K8" i="5"/>
  <c r="G9" i="5"/>
  <c r="H9" i="5"/>
  <c r="I9" i="5"/>
  <c r="J9" i="5"/>
  <c r="K9" i="5"/>
  <c r="G10" i="5"/>
  <c r="H10" i="5"/>
  <c r="I10" i="5"/>
  <c r="J10" i="5"/>
  <c r="K10" i="5"/>
  <c r="G11" i="5"/>
  <c r="H11" i="5"/>
  <c r="I11" i="5"/>
  <c r="J11" i="5"/>
  <c r="K11" i="5"/>
  <c r="G12" i="5"/>
  <c r="H12" i="5"/>
  <c r="I12" i="5"/>
  <c r="J12" i="5"/>
  <c r="K12" i="5"/>
  <c r="G13" i="5"/>
  <c r="H13" i="5"/>
  <c r="I13" i="5"/>
  <c r="J13" i="5"/>
  <c r="K13" i="5"/>
  <c r="G14" i="5"/>
  <c r="H14" i="5"/>
  <c r="I14" i="5"/>
  <c r="J14" i="5"/>
  <c r="K14" i="5"/>
  <c r="G15" i="5"/>
  <c r="H15" i="5"/>
  <c r="I15" i="5"/>
  <c r="J15" i="5"/>
  <c r="K15" i="5"/>
  <c r="G16" i="5"/>
  <c r="H16" i="5"/>
  <c r="I16" i="5"/>
  <c r="J16" i="5"/>
  <c r="K16" i="5"/>
  <c r="G17" i="5"/>
  <c r="H17" i="5"/>
  <c r="I17" i="5"/>
  <c r="J17" i="5"/>
  <c r="K17" i="5"/>
  <c r="G18" i="5"/>
  <c r="H18" i="5"/>
  <c r="I18" i="5"/>
  <c r="J18" i="5"/>
  <c r="K18" i="5"/>
  <c r="G19" i="5"/>
  <c r="H19" i="5"/>
  <c r="I19" i="5"/>
  <c r="J19" i="5"/>
  <c r="K19" i="5"/>
  <c r="G20" i="5"/>
  <c r="H20" i="5"/>
  <c r="I20" i="5"/>
  <c r="J20" i="5"/>
  <c r="K20" i="5"/>
  <c r="G21" i="5"/>
  <c r="H21" i="5"/>
  <c r="I21" i="5"/>
  <c r="J21" i="5"/>
  <c r="K21" i="5"/>
  <c r="G22" i="5"/>
  <c r="H22" i="5"/>
  <c r="I22" i="5"/>
  <c r="J22" i="5"/>
  <c r="K22" i="5"/>
  <c r="G23" i="5"/>
  <c r="H23" i="5"/>
  <c r="I23" i="5"/>
  <c r="J23" i="5"/>
  <c r="K23" i="5"/>
  <c r="G24" i="5"/>
  <c r="H24" i="5"/>
  <c r="I24" i="5"/>
  <c r="J24" i="5"/>
  <c r="K24" i="5"/>
  <c r="G25" i="5"/>
  <c r="H25" i="5"/>
  <c r="I25" i="5"/>
  <c r="J25" i="5"/>
  <c r="K25" i="5"/>
  <c r="G26" i="5"/>
  <c r="H26" i="5"/>
  <c r="I26" i="5"/>
  <c r="J26" i="5"/>
  <c r="K26" i="5"/>
  <c r="G27" i="5"/>
  <c r="H27" i="5"/>
  <c r="I27" i="5"/>
  <c r="J27" i="5"/>
  <c r="K27" i="5"/>
  <c r="G28" i="5"/>
  <c r="H28" i="5"/>
  <c r="I28" i="5"/>
  <c r="J28" i="5"/>
  <c r="K28" i="5"/>
  <c r="G29" i="5"/>
  <c r="H29" i="5"/>
  <c r="I29" i="5"/>
  <c r="J29" i="5"/>
  <c r="K29" i="5"/>
  <c r="G30" i="5"/>
  <c r="H30" i="5"/>
  <c r="I30" i="5"/>
  <c r="J30" i="5"/>
  <c r="K30" i="5"/>
  <c r="G31" i="5"/>
  <c r="H31" i="5"/>
  <c r="I31" i="5"/>
  <c r="J31" i="5"/>
  <c r="K31" i="5"/>
  <c r="G32" i="5"/>
  <c r="H32" i="5"/>
  <c r="I32" i="5"/>
  <c r="J32" i="5"/>
  <c r="K32" i="5"/>
  <c r="G33" i="5"/>
  <c r="H33" i="5"/>
  <c r="I33" i="5"/>
  <c r="J33" i="5"/>
  <c r="K33" i="5"/>
  <c r="G34" i="5"/>
  <c r="H34" i="5"/>
  <c r="I34" i="5"/>
  <c r="J34" i="5"/>
  <c r="K34" i="5"/>
  <c r="G35" i="5"/>
  <c r="H35" i="5"/>
  <c r="I35" i="5"/>
  <c r="J35" i="5"/>
  <c r="K35" i="5"/>
  <c r="G36" i="5"/>
  <c r="H36" i="5"/>
  <c r="I36" i="5"/>
  <c r="J36" i="5"/>
  <c r="K36" i="5"/>
  <c r="G37" i="5"/>
  <c r="H37" i="5"/>
  <c r="I37" i="5"/>
  <c r="J37" i="5"/>
  <c r="K37" i="5"/>
  <c r="G38" i="5"/>
  <c r="H38" i="5"/>
  <c r="I38" i="5"/>
  <c r="J38" i="5"/>
  <c r="K38" i="5"/>
  <c r="G39" i="5"/>
  <c r="H39" i="5"/>
  <c r="I39" i="5"/>
  <c r="J39" i="5"/>
  <c r="K39" i="5"/>
  <c r="G40" i="5"/>
  <c r="H40" i="5"/>
  <c r="I40" i="5"/>
  <c r="J40" i="5"/>
  <c r="K40" i="5"/>
  <c r="G41" i="5"/>
  <c r="H41" i="5"/>
  <c r="I41" i="5"/>
  <c r="J41" i="5"/>
  <c r="K41" i="5"/>
  <c r="G42" i="5"/>
  <c r="H42" i="5"/>
  <c r="I42" i="5"/>
  <c r="J42" i="5"/>
  <c r="K42" i="5"/>
  <c r="G43" i="5"/>
  <c r="H43" i="5"/>
  <c r="I43" i="5"/>
  <c r="J43" i="5"/>
  <c r="K43" i="5"/>
  <c r="G4" i="4"/>
  <c r="H4" i="4"/>
  <c r="I4" i="4"/>
  <c r="J4" i="4"/>
  <c r="K4" i="4"/>
  <c r="G5" i="4"/>
  <c r="I5" i="4" s="1"/>
  <c r="K5" i="4" s="1"/>
  <c r="H5" i="4"/>
  <c r="J5" i="4"/>
  <c r="G6" i="4"/>
  <c r="H6" i="4"/>
  <c r="I6" i="4"/>
  <c r="J6" i="4"/>
  <c r="K6" i="4"/>
  <c r="G7" i="4"/>
  <c r="I7" i="4" s="1"/>
  <c r="K7" i="4" s="1"/>
  <c r="H7" i="4"/>
  <c r="J7" i="4"/>
  <c r="G8" i="4"/>
  <c r="H8" i="4"/>
  <c r="I8" i="4"/>
  <c r="J8" i="4"/>
  <c r="K8" i="4"/>
  <c r="G9" i="4"/>
  <c r="I9" i="4" s="1"/>
  <c r="K9" i="4" s="1"/>
  <c r="H9" i="4"/>
  <c r="J9" i="4"/>
  <c r="G10" i="4"/>
  <c r="H10" i="4"/>
  <c r="I10" i="4"/>
  <c r="J10" i="4"/>
  <c r="K10" i="4"/>
  <c r="G11" i="4"/>
  <c r="I11" i="4" s="1"/>
  <c r="K11" i="4" s="1"/>
  <c r="H11" i="4"/>
  <c r="J11" i="4"/>
  <c r="G12" i="4"/>
  <c r="H12" i="4"/>
  <c r="I12" i="4"/>
  <c r="J12" i="4"/>
  <c r="K12" i="4"/>
  <c r="G13" i="4"/>
  <c r="I13" i="4" s="1"/>
  <c r="K13" i="4" s="1"/>
  <c r="H13" i="4"/>
  <c r="J13" i="4"/>
  <c r="G14" i="4"/>
  <c r="H14" i="4"/>
  <c r="I14" i="4"/>
  <c r="J14" i="4"/>
  <c r="K14" i="4"/>
  <c r="G15" i="4"/>
  <c r="I15" i="4" s="1"/>
  <c r="K15" i="4" s="1"/>
  <c r="H15" i="4"/>
  <c r="J15" i="4"/>
  <c r="G16" i="4"/>
  <c r="H16" i="4"/>
  <c r="I16" i="4"/>
  <c r="J16" i="4"/>
  <c r="K16" i="4"/>
  <c r="G17" i="4"/>
  <c r="I17" i="4" s="1"/>
  <c r="K17" i="4" s="1"/>
  <c r="H17" i="4"/>
  <c r="J17" i="4"/>
  <c r="G18" i="4"/>
  <c r="H18" i="4"/>
  <c r="I18" i="4"/>
  <c r="J18" i="4"/>
  <c r="K18" i="4"/>
  <c r="G19" i="4"/>
  <c r="I19" i="4" s="1"/>
  <c r="K19" i="4" s="1"/>
  <c r="H19" i="4"/>
  <c r="J19" i="4"/>
  <c r="G20" i="4"/>
  <c r="H20" i="4"/>
  <c r="I20" i="4"/>
  <c r="J20" i="4"/>
  <c r="K20" i="4"/>
  <c r="G21" i="4"/>
  <c r="I21" i="4" s="1"/>
  <c r="K21" i="4" s="1"/>
  <c r="H21" i="4"/>
  <c r="J21" i="4"/>
  <c r="G22" i="4"/>
  <c r="H22" i="4"/>
  <c r="I22" i="4"/>
  <c r="J22" i="4"/>
  <c r="K22" i="4"/>
  <c r="G23" i="4"/>
  <c r="I23" i="4" s="1"/>
  <c r="K23" i="4" s="1"/>
  <c r="H23" i="4"/>
  <c r="J23" i="4"/>
  <c r="G24" i="4"/>
  <c r="H24" i="4"/>
  <c r="I24" i="4"/>
  <c r="J24" i="4"/>
  <c r="K24" i="4"/>
  <c r="G25" i="4"/>
  <c r="I25" i="4" s="1"/>
  <c r="K25" i="4" s="1"/>
  <c r="H25" i="4"/>
  <c r="J25" i="4"/>
  <c r="G26" i="4"/>
  <c r="H26" i="4"/>
  <c r="I26" i="4"/>
  <c r="J26" i="4"/>
  <c r="K26" i="4"/>
  <c r="G27" i="4"/>
  <c r="I27" i="4" s="1"/>
  <c r="K27" i="4" s="1"/>
  <c r="H27" i="4"/>
  <c r="J27" i="4"/>
  <c r="G28" i="4"/>
  <c r="H28" i="4"/>
  <c r="I28" i="4"/>
  <c r="J28" i="4"/>
  <c r="K28" i="4"/>
  <c r="G4" i="3"/>
  <c r="H4" i="3"/>
  <c r="I4" i="3"/>
  <c r="J4" i="3"/>
  <c r="K4" i="3"/>
  <c r="G5" i="3"/>
  <c r="H5" i="3"/>
  <c r="I5" i="3"/>
  <c r="J5" i="3"/>
  <c r="K5" i="3"/>
  <c r="G6" i="3"/>
  <c r="H6" i="3"/>
  <c r="I6" i="3"/>
  <c r="J6" i="3"/>
  <c r="K6" i="3"/>
  <c r="G7" i="3"/>
  <c r="H7" i="3"/>
  <c r="I7" i="3"/>
  <c r="J7" i="3"/>
  <c r="K7" i="3"/>
  <c r="G8" i="3"/>
  <c r="H8" i="3"/>
  <c r="I8" i="3"/>
  <c r="J8" i="3"/>
  <c r="K8" i="3"/>
  <c r="G9" i="3"/>
  <c r="H9" i="3"/>
  <c r="I9" i="3"/>
  <c r="J9" i="3"/>
  <c r="K9" i="3"/>
  <c r="G10" i="3"/>
  <c r="H10" i="3"/>
  <c r="I10" i="3"/>
  <c r="J10" i="3"/>
  <c r="K10" i="3"/>
  <c r="G11" i="3"/>
  <c r="H11" i="3"/>
  <c r="I11" i="3"/>
  <c r="J11" i="3"/>
  <c r="K11" i="3"/>
  <c r="G12" i="3"/>
  <c r="H12" i="3"/>
  <c r="I12" i="3"/>
  <c r="J12" i="3"/>
  <c r="K12" i="3"/>
  <c r="G13" i="3"/>
  <c r="H13" i="3"/>
  <c r="I13" i="3"/>
  <c r="J13" i="3"/>
  <c r="K13" i="3"/>
  <c r="G14" i="3"/>
  <c r="H14" i="3"/>
  <c r="I14" i="3"/>
  <c r="J14" i="3"/>
  <c r="K14" i="3"/>
  <c r="G15" i="3"/>
  <c r="H15" i="3"/>
  <c r="I15" i="3"/>
  <c r="J15" i="3"/>
  <c r="K15" i="3"/>
  <c r="G16" i="3"/>
  <c r="H16" i="3"/>
  <c r="I16" i="3"/>
  <c r="J16" i="3"/>
  <c r="K16" i="3"/>
  <c r="G17" i="3"/>
  <c r="H17" i="3"/>
  <c r="I17" i="3"/>
  <c r="J17" i="3"/>
  <c r="K17" i="3"/>
  <c r="G18" i="3"/>
  <c r="H18" i="3"/>
  <c r="I18" i="3"/>
  <c r="J18" i="3"/>
  <c r="K18" i="3"/>
  <c r="G19" i="3"/>
  <c r="H19" i="3"/>
  <c r="I19" i="3"/>
  <c r="J19" i="3"/>
  <c r="K19" i="3"/>
  <c r="G20" i="3"/>
  <c r="H20" i="3"/>
  <c r="I20" i="3"/>
  <c r="J20" i="3"/>
  <c r="K20" i="3"/>
  <c r="G21" i="3"/>
  <c r="H21" i="3"/>
  <c r="I21" i="3"/>
  <c r="J21" i="3"/>
  <c r="K21" i="3"/>
  <c r="G22" i="3"/>
  <c r="H22" i="3"/>
  <c r="I22" i="3"/>
  <c r="J22" i="3"/>
  <c r="K22" i="3"/>
  <c r="G23" i="3"/>
  <c r="H23" i="3"/>
  <c r="I23" i="3"/>
  <c r="J23" i="3"/>
  <c r="K23" i="3"/>
  <c r="G24" i="3"/>
  <c r="H24" i="3"/>
  <c r="I24" i="3"/>
  <c r="J24" i="3"/>
  <c r="K24" i="3"/>
  <c r="G25" i="3"/>
  <c r="H25" i="3"/>
  <c r="I25" i="3"/>
  <c r="J25" i="3"/>
  <c r="K25" i="3"/>
  <c r="G26" i="3"/>
  <c r="H26" i="3"/>
  <c r="I26" i="3"/>
  <c r="J26" i="3"/>
  <c r="K26" i="3"/>
  <c r="G27" i="3"/>
  <c r="H27" i="3"/>
  <c r="I27" i="3"/>
  <c r="J27" i="3"/>
  <c r="K27" i="3"/>
  <c r="G28" i="3"/>
  <c r="H28" i="3"/>
  <c r="I28" i="3"/>
  <c r="J28" i="3"/>
  <c r="K28" i="3"/>
  <c r="G29" i="3"/>
  <c r="H29" i="3"/>
  <c r="I29" i="3"/>
  <c r="J29" i="3"/>
  <c r="K29" i="3"/>
  <c r="G4" i="2"/>
  <c r="I4" i="2" s="1"/>
  <c r="K4" i="2" s="1"/>
  <c r="H4" i="2"/>
  <c r="J4" i="2"/>
  <c r="G5" i="2"/>
  <c r="H5" i="2"/>
  <c r="I5" i="2"/>
  <c r="J5" i="2"/>
  <c r="K5" i="2"/>
  <c r="G6" i="2"/>
  <c r="I6" i="2" s="1"/>
  <c r="K6" i="2" s="1"/>
  <c r="H6" i="2"/>
  <c r="J6" i="2"/>
  <c r="G7" i="2"/>
  <c r="H7" i="2"/>
  <c r="I7" i="2"/>
  <c r="J7" i="2"/>
  <c r="K7" i="2"/>
  <c r="G8" i="2"/>
  <c r="I8" i="2" s="1"/>
  <c r="K8" i="2" s="1"/>
  <c r="H8" i="2"/>
  <c r="J8" i="2"/>
  <c r="G9" i="2"/>
  <c r="H9" i="2"/>
  <c r="I9" i="2"/>
  <c r="J9" i="2"/>
  <c r="K9" i="2"/>
  <c r="G10" i="2"/>
  <c r="I10" i="2" s="1"/>
  <c r="K10" i="2" s="1"/>
  <c r="H10" i="2"/>
  <c r="J10" i="2"/>
  <c r="G11" i="2"/>
  <c r="H11" i="2"/>
  <c r="I11" i="2"/>
  <c r="J11" i="2"/>
  <c r="K11" i="2"/>
  <c r="G12" i="2"/>
  <c r="I12" i="2" s="1"/>
  <c r="K12" i="2" s="1"/>
  <c r="H12" i="2"/>
  <c r="J12" i="2"/>
  <c r="G13" i="2"/>
  <c r="H13" i="2"/>
  <c r="I13" i="2"/>
  <c r="J13" i="2"/>
  <c r="K13" i="2"/>
  <c r="G14" i="2"/>
  <c r="I14" i="2" s="1"/>
  <c r="K14" i="2" s="1"/>
  <c r="H14" i="2"/>
  <c r="J14" i="2"/>
  <c r="G15" i="2"/>
  <c r="H15" i="2"/>
  <c r="I15" i="2"/>
  <c r="J15" i="2"/>
  <c r="K15" i="2"/>
  <c r="G16" i="2"/>
  <c r="I16" i="2" s="1"/>
  <c r="K16" i="2" s="1"/>
  <c r="H16" i="2"/>
  <c r="J16" i="2"/>
  <c r="G17" i="2"/>
  <c r="H17" i="2"/>
  <c r="I17" i="2"/>
  <c r="J17" i="2"/>
  <c r="K17" i="2"/>
  <c r="G18" i="2"/>
  <c r="I18" i="2" s="1"/>
  <c r="K18" i="2" s="1"/>
  <c r="H18" i="2"/>
  <c r="J18" i="2"/>
  <c r="G19" i="2"/>
  <c r="H19" i="2"/>
  <c r="I19" i="2"/>
  <c r="J19" i="2"/>
  <c r="K19" i="2"/>
  <c r="G20" i="2"/>
  <c r="I20" i="2" s="1"/>
  <c r="K20" i="2" s="1"/>
  <c r="H20" i="2"/>
  <c r="J20" i="2"/>
  <c r="G21" i="2"/>
  <c r="H21" i="2"/>
  <c r="I21" i="2"/>
  <c r="J21" i="2"/>
  <c r="K21" i="2"/>
  <c r="G22" i="2"/>
  <c r="I22" i="2" s="1"/>
  <c r="K22" i="2" s="1"/>
  <c r="H22" i="2"/>
  <c r="J22" i="2"/>
  <c r="G23" i="2"/>
  <c r="H23" i="2"/>
  <c r="I23" i="2"/>
  <c r="J23" i="2"/>
  <c r="K23" i="2"/>
  <c r="G24" i="2"/>
  <c r="I24" i="2" s="1"/>
  <c r="K24" i="2" s="1"/>
  <c r="H24" i="2"/>
  <c r="J24" i="2"/>
  <c r="G25" i="2"/>
  <c r="H25" i="2"/>
  <c r="I25" i="2"/>
  <c r="J25" i="2"/>
  <c r="K25" i="2"/>
  <c r="G26" i="2"/>
  <c r="I26" i="2" s="1"/>
  <c r="K26" i="2" s="1"/>
  <c r="H26" i="2"/>
  <c r="J26" i="2"/>
  <c r="G27" i="2"/>
  <c r="H27" i="2"/>
  <c r="I27" i="2"/>
  <c r="J27" i="2"/>
  <c r="K27" i="2"/>
  <c r="G28" i="2"/>
  <c r="I28" i="2" s="1"/>
  <c r="K28" i="2" s="1"/>
  <c r="H28" i="2"/>
  <c r="J28" i="2"/>
  <c r="G29" i="2"/>
  <c r="H29" i="2"/>
  <c r="I29" i="2"/>
  <c r="J29" i="2"/>
  <c r="K29" i="2"/>
  <c r="G30" i="2"/>
  <c r="I30" i="2" s="1"/>
  <c r="K30" i="2" s="1"/>
  <c r="H30" i="2"/>
  <c r="J30" i="2"/>
  <c r="G31" i="2"/>
  <c r="H31" i="2"/>
  <c r="I31" i="2"/>
  <c r="J31" i="2"/>
  <c r="K31" i="2"/>
  <c r="G32" i="2"/>
  <c r="I32" i="2" s="1"/>
  <c r="K32" i="2" s="1"/>
  <c r="H32" i="2"/>
  <c r="J32" i="2"/>
  <c r="G33" i="2"/>
  <c r="H33" i="2"/>
  <c r="I33" i="2"/>
  <c r="J33" i="2"/>
  <c r="K33" i="2"/>
  <c r="J3" i="13"/>
  <c r="H3" i="13"/>
  <c r="G3" i="13"/>
  <c r="I3" i="13" s="1"/>
  <c r="K3" i="13" s="1"/>
  <c r="J3" i="12"/>
  <c r="H3" i="12"/>
  <c r="G3" i="12"/>
  <c r="I3" i="12" s="1"/>
  <c r="K3" i="12" s="1"/>
  <c r="J3" i="11"/>
  <c r="H3" i="11"/>
  <c r="G3" i="11"/>
  <c r="I3" i="11" s="1"/>
  <c r="K3" i="11" s="1"/>
  <c r="J3" i="10"/>
  <c r="H3" i="10"/>
  <c r="G3" i="10"/>
  <c r="I3" i="10" s="1"/>
  <c r="K3" i="10" s="1"/>
  <c r="J3" i="9"/>
  <c r="H3" i="9"/>
  <c r="G3" i="9"/>
  <c r="I3" i="9" s="1"/>
  <c r="K3" i="9" s="1"/>
  <c r="J3" i="8"/>
  <c r="H3" i="8"/>
  <c r="G3" i="8"/>
  <c r="I3" i="8" s="1"/>
  <c r="K3" i="8" s="1"/>
  <c r="J3" i="7"/>
  <c r="H3" i="7"/>
  <c r="G3" i="7"/>
  <c r="I3" i="7" s="1"/>
  <c r="K3" i="7" s="1"/>
  <c r="J3" i="6"/>
  <c r="H3" i="6"/>
  <c r="G3" i="6"/>
  <c r="I3" i="6" s="1"/>
  <c r="K3" i="6" s="1"/>
  <c r="J3" i="5"/>
  <c r="I3" i="5"/>
  <c r="K3" i="5" s="1"/>
  <c r="H3" i="5"/>
  <c r="G3" i="5"/>
  <c r="J3" i="4"/>
  <c r="H3" i="4"/>
  <c r="G3" i="4"/>
  <c r="I3" i="4" s="1"/>
  <c r="K3" i="4" s="1"/>
  <c r="J3" i="3"/>
  <c r="H3" i="3"/>
  <c r="G3" i="3"/>
  <c r="I3" i="3" s="1"/>
  <c r="K3" i="3" s="1"/>
  <c r="K3" i="2"/>
  <c r="J3" i="2"/>
  <c r="I3" i="2"/>
  <c r="H3" i="2"/>
  <c r="G3" i="2"/>
  <c r="L28" i="13"/>
  <c r="F28" i="13"/>
  <c r="E28" i="13"/>
  <c r="H31" i="13" s="1"/>
  <c r="D28" i="13"/>
  <c r="C14" i="1" s="1"/>
  <c r="V14" i="1" s="1"/>
  <c r="C28" i="13"/>
  <c r="G36" i="12"/>
  <c r="L33" i="12"/>
  <c r="F33" i="12"/>
  <c r="E33" i="12"/>
  <c r="H36" i="12" s="1"/>
  <c r="D33" i="12"/>
  <c r="C33" i="12"/>
  <c r="H41" i="11"/>
  <c r="G41" i="11"/>
  <c r="L38" i="11"/>
  <c r="F38" i="11"/>
  <c r="E38" i="11"/>
  <c r="D38" i="11"/>
  <c r="C38" i="11"/>
  <c r="G30" i="10"/>
  <c r="L27" i="10"/>
  <c r="F27" i="10"/>
  <c r="E27" i="10"/>
  <c r="H30" i="10" s="1"/>
  <c r="D27" i="10"/>
  <c r="C27" i="10"/>
  <c r="H35" i="9"/>
  <c r="L32" i="9"/>
  <c r="F32" i="9"/>
  <c r="E32" i="9"/>
  <c r="D32" i="9"/>
  <c r="C32" i="9"/>
  <c r="G35" i="9" s="1"/>
  <c r="L34" i="8"/>
  <c r="F34" i="8"/>
  <c r="E34" i="8"/>
  <c r="H37" i="8" s="1"/>
  <c r="D34" i="8"/>
  <c r="C9" i="1" s="1"/>
  <c r="V9" i="1" s="1"/>
  <c r="C34" i="8"/>
  <c r="G34" i="7"/>
  <c r="L31" i="7"/>
  <c r="F31" i="7"/>
  <c r="E31" i="7"/>
  <c r="D8" i="1" s="1"/>
  <c r="D31" i="7"/>
  <c r="C8" i="1" s="1"/>
  <c r="V8" i="1" s="1"/>
  <c r="C31" i="7"/>
  <c r="G23" i="6"/>
  <c r="L20" i="6"/>
  <c r="K7" i="1" s="1"/>
  <c r="K15" i="1" s="1"/>
  <c r="F20" i="6"/>
  <c r="E20" i="6"/>
  <c r="D7" i="1" s="1"/>
  <c r="D20" i="6"/>
  <c r="C20" i="6"/>
  <c r="G47" i="5"/>
  <c r="L44" i="5"/>
  <c r="F44" i="5"/>
  <c r="E44" i="5"/>
  <c r="D6" i="1" s="1"/>
  <c r="D44" i="5"/>
  <c r="C44" i="5"/>
  <c r="L29" i="4"/>
  <c r="F29" i="4"/>
  <c r="E29" i="4"/>
  <c r="G32" i="4" s="1"/>
  <c r="D29" i="4"/>
  <c r="C5" i="1" s="1"/>
  <c r="V5" i="1" s="1"/>
  <c r="C29" i="4"/>
  <c r="B5" i="1" s="1"/>
  <c r="L30" i="3"/>
  <c r="F30" i="3"/>
  <c r="E4" i="1" s="1"/>
  <c r="V4" i="1" s="1"/>
  <c r="E30" i="3"/>
  <c r="H33" i="3" s="1"/>
  <c r="D30" i="3"/>
  <c r="C4" i="1" s="1"/>
  <c r="C30" i="3"/>
  <c r="G37" i="2"/>
  <c r="L34" i="2"/>
  <c r="F34" i="2"/>
  <c r="E34" i="2"/>
  <c r="D3" i="1" s="1"/>
  <c r="D34" i="2"/>
  <c r="C3" i="1" s="1"/>
  <c r="C34" i="2"/>
  <c r="K14" i="1"/>
  <c r="E14" i="1"/>
  <c r="B14" i="1"/>
  <c r="V13" i="1"/>
  <c r="U13" i="1"/>
  <c r="T13" i="1"/>
  <c r="K13" i="1"/>
  <c r="E13" i="1"/>
  <c r="D13" i="1"/>
  <c r="C13" i="1"/>
  <c r="B13" i="1"/>
  <c r="V12" i="1"/>
  <c r="U12" i="1"/>
  <c r="T12" i="1"/>
  <c r="K12" i="1"/>
  <c r="E12" i="1"/>
  <c r="D12" i="1"/>
  <c r="C12" i="1"/>
  <c r="B12" i="1"/>
  <c r="V11" i="1"/>
  <c r="U11" i="1"/>
  <c r="T11" i="1"/>
  <c r="K11" i="1"/>
  <c r="E11" i="1"/>
  <c r="D11" i="1"/>
  <c r="C11" i="1"/>
  <c r="B11" i="1"/>
  <c r="V10" i="1"/>
  <c r="U10" i="1"/>
  <c r="T10" i="1"/>
  <c r="K10" i="1"/>
  <c r="E10" i="1"/>
  <c r="D10" i="1"/>
  <c r="C10" i="1"/>
  <c r="B10" i="1"/>
  <c r="K9" i="1"/>
  <c r="E9" i="1"/>
  <c r="B9" i="1"/>
  <c r="K8" i="1"/>
  <c r="E8" i="1"/>
  <c r="B8" i="1"/>
  <c r="V7" i="1"/>
  <c r="E7" i="1"/>
  <c r="C7" i="1"/>
  <c r="B7" i="1"/>
  <c r="V6" i="1"/>
  <c r="K6" i="1"/>
  <c r="E6" i="1"/>
  <c r="C6" i="1"/>
  <c r="B6" i="1"/>
  <c r="K5" i="1"/>
  <c r="E5" i="1"/>
  <c r="K4" i="1"/>
  <c r="B4" i="1"/>
  <c r="K3" i="1"/>
  <c r="E3" i="1"/>
  <c r="B3" i="1"/>
  <c r="B15" i="1" s="1"/>
  <c r="K28" i="13" l="1"/>
  <c r="K29" i="13" s="1"/>
  <c r="H44" i="5"/>
  <c r="H45" i="5" s="1"/>
  <c r="J33" i="12"/>
  <c r="I13" i="1" s="1"/>
  <c r="G28" i="13"/>
  <c r="G29" i="13" s="1"/>
  <c r="G33" i="12"/>
  <c r="F13" i="1" s="1"/>
  <c r="I31" i="7"/>
  <c r="H8" i="1" s="1"/>
  <c r="G29" i="4"/>
  <c r="F5" i="1" s="1"/>
  <c r="M5" i="1" s="1"/>
  <c r="K31" i="7"/>
  <c r="K32" i="7" s="1"/>
  <c r="J27" i="10"/>
  <c r="J28" i="10" s="1"/>
  <c r="G30" i="3"/>
  <c r="J34" i="2"/>
  <c r="I3" i="1" s="1"/>
  <c r="H31" i="7"/>
  <c r="G8" i="1" s="1"/>
  <c r="H29" i="4"/>
  <c r="G5" i="1" s="1"/>
  <c r="K34" i="2"/>
  <c r="K35" i="2" s="1"/>
  <c r="I34" i="2"/>
  <c r="I35" i="2" s="1"/>
  <c r="J44" i="5"/>
  <c r="I6" i="1" s="1"/>
  <c r="G34" i="2"/>
  <c r="J20" i="6"/>
  <c r="J21" i="6" s="1"/>
  <c r="J38" i="11"/>
  <c r="J39" i="11" s="1"/>
  <c r="H33" i="12"/>
  <c r="H34" i="8"/>
  <c r="G9" i="1" s="1"/>
  <c r="H32" i="9"/>
  <c r="H33" i="9" s="1"/>
  <c r="K38" i="11"/>
  <c r="J12" i="1" s="1"/>
  <c r="I33" i="12"/>
  <c r="I34" i="12" s="1"/>
  <c r="J31" i="7"/>
  <c r="I8" i="1" s="1"/>
  <c r="I32" i="9"/>
  <c r="I33" i="9" s="1"/>
  <c r="H27" i="10"/>
  <c r="G11" i="1" s="1"/>
  <c r="N11" i="1" s="1"/>
  <c r="J32" i="9"/>
  <c r="J33" i="9" s="1"/>
  <c r="I27" i="10"/>
  <c r="H11" i="1" s="1"/>
  <c r="O11" i="1" s="1"/>
  <c r="K33" i="12"/>
  <c r="J13" i="1" s="1"/>
  <c r="I44" i="5"/>
  <c r="H6" i="1" s="1"/>
  <c r="O6" i="1" s="1"/>
  <c r="H20" i="6"/>
  <c r="H21" i="6" s="1"/>
  <c r="G31" i="7"/>
  <c r="G32" i="7" s="1"/>
  <c r="K34" i="8"/>
  <c r="J9" i="1" s="1"/>
  <c r="K32" i="9"/>
  <c r="K33" i="9" s="1"/>
  <c r="H38" i="11"/>
  <c r="J30" i="3"/>
  <c r="I4" i="1" s="1"/>
  <c r="G38" i="11"/>
  <c r="F12" i="1" s="1"/>
  <c r="M12" i="1" s="1"/>
  <c r="H28" i="13"/>
  <c r="G14" i="1" s="1"/>
  <c r="K27" i="10"/>
  <c r="K28" i="10" s="1"/>
  <c r="I28" i="13"/>
  <c r="H14" i="1" s="1"/>
  <c r="I29" i="4"/>
  <c r="H5" i="1" s="1"/>
  <c r="K20" i="6"/>
  <c r="K21" i="6" s="1"/>
  <c r="H34" i="2"/>
  <c r="H35" i="2" s="1"/>
  <c r="K30" i="3"/>
  <c r="K31" i="3" s="1"/>
  <c r="K29" i="4"/>
  <c r="J5" i="1" s="1"/>
  <c r="K44" i="5"/>
  <c r="K45" i="5" s="1"/>
  <c r="J34" i="8"/>
  <c r="J35" i="8" s="1"/>
  <c r="J28" i="13"/>
  <c r="G44" i="5"/>
  <c r="I20" i="6"/>
  <c r="I21" i="6" s="1"/>
  <c r="I30" i="3"/>
  <c r="H4" i="1" s="1"/>
  <c r="J29" i="4"/>
  <c r="G20" i="6"/>
  <c r="G21" i="6" s="1"/>
  <c r="I34" i="8"/>
  <c r="I35" i="8" s="1"/>
  <c r="G27" i="10"/>
  <c r="F11" i="1" s="1"/>
  <c r="I38" i="11"/>
  <c r="H30" i="3"/>
  <c r="H31" i="3" s="1"/>
  <c r="G34" i="8"/>
  <c r="G32" i="9"/>
  <c r="U6" i="1"/>
  <c r="T6" i="1"/>
  <c r="H32" i="7"/>
  <c r="U8" i="1"/>
  <c r="T8" i="1"/>
  <c r="V3" i="1"/>
  <c r="C15" i="1"/>
  <c r="E15" i="1"/>
  <c r="U7" i="1"/>
  <c r="T7" i="1"/>
  <c r="U3" i="1"/>
  <c r="T3" i="1"/>
  <c r="G6" i="1"/>
  <c r="H32" i="4"/>
  <c r="H23" i="6"/>
  <c r="H37" i="2"/>
  <c r="H34" i="7"/>
  <c r="H47" i="5"/>
  <c r="D4" i="1"/>
  <c r="D5" i="1"/>
  <c r="D9" i="1"/>
  <c r="D14" i="1"/>
  <c r="G37" i="8"/>
  <c r="G31" i="13"/>
  <c r="G33" i="3"/>
  <c r="J30" i="13" l="1"/>
  <c r="J34" i="12"/>
  <c r="J14" i="1"/>
  <c r="H30" i="4"/>
  <c r="F14" i="1"/>
  <c r="M14" i="1" s="1"/>
  <c r="K30" i="13"/>
  <c r="H31" i="4"/>
  <c r="G30" i="4"/>
  <c r="H35" i="12"/>
  <c r="G34" i="12"/>
  <c r="J35" i="2"/>
  <c r="J3" i="1"/>
  <c r="J33" i="7"/>
  <c r="I33" i="7"/>
  <c r="H3" i="1"/>
  <c r="O3" i="1" s="1"/>
  <c r="J36" i="2"/>
  <c r="J35" i="12"/>
  <c r="J10" i="1"/>
  <c r="H34" i="9"/>
  <c r="I40" i="11"/>
  <c r="K31" i="4"/>
  <c r="H9" i="1"/>
  <c r="O9" i="1" s="1"/>
  <c r="K35" i="8"/>
  <c r="K36" i="8"/>
  <c r="K36" i="2"/>
  <c r="I28" i="10"/>
  <c r="I12" i="1"/>
  <c r="R12" i="1" s="1"/>
  <c r="H10" i="1"/>
  <c r="O10" i="1" s="1"/>
  <c r="K30" i="4"/>
  <c r="I35" i="12"/>
  <c r="G10" i="1"/>
  <c r="N10" i="1" s="1"/>
  <c r="J4" i="1"/>
  <c r="J46" i="5"/>
  <c r="G13" i="1"/>
  <c r="P13" i="1" s="1"/>
  <c r="H29" i="13"/>
  <c r="I36" i="8"/>
  <c r="H34" i="12"/>
  <c r="K33" i="7"/>
  <c r="F3" i="1"/>
  <c r="R3" i="1" s="1"/>
  <c r="K35" i="12"/>
  <c r="K39" i="11"/>
  <c r="J32" i="7"/>
  <c r="I29" i="10"/>
  <c r="G7" i="1"/>
  <c r="N7" i="1" s="1"/>
  <c r="I11" i="1"/>
  <c r="R11" i="1" s="1"/>
  <c r="G28" i="10"/>
  <c r="I32" i="7"/>
  <c r="J31" i="4"/>
  <c r="J8" i="1"/>
  <c r="G35" i="2"/>
  <c r="J45" i="5"/>
  <c r="I31" i="4"/>
  <c r="H36" i="2"/>
  <c r="G3" i="1"/>
  <c r="N3" i="1" s="1"/>
  <c r="K34" i="12"/>
  <c r="H28" i="10"/>
  <c r="I7" i="1"/>
  <c r="H35" i="8"/>
  <c r="H32" i="3"/>
  <c r="F7" i="1"/>
  <c r="M7" i="1" s="1"/>
  <c r="J22" i="6"/>
  <c r="I39" i="11"/>
  <c r="H12" i="1"/>
  <c r="Q12" i="1" s="1"/>
  <c r="I30" i="4"/>
  <c r="H33" i="7"/>
  <c r="H22" i="6"/>
  <c r="J31" i="3"/>
  <c r="I9" i="1"/>
  <c r="G4" i="1"/>
  <c r="N4" i="1" s="1"/>
  <c r="I36" i="2"/>
  <c r="H30" i="13"/>
  <c r="F8" i="1"/>
  <c r="M8" i="1" s="1"/>
  <c r="J6" i="1"/>
  <c r="J32" i="3"/>
  <c r="G39" i="11"/>
  <c r="F4" i="1"/>
  <c r="M4" i="1" s="1"/>
  <c r="J29" i="13"/>
  <c r="G31" i="3"/>
  <c r="K32" i="3"/>
  <c r="I14" i="1"/>
  <c r="J11" i="1"/>
  <c r="S11" i="1" s="1"/>
  <c r="H13" i="1"/>
  <c r="Q13" i="1" s="1"/>
  <c r="G35" i="8"/>
  <c r="J40" i="11"/>
  <c r="I29" i="13"/>
  <c r="I30" i="13"/>
  <c r="I22" i="6"/>
  <c r="H7" i="1"/>
  <c r="G33" i="9"/>
  <c r="K29" i="10"/>
  <c r="K40" i="11"/>
  <c r="K46" i="5"/>
  <c r="G45" i="5"/>
  <c r="R13" i="1"/>
  <c r="I10" i="1"/>
  <c r="F10" i="1"/>
  <c r="F9" i="1"/>
  <c r="M9" i="1" s="1"/>
  <c r="H40" i="11"/>
  <c r="J36" i="8"/>
  <c r="H36" i="8"/>
  <c r="M11" i="1"/>
  <c r="Q11" i="1"/>
  <c r="J30" i="4"/>
  <c r="G12" i="1"/>
  <c r="I45" i="5"/>
  <c r="H39" i="11"/>
  <c r="H29" i="10"/>
  <c r="J29" i="10"/>
  <c r="J34" i="9"/>
  <c r="H46" i="5"/>
  <c r="K22" i="6"/>
  <c r="I46" i="5"/>
  <c r="I31" i="3"/>
  <c r="J7" i="1"/>
  <c r="F6" i="1"/>
  <c r="R6" i="1" s="1"/>
  <c r="I5" i="1"/>
  <c r="R5" i="1" s="1"/>
  <c r="K34" i="9"/>
  <c r="I32" i="3"/>
  <c r="I34" i="9"/>
  <c r="S5" i="1"/>
  <c r="V15" i="1"/>
  <c r="V17" i="1" s="1"/>
  <c r="O8" i="1"/>
  <c r="S12" i="1"/>
  <c r="N6" i="1"/>
  <c r="U4" i="1"/>
  <c r="T4" i="1"/>
  <c r="U14" i="1"/>
  <c r="T14" i="1"/>
  <c r="O14" i="1"/>
  <c r="P5" i="1"/>
  <c r="N5" i="1"/>
  <c r="Q5" i="1"/>
  <c r="O5" i="1"/>
  <c r="M13" i="1"/>
  <c r="S13" i="1"/>
  <c r="O4" i="1"/>
  <c r="U9" i="1"/>
  <c r="T9" i="1"/>
  <c r="D15" i="1"/>
  <c r="N14" i="1"/>
  <c r="U5" i="1"/>
  <c r="T5" i="1"/>
  <c r="P11" i="1"/>
  <c r="N9" i="1"/>
  <c r="N8" i="1"/>
  <c r="S14" i="1" l="1"/>
  <c r="P14" i="1"/>
  <c r="Q14" i="1"/>
  <c r="R14" i="1"/>
  <c r="S3" i="1"/>
  <c r="Q10" i="1"/>
  <c r="N13" i="1"/>
  <c r="P8" i="1"/>
  <c r="O12" i="1"/>
  <c r="S8" i="1"/>
  <c r="P3" i="1"/>
  <c r="M3" i="1"/>
  <c r="R7" i="1"/>
  <c r="Q3" i="1"/>
  <c r="M10" i="1"/>
  <c r="P7" i="1"/>
  <c r="Q9" i="1"/>
  <c r="R10" i="1"/>
  <c r="Q8" i="1"/>
  <c r="R8" i="1"/>
  <c r="G15" i="1"/>
  <c r="N15" i="1" s="1"/>
  <c r="H15" i="1"/>
  <c r="O15" i="1" s="1"/>
  <c r="P4" i="1"/>
  <c r="N12" i="1"/>
  <c r="Q4" i="1"/>
  <c r="Q7" i="1"/>
  <c r="R4" i="1"/>
  <c r="P12" i="1"/>
  <c r="P10" i="1"/>
  <c r="P6" i="1"/>
  <c r="S4" i="1"/>
  <c r="J15" i="1"/>
  <c r="O7" i="1"/>
  <c r="O13" i="1"/>
  <c r="S9" i="1"/>
  <c r="P9" i="1"/>
  <c r="R9" i="1"/>
  <c r="S10" i="1"/>
  <c r="I15" i="1"/>
  <c r="S7" i="1"/>
  <c r="S6" i="1"/>
  <c r="M6" i="1"/>
  <c r="Q6" i="1"/>
  <c r="F15" i="1"/>
  <c r="M15" i="1" s="1"/>
  <c r="U17" i="1"/>
  <c r="U15" i="1"/>
  <c r="T15" i="1"/>
  <c r="R15" i="1" l="1"/>
  <c r="P15" i="1"/>
  <c r="S15" i="1"/>
  <c r="Q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7" authorId="0" shapeId="0" xr:uid="{00000000-0006-0000-0700-000001000000}">
      <text>
        <r>
          <rPr>
            <sz val="10"/>
            <color rgb="FF000000"/>
            <rFont val="Arial"/>
            <family val="2"/>
            <scheme val="minor"/>
          </rPr>
          <t xml:space="preserve">Used box as cds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8" authorId="0" shapeId="0" xr:uid="{00000000-0006-0000-0B00-000001000000}">
      <text>
        <r>
          <rPr>
            <sz val="10"/>
            <color rgb="FF000000"/>
            <rFont val="Arial"/>
            <family val="2"/>
            <scheme val="minor"/>
          </rPr>
          <t>If agree that a SnapGene screenshot is appropriate</t>
        </r>
      </text>
    </comment>
  </commentList>
</comments>
</file>

<file path=xl/sharedStrings.xml><?xml version="1.0" encoding="utf-8"?>
<sst xmlns="http://schemas.openxmlformats.org/spreadsheetml/2006/main" count="590" uniqueCount="394">
  <si>
    <t>Year: 2023</t>
  </si>
  <si>
    <t>Figures</t>
  </si>
  <si>
    <t>Papers</t>
  </si>
  <si>
    <t>% of all papers</t>
  </si>
  <si>
    <t>% of SBOL possible papers</t>
  </si>
  <si>
    <t>Year</t>
  </si>
  <si>
    <t>Total</t>
  </si>
  <si>
    <t>SBOL possible</t>
  </si>
  <si>
    <t>SBOL compliant</t>
  </si>
  <si>
    <t>Best Practices</t>
  </si>
  <si>
    <t>Partial Compliant</t>
  </si>
  <si>
    <t>Fully Compliant</t>
  </si>
  <si>
    <t>Partial Best</t>
  </si>
  <si>
    <t>Fully Best</t>
  </si>
  <si>
    <t>Part Best</t>
  </si>
  <si>
    <t>Full Best</t>
  </si>
  <si>
    <t>% of Figures</t>
  </si>
  <si>
    <t>% Possible Figures</t>
  </si>
  <si>
    <t>% Best Practices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</si>
  <si>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</si>
  <si>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</si>
  <si>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</si>
  <si>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</si>
  <si>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</si>
  <si>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</si>
  <si>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</si>
  <si>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</si>
  <si>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</si>
  <si>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</si>
  <si>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</si>
  <si>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</si>
  <si>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Analyzed</t>
  </si>
  <si>
    <t xml:space="preserve">Compliance rubric: </t>
  </si>
  <si>
    <t>https://docs.google.com/document/d/1vK8DdeN5QbFqKy0h2uLIuuB89hU_Zlj_o41NX1BVtAY/edit?usp=sharing</t>
  </si>
  <si>
    <t>Article</t>
  </si>
  <si>
    <t># Figures</t>
  </si>
  <si>
    <t># Appropriate for SBOL Visual</t>
  </si>
  <si>
    <t># Compliant with SBOL Visual</t>
  </si>
  <si>
    <t>SBOL Possible</t>
  </si>
  <si>
    <t>SBOL Used</t>
  </si>
  <si>
    <t>SBOL Uniformly Used</t>
  </si>
  <si>
    <t>Best Practices Used</t>
  </si>
  <si>
    <t>Best Practices Uniformly Used</t>
  </si>
  <si>
    <t>CRISPR-Based Diagnostics: Challenges and Potential Solutions toward Point-of-Care Applications</t>
  </si>
  <si>
    <t>Synthetic Biology Design as a Paradigm Shift toward Manufacturing Affordable Adeno-Associated Virus Gene Therapies</t>
  </si>
  <si>
    <t>Engineering the Biosynthesis of Late-Stage Vinblastine Precursors Precondylocarpine Acetate, Catharanthine, Tabersonine in Nicotiana benthamiana</t>
  </si>
  <si>
    <t>Facile Expansion of the Variety of Orthogonal Ligand/Aptamer Pairs for Artificial Riboswitches</t>
  </si>
  <si>
    <t>Continuous Directed Evolution of a Feedback-Resistant Arabidopsis Arogenate Dehydratase in Plantized Escherichia coli</t>
  </si>
  <si>
    <t>A Logically Reversible Double Feynman Gate with Molecular Engineered Bacteria Arranged in an Artificial Neural Network-Type Architecture</t>
  </si>
  <si>
    <t>CaExTun: Mitigating Cas9-Related Toxicity in Streptomyces through Species-Specific Expression Tuning with Randomized Constitutive Promoters</t>
  </si>
  <si>
    <t>Coupling Cell Communication and Optogenetics: Implementation of a Light-Inducible Intercellular System in Yeast</t>
  </si>
  <si>
    <t>Genetically Encoded Detection of Biosynthetic Protease Inhibitors</t>
  </si>
  <si>
    <t>A Low-Cost, Thermostable, Cell-Free Protein Synthesis Platform for On-Demand Production of Conjugate Vaccines</t>
  </si>
  <si>
    <t>Reconstitution of a Reversible Membrane Switch via Prenylation by One-Pot Cell-Free Expression</t>
  </si>
  <si>
    <t>DisGUVery: A Versatile Open-Source Software for High-Throughput Image Analysis of Giant Unilamellar Vesicles</t>
  </si>
  <si>
    <t>Reconstitution of Multi-Protein Complexes through Ribozyme-Assisted Polycistronic Co-Expression</t>
  </si>
  <si>
    <t>Optimization of Pinocembrin Biosynthesis in Saccharomyces cerevisiae</t>
  </si>
  <si>
    <t>Functional Deimmunization of Botulinum Neurotoxin Protease Domain via Computationally Driven Library Design and Ultrahigh-Throughput Screening</t>
  </si>
  <si>
    <t>Investigating the Specificity of the Dehydration and Cyclization Reactions in Engineered Lanthipeptides by Synechococcal SyncM</t>
  </si>
  <si>
    <t>Tuning the Transcriptional Activity of the CaMV 35S Promoter in Plants by Single-Nucleotide Changes in the TATA Box</t>
  </si>
  <si>
    <t>Machine Learning Directed Aptamer Search from Conserved Primary Sequences and Secondary Structures</t>
  </si>
  <si>
    <t>Development of a Bacterial FhuD-Lysozyme-SsrA Mediated Autolytic (FLSA) System for Effective Release of Intracellular Products</t>
  </si>
  <si>
    <t>Engineering of Specific Single-Module Nonribosomal Peptide Synthetases of the RXP Type for the Production of Defined Peptides</t>
  </si>
  <si>
    <t>Versatile Strategy for the Construction of a Transcription Factor-Based Orthogonal Gene Expression Toolbox in Monascus spp</t>
  </si>
  <si>
    <t>Logic Circuits Based on 2A Peptide Sequences in the Yeast Saccharomyces cerevisiae</t>
  </si>
  <si>
    <t>Engineering Pheromone-Mediated Quorum Sensing with Enhanced Response Output Increases Fucosyllactose Production in Saccharomyces cerevisiae</t>
  </si>
  <si>
    <t>Deep Antimicrobial Activity and Stability Analysis Inform Lysin Sequence–Function Mapping</t>
  </si>
  <si>
    <t>Developing Cyanobacterial Quorum Sensing Toolkits: Toward Interspecies Coordination in Mixed Autotroph/Heterotroph Communities</t>
  </si>
  <si>
    <t>Self-Sufficient In Vitro Multi-Enzyme Cascade for Efficient Synthesis of Danshensu from l-DOPA</t>
  </si>
  <si>
    <t>A Comparison of Weighted Stochastic Simulation Methods for the Analysis of Genetic Circuits</t>
  </si>
  <si>
    <t>Simple and Rapid Non-ribosomal Peptide Synthetase Gene Assembly Using the SEAM–OGAB Method</t>
  </si>
  <si>
    <t>A Universal Strategy to Promote Secretion of G+/G– Bacterial Extracellular Vesicles and Its Application in Host Innate Immune Responses</t>
  </si>
  <si>
    <t>Low Resource Integrated Platform for Production and Analysis of Capped mRNA</t>
  </si>
  <si>
    <t># Papers</t>
  </si>
  <si>
    <t>Excel–SBOL Converter: Creating SBOL from Excel Templates and Vice Versa</t>
  </si>
  <si>
    <t>Totals:</t>
  </si>
  <si>
    <t>% of SBOL-possible papers</t>
  </si>
  <si>
    <t>% of all / possible figures</t>
  </si>
  <si>
    <t>January 2022 Issue (vol 11, #1)</t>
  </si>
  <si>
    <t>Circular Guide RNA for Improved Stability and CRISPR-Cas9 Editing Efficiency in Vitro and in Bacteria</t>
  </si>
  <si>
    <t>A Dueling-Competent Signal-Sensing Module Guides Precise Delivery of Cargo Proteins into Target Cells by Engineered Pseudomonas aeruginosa</t>
  </si>
  <si>
    <t>Extracellular Cues Govern Shape and Cytoskeletal Organization in Giant Unilamellar Lipid Vesicles</t>
  </si>
  <si>
    <t>The CRISPR-Cas12a Platform for Accurate Genome Editing, Gene Disruption, and Efficient Transgene Integration in Human Immune Cells</t>
  </si>
  <si>
    <t>Signal Peptide Efficiency: From High-Throughput Data to Prediction and Explanation</t>
  </si>
  <si>
    <t>Mechanistic Insights into Cell-Free Gene Expression through an Integrated -Omics Analysis of Extract Processing Methods</t>
  </si>
  <si>
    <t>Titrating Avidity of Yeast-Displayed Proteins Using a Transcriptional Regulator</t>
  </si>
  <si>
    <t>Silencing Transcription from an Influenza Reverse Genetics Plasmid in E. coli Enhances Gene Stability</t>
  </si>
  <si>
    <t>Context-Aware Technology Mapping in Genetic Design Automation</t>
  </si>
  <si>
    <t>Direct Yeast Surface Codisplay of Sequential Enzymes with Complementary Anchor Motifs: Enabling Enhanced Glycosylation of Natural Products</t>
  </si>
  <si>
    <t>Modular Engineering Strategy to Redirect Electron Flux into the Electron-Transfer Chain for Enhancing Extracellular Electron Transfer in Shewanella oneidensis</t>
  </si>
  <si>
    <t>A Ubiquitous Chromatin Opening Element and DNA Demethylation Facilitate Doxycycline-Controlled Expression during Differentiation and in Transgenic Mice</t>
  </si>
  <si>
    <t>High-Level Production of l-Methionine by Dynamic Deregulation of Metabolism with Engineered Nonauxotroph Escherichia coli</t>
  </si>
  <si>
    <t>Cell-Free Synthesis Goes Electric: Dual Optical and Electronic Biosensor via Direct Channel Integration into a Supported Membrane Electrode</t>
  </si>
  <si>
    <t>Characterization of Integrase and Excisionase Activity in a Cell-Free Protein Expression System Using a Modeling and Analysis Pipeline</t>
  </si>
  <si>
    <t>DNA Origami Nanostructure Detection and Yield Estimation Using Deep Learning</t>
  </si>
  <si>
    <t>Development and Application of Whole-Cell Biosensors for the Detection of Gallic Acid</t>
  </si>
  <si>
    <t>In Vivo Genome Editing in Type I and II Methanotrophs Using a CRISPR/Cas9 System</t>
  </si>
  <si>
    <t>Recombinant Protein Expression Chassis Library of Vibrio natriegens by Fine-Tuning the Expression of T7 RNA Polymerase</t>
  </si>
  <si>
    <t>Exploring the Substrate Specificity of a Sugar Transporter with Biosensors and Cheminformatics</t>
  </si>
  <si>
    <t>Engineering the Substrate Specificity of Toluene Degrading Enzyme XylM Using Biosensor XylS and Machine Learning</t>
  </si>
  <si>
    <t>Simplified Construction of Engineered Bacillus subtilis Host for Improved Expression of Proteins Harboring Noncanonical Amino Acids</t>
  </si>
  <si>
    <t>Tail-Engineered Phage P2 Enables Delivery of Antimicrobials into Multiple Gut Pathogens</t>
  </si>
  <si>
    <t>Diversity-Oriented Biosynthesis Yields l-Kynurenine Derivative-Based Neurological Drug Candidate Collection</t>
  </si>
  <si>
    <t>Increasing the Scalability of Toxin–Intein Orthogonal Combinations</t>
  </si>
  <si>
    <t>A Suite of New Strain Construction Vectors for Gene Expression Knockdown in Budding Yeast</t>
  </si>
  <si>
    <t>Facile Display of Homomultivalent Proteins for In Vitro Selections</t>
  </si>
  <si>
    <t>Metabolic Engineering of Yarrowia lipolytica for Terpenoid Production: Tools and Strategies</t>
  </si>
  <si>
    <t>A Biological OR(XNOR) Logic Gate Couples Carbon Source and Transgene Expression Switching in a Komagataella phaffii (Pichia pastoris) Strain Co-producing Process-Enhancing Lipase and a Virus-like Particle (VLP) Vaccine</t>
  </si>
  <si>
    <t>A Single-Component Optogenetic Gal4-UAS System Allows Stringent Control of Gene Expression in Zebrafish and Drosophila</t>
  </si>
  <si>
    <t>Improving the Editing Efficiency of CRISPR-Cas9 by Reducing the Generation of Escapers Based on the Surviving Mechanism</t>
  </si>
  <si>
    <t>Short Activators and Repressors of RNA Toehold Switches</t>
  </si>
  <si>
    <t>Structural Variations and Adaptations of Synthetic Chromosome Ends Driven by SCRaMbLE in Haploid and Diploid Yeasts</t>
  </si>
  <si>
    <t>Optical Control of Cell Signaling with Red/Far-Red Light-Responsive Optogenetic Tools in Caenorhabditis elegans</t>
  </si>
  <si>
    <t>P1 Bacteriophage-Enabled Delivery of CRISPR-Cas9 Antimicrobial Activity Against Shigella flexneri</t>
  </si>
  <si>
    <t>Synthetic Biology Toolbox for Antarctic Pseudomonas sp. Strains: Toward a Psychrophilic Nonmodel Chassis for Function-Driven Metagenomics</t>
  </si>
  <si>
    <t>Chimeric MerR-Family Regulators and Logic Elements for the Design of Metal Sensitive Genetic Circuits in Bacillus subtilis</t>
  </si>
  <si>
    <t>Construction of Osmotic Pressure Responsive Vacuole-like Bacterial Organelles with Capsular Polysaccharides as Building Blocks</t>
  </si>
  <si>
    <t>Combination of a Push–Pull–Block Strategy with a Heterologous Xylose Assimilation Pathway toward Lipid Overproduction from Lignocellulose in Yarrowia lipolytica</t>
  </si>
  <si>
    <t>Spatiotemporal Gene Expression by a Genetic Circuit for Chemical Production in Escherichia coli</t>
  </si>
  <si>
    <t>Increased Cordycepin Production in Yarrowia lipolytica Using Combinatorial Metabolic Engineering Strategies</t>
  </si>
  <si>
    <t>Modular Coculture to Reduce Substrate Competition and Off-Target Intermediates in Androstenedione Biosynthesis</t>
  </si>
  <si>
    <t>New Target Gene Screening Using Shortened and Random sgRNA Libraries in Microbial CRISPR Interference</t>
  </si>
  <si>
    <t>Simulations Reveal High Efficiency and Confinement of a Population Suppression CRISPR Toxin-Antidote Gene Drive</t>
  </si>
  <si>
    <t>Metabolic Engineering for Efficient Ketocarotenoid Accumulation in the Green Microalga Chlamydomonas reinhardtii</t>
  </si>
  <si>
    <t>Directly Evolved AlkS-Based Biosensor Platform for Monitoring and High-Throughput Screening of Alkane Production</t>
  </si>
  <si>
    <t>Autoinduction AND Gate Inhibits Cell Lysis to Enhance Protein Production in Bacillus subtilis Controlled by Population Density and Cell Physiological State</t>
  </si>
  <si>
    <t>Leader- and Terminal Residue Requirements for Circularin A Biosynthesis Probed by Systematic Mutational Analyses</t>
  </si>
  <si>
    <t>In Silico Prediction and Mining of Exporters for Secretory Bioproduction of Terpenoids in Saccharomyces cerevisiae</t>
  </si>
  <si>
    <t>Engineering Modular and Highly Sensitive Cell-Based Biosensors for Aromatic Contaminant Monitoring and High-Throughput Enzyme Screening</t>
  </si>
  <si>
    <t>SynBioSuite: A Tool for Improving the Workflow for Genetic Design and Modeling</t>
  </si>
  <si>
    <t>An Efficient CRISPR/Cas12e System for Genome Editing in Sinorhizobium meliloti</t>
  </si>
  <si>
    <t>Cell Extracts from Bacteria and Yeast Retain Metabolic Activity after Extended Storage and Repeated Thawing</t>
  </si>
  <si>
    <t>Phage N15-Based Vectors for Gene Cloning and Expression in Bacteria and Mammalian Cells</t>
  </si>
  <si>
    <t>Minimal Out-of-Equilibrium Metabolism for Synthetic Cells: A Membrane Perspective</t>
  </si>
  <si>
    <t>A Hitchhiker’s Guide to Supplying Enzymatic Reducing Power into Synthetic Cells</t>
  </si>
  <si>
    <t>Directed Evolution of Aerotolerance in Sulfide-Dependent Thiazole Synthases</t>
  </si>
  <si>
    <t>Engineered Biosynthesis of Complex Disorazol Polyketides in a Streamlined Burkholderia thailandensis</t>
  </si>
  <si>
    <t>Encoding, Decoding, and Rendering Information in DNA Nanoswitch Libraries</t>
  </si>
  <si>
    <t>Oxidation-Induced Protein Cross-Linking in Mammalian Cells</t>
  </si>
  <si>
    <t>Speed and Correctness Guarantees for Programmable Enthalpy-Neutral DNA Reactions†</t>
  </si>
  <si>
    <t>Marine Biofilm Engineered to Produce Current in Response to Small Molecules</t>
  </si>
  <si>
    <t>Inducible Synthetic Growth Regulation Using the ClpXP Proteasome Enhances cis,cis-Muconic Acid and Glycolic Acid Yields in Saccharomyces cerevisiae</t>
  </si>
  <si>
    <t>A Genetic Engineering Toolbox for the Lignocellulolytic Anaerobic Gut Fungus Neocallimastix frontalis</t>
  </si>
  <si>
    <t>PhiReX 2.0: A Programmable and Red Light-Regulated CRISPR-dCas9 System for the Activation of Endogenous Genes in Saccharomyces cerevisiae</t>
  </si>
  <si>
    <t>Standard Intein Gene Expression Ramps (SIGER) for Protein-Independent Expression Control</t>
  </si>
  <si>
    <t>Reconstruction of the Native Biosynthetic System of Carotenoids in E. coli─Biosynthesis of a Series of Carotenoids Specific to Paprika Fruit</t>
  </si>
  <si>
    <t>Receptor Elimination by E3 Ubiquitin Ligase Recruitment (REULR): A Targeted Protein Degradation Toolbox</t>
  </si>
  <si>
    <t>Performance Prediction of Fundamental Transcriptional Programs</t>
  </si>
  <si>
    <t>Optimization of Campesterol-Producing Yeast Strains as a Feasible Platform for the Functional Reconstitution of Plant Membrane-Bound Enzymes</t>
  </si>
  <si>
    <t>Design of Four Small-Molecule-Inducible Systems in the Yeast Chromosome, Applied to Optimize Terpene Biosynthesis</t>
  </si>
  <si>
    <t>Modular Pathway Compartmentalization for Agroclavine Overproduction in Saccharomyces cerevisiae</t>
  </si>
  <si>
    <t>ATP-Binding Cassette Exporter PDR11-Mediated Terpenoid Secretion in Engineered Yeast</t>
  </si>
  <si>
    <t>A Genetic Programming Approach to Engineering MRI Reporter Genes</t>
  </si>
  <si>
    <t>Assembly of Metabolons in Yeast Using Cas6-Mediated RNA Scaffolding</t>
  </si>
  <si>
    <t>High-Density Guide RNA Tiling and Machine Learning for Designing CRISPR Interference in Synechococcus sp. PCC 7002</t>
  </si>
  <si>
    <t>Clonal Amplification-Enhanced Gene Expression in Synthetic Vesicles</t>
  </si>
  <si>
    <t>CRISPR/Cas12a-Mediated Genome Editing in Thioalkalivibrio versutus</t>
  </si>
  <si>
    <t>Point-of-Care Peptide Hormone Production Enabled by Cell-Free Protein Synthesis</t>
  </si>
  <si>
    <t>Measuring Encapsulation Efficiency in Cell-Mimicking Giant Unilamellar Vesicles</t>
  </si>
  <si>
    <t>Indirect Enrichment of Desirable, but Less Fit Phenotypes, from a Synthetic Microbial Community Using Microdroplet Confinement</t>
  </si>
  <si>
    <t>In Vitro Transcription/Translation-Coupled DNA Replication through Partial Regeneration of 20 Aminoacyl-tRNA Synthetases</t>
  </si>
  <si>
    <t>GlycoCAP: A Cell-Free, Bacterial Glycosylation Platform for Building Clickable Azido-Sialoglycoproteins</t>
  </si>
  <si>
    <t>Combinatorial Protein Engineering and Metabolic Engineering for Efficient Synthesis of l-Histidine in Corynebacterium glutamicum</t>
  </si>
  <si>
    <t>CRISPR/Cas9-Mediated Genome Editing via Homologous Recombination in a Centric Diatom Chaetoceros muelleri</t>
  </si>
  <si>
    <t>Adaptive Laboratory Evolution and Metabolic Engineering of Zymomonas mobilis for Bioethanol Production Using Molasses</t>
  </si>
  <si>
    <t>Rational Design of Phosphorylation-Responsive Coiled Coil-Peptide Assemblies</t>
  </si>
  <si>
    <t>Identification of a Far-Red Light-Inducible Promoter that Exhibits Light Intensity Dependency and Reversibility in a Cyanobacterium</t>
  </si>
  <si>
    <t>Amplification-Free COVID-19 Detection by Digital Droplet REVEALR</t>
  </si>
  <si>
    <t>Optimization of Hydrogenobyrinic Acid Synthesis in a Cell-Free Multienzyme Reaction by Novel S-Adenosyl-methionine Regeneration</t>
  </si>
  <si>
    <t>Cell-Free Biosynthesis of Lysine-Derived Unnatural Amino Acids with Chloro, Alkene, and Alkyne Groups</t>
  </si>
  <si>
    <t>A Modular Cloning Toolkit Including CRISPRi for the Engineering of the Human Fungal Pathogen and Biotechnology Host Candida glabrata</t>
  </si>
  <si>
    <t>Experimental Data Connector (XDC): Integrating the Capture of Experimental Data and Metadata Using Standard Formats and Digital Repositories</t>
  </si>
  <si>
    <t>New Aequorea Fluorescent Proteins for Cell-Free Bioengineering</t>
  </si>
  <si>
    <t>Designing Intracellular Compartments for Efficient Engineered Microbial Cell Factories</t>
  </si>
  <si>
    <t>Application of Adaptive Laboratory Evolution in Lipid and Terpenoid Production in Yeast and Microalgae</t>
  </si>
  <si>
    <t>CMI: CRISPR/Cas9 Based Efficient Multiplexed Integration in Saccharomyces cerevisiae</t>
  </si>
  <si>
    <t>Sourcing Phage-Encoded Terminators Using ONT-cappable-seq for SynBio Applications in Pseudomonas</t>
  </si>
  <si>
    <t>Imaging Method Using CRISPR/dCas9 and Engineered gRNA Scaffolds Can Perturb Replication Timing at the HSPA1 Locus</t>
  </si>
  <si>
    <t>Simple Method for the Creation of a Bacteria-Sized Unilamellar Liposome with Different Proteins Localized to the Respective Sides of the Membrane</t>
  </si>
  <si>
    <t>Investigating and Optimizing the Lysate-Based Expression of Nonribosomal Peptide Synthetases Using a Reporter System</t>
  </si>
  <si>
    <t>Deep Mutational Scanning of an Oxygen-Independent Fluorescent Protein CreiLOV for Comprehensive Profiling of Mutational and Epistatic Effects</t>
  </si>
  <si>
    <t>Identifying Key Residues in Lysine Decarboxylase for Soluble Expression Using Consensus Design Soluble Mutant Screening (ConsenSing)</t>
  </si>
  <si>
    <t>Construction of a Protein Crystalline Inclusion-Based Enzyme Immobilization System for Biosynthesis of PAPS from ATP and Sulfate</t>
  </si>
  <si>
    <t>TFBMiner: A User-Friendly Command Line Tool for the Rapid Mining of Transcription Factor-Based Biosensors</t>
  </si>
  <si>
    <t>Easy Modular Integrative fuSion-ready Expression (Easy-MISE) Toolkit for Fast Engineering of Heterologous Productions in Saccharomyces cerevisiae</t>
  </si>
  <si>
    <t>Biosynthesis and Engineered Overproduction of Everninomicins with Promising Activity against Multidrug-Resistant Bacteria</t>
  </si>
  <si>
    <t>A Suite of Constitutive Promoters for Tuning Gene Expression in Plants</t>
  </si>
  <si>
    <t>Design Approaches to Expand the Toolkit for Building Cotranscriptionally Encoded RNA Strand Displacement Circuits</t>
  </si>
  <si>
    <t>Host-Dependent Improvement of GFP Expression in Pseudomonas putida KT2440 Using Terminators of Metagenomic Origin</t>
  </si>
  <si>
    <t>Immortalized Bovine Satellite Cells for Cultured Meat Applications</t>
  </si>
  <si>
    <t>Powerful Microbial Base-Editing Toolbox: From Optimization Strategies to Versatile Applications</t>
  </si>
  <si>
    <t>Direct Utilization of Peroxisomal Acetyl-CoA for the Synthesis of Polyketide Compounds in Saccharomyces cerevisiae</t>
  </si>
  <si>
    <t>Interrogating the Function of Bicistronic Translational Control Elements to Improve Consistency of Gene Expression</t>
  </si>
  <si>
    <t>Cell-Free Expression System Derived from a Near-Minimal Synthetic Bacterium</t>
  </si>
  <si>
    <t>In Vitro Synthesis and Design of Kinesin Biomolecular Motors by Cell-Free Protein Synthesis</t>
  </si>
  <si>
    <t>A High-Quality Genome-Scale Model for Rhodococcus opacus Metabolism</t>
  </si>
  <si>
    <t>Engineering Outer Membrane Vesicles to Increase Extracellular Electron Transfer of Shewanella oneidensis</t>
  </si>
  <si>
    <t>Cell-Free Biosensing Genetic Circuit Coupled with Ribozyme Cleavage Reaction for Rapid and Sensitive Detection of Small Molecules</t>
  </si>
  <si>
    <t>In Vivo Sampling of Intracellular Heterogeneity of Pseudomonas putida Enables Multiobjective Optimization of Genetic Devices</t>
  </si>
  <si>
    <t>Global Transcriptome-Guided Identification of Neutral Sites for Engineering Synechococcus elongatus PCC 11801</t>
  </si>
  <si>
    <t>Generation of a Live Attenuated Influenza A Vaccine Using Chemical-Triggered Intein</t>
  </si>
  <si>
    <t>Enhancement of β-Caryophyllene Biosynthesis in Saccharomyces cerevisiae via Synergistic Evolution of β-Caryophyllene Synthase and Engineering the Chassis</t>
  </si>
  <si>
    <t>OptoCRISPRi-HD: Engineering a Bacterial Green-Light-Activated CRISPRi System with a High Dynamic Range</t>
  </si>
  <si>
    <t>Spatially Selective Electrochemical Cleavage of a Polymerase-Nucleotide Conjugate</t>
  </si>
  <si>
    <t>Developing a PAM-Flexible CRISPR-Mediated Dual-Deaminase Base Editor to Regulate Extracellular Electron Transport in Shewanella oneidensis</t>
  </si>
  <si>
    <t>Modular Metabolic Engineering and Synthetic Coculture Strategies for the Production of Aromatic Compounds in Yeast</t>
  </si>
  <si>
    <t>Redistributing Carbon Flux by Impairing Saccharide Synthesis to Enhance Lipid Yield in Oleaginous Fungus Mortierella alpina</t>
  </si>
  <si>
    <t>Modulating Sensitivity of an Erythromycin Biosensor for Precise High-Throughput Screening of Strains with Different Characteristics</t>
  </si>
  <si>
    <t>Synthetic Biology Pathway to Nucleoside Triphosphates for Expanded Genetic Alphabets</t>
  </si>
  <si>
    <t>Constructing Marine Bacterial Metabolic Chassis for Potential Biorefinery of Red Algal Biomass and Agaropectin Wastes</t>
  </si>
  <si>
    <t>Screening and Constructing a Library of Promoter-5′-UTR Complexes with Gradient Strength in Pediococcus acidilactici</t>
  </si>
  <si>
    <t>Production of Diketopiperazine Derivatives by Pathway Engineering with Different Cyclodipeptide Synthases from Various Streptomyces Strains</t>
  </si>
  <si>
    <t>Investigation of Compatibility between DNA Replication, Transcription, and Translation for in Vitro Central Dogma</t>
  </si>
  <si>
    <t>Interlaboratory Reproducibility in Growth and Reporter Expression in the Cyanobacterium Synechocystis sp. PCC 6803</t>
  </si>
  <si>
    <t>Metabolic Engineering of Candida glycerinogenes for Sustainable Production of Geraniol</t>
  </si>
  <si>
    <t>Design and Selection of Heterodimerizing Helical Hairpins for Synthetic Biology</t>
  </si>
  <si>
    <t>Engineering an Efficient Expression Using Heterologous GAL Promoters and Transcriptional Activators in Saccharomyces cerevisiae</t>
  </si>
  <si>
    <t>Characterizing a Propionate Sensor in E. coli Nissle 1917</t>
  </si>
  <si>
    <t>Construction and Applications of Mammalian Cell-Based DNA-Encoded Peptide/Protein Libraries</t>
  </si>
  <si>
    <t>Engineering Tissue-Scale Properties with Synthetic Cells: Forging One from Many</t>
  </si>
  <si>
    <t>Application of CRISPR in Filamentous Fungi and Macrofungi: From Component Function to Development Potentiality</t>
  </si>
  <si>
    <t>Multi-input Drug-Controlled Switches of Mammalian Gene Expression Based on Engineered Nuclear Hormone Receptors</t>
  </si>
  <si>
    <t>Regulated N-Terminal Modification of Proteins Synthesized Using a Reconstituted Cell-Free Protein Synthesis System</t>
  </si>
  <si>
    <t>Lustro: High-Throughput Optogenetic Experiments Enabled by Automation and a Yeast Optogenetic Toolkit</t>
  </si>
  <si>
    <t>Understanding Autologous Spliceostatin Transcriptional Regulation to Derive Parts for Heterologous Expression in a Burkholderia Bacterial Host</t>
  </si>
  <si>
    <t>Remotely Controllable Engineered Bacteria for Targeted Therapy of Pseudomonas aeruginosa Infection</t>
  </si>
  <si>
    <t>Assembly of Microbial Communities Engaging in Metabolic Division of Labor in a Diffusion-Limited Environment Is Governed by Metabolic Flux</t>
  </si>
  <si>
    <t>Leveraging Small Molecule-Induced Aptazyme Cleavage for Directed A-to-I RNA Editing</t>
  </si>
  <si>
    <t>CRISPR-Associated Transposase for Targeted Mutagenesis in Diverse Proteobacteria</t>
  </si>
  <si>
    <t>In Vitro Transcription–Translation in an Artificial Biomolecular Condensate</t>
  </si>
  <si>
    <t>Imaging Flow Cytometry for High-Throughput Phenotyping of Synthetic Cells</t>
  </si>
  <si>
    <t>Cross-Species Synthetic Promoter Library: Finding Common Ground between Pseudomonas taiwanensis VLB120 and Escherichia coli</t>
  </si>
  <si>
    <t>Developing a Nanopore Sequencing Workflow for Protein Engineering Applications</t>
  </si>
  <si>
    <t>Development of a Naked Eye CRISPR-Cas12a and -Cas13a Multiplex Point-of-Care Detection of Genetically Modified Swine</t>
  </si>
  <si>
    <t>Systematic Part Transfer by Extending a Modular Toolkit to Diverse Bacteria</t>
  </si>
  <si>
    <t>Bayesian Optimization for Design of Multiscale Biological Circuits</t>
  </si>
  <si>
    <t>Biosynthesis of 1,3-Propanediol via a New Pathway from Glucose in Escherichia coli</t>
  </si>
  <si>
    <t>Genetic Engineering of Bacteriophage K1F with Human Epidermal Growth Factor to Enhance Killing of Intracellular E. coli K1</t>
  </si>
  <si>
    <t>Programmable Molecular Signal Transmission Architecture and Reactant Regeneration Strategy Driven by EXO λ for DNA Circuits</t>
  </si>
  <si>
    <t>Synthetic NAD(P)(H) Cycle for ATP Regeneration</t>
  </si>
  <si>
    <t>Highly Parallelized Screening of Functionally Enhanced XNA Aptamers in Uniform Hydrogel Particles</t>
  </si>
  <si>
    <t>Programmable Acetylation Modification of Bacterial Proteins by a Cas12a-Guided Acetyltransferase</t>
  </si>
  <si>
    <t>Modular and Flexible Molecular Device for Simultaneous Cytosine and Adenine Base Editing at Random Genomic Loci in Filamentous Fungi</t>
  </si>
  <si>
    <t>Leaderless Bicistronic Design for Precise and Reliable Control of Gene Expression in Corynebacterium Glutamicum</t>
  </si>
  <si>
    <t>Dynamic Control of Functional Coacervates in Synthetic Cells</t>
  </si>
  <si>
    <t>Developing a Base Editing System for Marine Roseobacter Clade Bacteria</t>
  </si>
  <si>
    <t>Engineering All-Round Cellulase for Bioethanol Production</t>
  </si>
  <si>
    <t>RNA-Guided DNA Transposition in Corynebacterium glutamicum and Bacillus subtilis</t>
  </si>
  <si>
    <t>Multiplex Single-Nucleotide Microbial Genome Editing Achieved by CRISPR-Cas9 Using 5′-End-Truncated sgRNAs</t>
  </si>
  <si>
    <t>Construction of Coculture System Containing Escherichia coli with Different Microbial Species for Biochemical Production</t>
  </si>
  <si>
    <t>Noise Minimization in Cell-Free Gene Expression</t>
  </si>
  <si>
    <t>Plasmid Copy Number Engineering Accelerates Fungal Polyketide Discovery upon Unnatural Polyketide Biosynthesis</t>
  </si>
  <si>
    <t>Engineering Chlorophyll, Bacteriochlorophyll, and Carotenoid Biosynthetic Pathways in Escherichia coli</t>
  </si>
  <si>
    <t>Identifying Antisense Oligonucleotides to Disrupt Small RNA Regulated Antibiotic Resistance via a Cell-Free Transcription–Translation Platform</t>
  </si>
  <si>
    <t>A Cell-Free Protein Synthesis Platform to Produce a Clinically Relevant Allergen Panel</t>
  </si>
  <si>
    <t>Engineered Artificial Human Neutrophils Exhibit Mature Functional Performance</t>
  </si>
  <si>
    <t>Multiplexed Guide RNA Expression Leads to Increased Mutation Frequency in Targeted Window Using a CRISPR-Guided Error-Prone DNA Polymerase in Saccharomyces cerevisiae</t>
  </si>
  <si>
    <t>Targeted In Vivo Mutagenesis in Yeast Using CRISPR/Cas9 and Hyperactive Cytidine and Adenine Deaminases</t>
  </si>
  <si>
    <t>Theory for High-Throughput Genetic Interaction Screening</t>
  </si>
  <si>
    <t>Bioluminescent Genetically Encoded Glutamate Indicators for Molecular Imaging of Neuronal Activity</t>
  </si>
  <si>
    <t>Robust Design of Effective Allosteric Activators for Rsp5 E3 Ligase Using the Machine Learning Tool ProteinMPNN</t>
  </si>
  <si>
    <t>SARS-CoV-2 Virus-like Particles with Plasmonic Au Cores and S1-Spike Protein Coronas</t>
  </si>
  <si>
    <t>Multiplicity of the Agrobacterium Infection of Nicotiana benthamiana for Transient DNA Delivery</t>
  </si>
  <si>
    <t>Protein-Specific Signal Peptides for Mammalian Vector Engineering</t>
  </si>
  <si>
    <t>Systems Analysis of Highly Multiplexed CRISPR-Base Editing in Streptomycetes</t>
  </si>
  <si>
    <t>Deep Neural Networks for Predicting Single-Cell Responses and Probability Landscapes</t>
  </si>
  <si>
    <t>Identifying, Characterizing, and Engineering a Phenolic Acid-Responsive Transcriptional Factor from Bacillus amyloliquefaciens</t>
  </si>
  <si>
    <t>Magnetic Bead Spherical Nucleic Acid Microstructure for Reliable DNA Preservation and Repeated DNA Reading</t>
  </si>
  <si>
    <t>Machine Learning Enables Prediction of Pyrrolysyl-tRNA Synthetase Substrate Specificity</t>
  </si>
  <si>
    <t>Cell Free Bacteriophage Synthesis from Engineered Strains Improves Yield</t>
  </si>
  <si>
    <t>Guidelines for Optimizing Type S Nonribosomal Peptide Synthetases</t>
  </si>
  <si>
    <t>DeCOIL: Optimization of Degenerate Codon Libraries for Machine Learning-Assisted Protein Engineering</t>
  </si>
  <si>
    <t>Biosynthesis of the Plant Coumarin Osthole by Engineered Saccharomyces cerevisiae</t>
  </si>
  <si>
    <t>Construction of a UDP-Arabinose Regeneration System for Efficient Arabinosylation of Pentacyclic Triterpenoids</t>
  </si>
  <si>
    <t>Metabolic Engineering for Effective Synthesis of 2-Hydroxyadipate</t>
  </si>
  <si>
    <t>A Cell-Free Biosensor for Assessment of Hyperhomocysteinemia</t>
  </si>
  <si>
    <t>ScEnSor Kit for Saccharomyces cerevisiae Engineering and Biosensor-Driven Investigation of the Intracellular Environment</t>
  </si>
  <si>
    <t>A High-Throughput Colocalization Pipeline for Quantification of Mitochondrial Targeting across Different Protein Types</t>
  </si>
  <si>
    <t>Making the Next Generation of Therapeutics: mRNA Meets Synthetic Biology</t>
  </si>
  <si>
    <t>Dual Input-Controlled Synthetic mRNA Circuit for Bidirectional Protein Expression Regulation</t>
  </si>
  <si>
    <t>Tailored Synthetic sRNAs Dynamically Tune Multilayer Genetic Circuits</t>
  </si>
  <si>
    <t>Tuning Methylation-Dependent Silencing Dynamics by Synthetic Modulation of CpG Density</t>
  </si>
  <si>
    <t>Precision Genome Engineering in Streptococcus suis Based on a Broad-Host-Range Vector and CRISPR-Cas9 Technology</t>
  </si>
  <si>
    <t>Development of Solid-State Storage for Cell-Free Expression Systems</t>
  </si>
  <si>
    <t>CRAPS: Chromosomal-Repair-Assisted Pathway Shuffling in Yeast</t>
  </si>
  <si>
    <t>Simulated Design–Build–Test–Learn Cycles for Consistent Comparison of Machine Learning Methods in Metabolic Engineering</t>
  </si>
  <si>
    <t>Predicting and Interpreting Protein Developability Via Transfer of Convolutional Sequence Representation</t>
  </si>
  <si>
    <t>Synthesis, Reverse Transcription, Replication, and Inter-Transcription of 2′-Modified Nucleic Acids with Evolved Thermophilic Polymerases: Efforts toward Multidimensional Expansion of the Central Dogma</t>
  </si>
  <si>
    <t>Algorithmic Programming of Sequential Logic and Genetic Circuits for Recording Biochemical Concentration in a Probiotic Bacterium</t>
  </si>
  <si>
    <t>Machine Learning-Enabled Genome Mining and Bioactivity Prediction of Natural Products</t>
  </si>
  <si>
    <t>Design–Build–Test of Synthetic Promoters for Inducible Gene Regulation in Alphaproteobacteria</t>
  </si>
  <si>
    <t>Recognition of an Unnatural Base Pair by Tool Enzymes from Bacteriophages and Its Application in the Enzymatic Preparation of DNA with an Expanded Genetic Alphabet</t>
  </si>
  <si>
    <t>One-Pot Enzymatic Preparation of Oligonucleotides with an Expanded Genetic Alphabet via Controlled Pause and Restart of Primer Extension: Making Unnatural Out of Natural</t>
  </si>
  <si>
    <t>FreeFlux: A Python Package for Time-Efficient Isotopically Nonstationary Metabolic Flux Analysis</t>
  </si>
  <si>
    <t>Light-Driven CO2 Reduction with a Surface-Displayed Enzyme Cascade–C3N4 Hybrid</t>
  </si>
  <si>
    <t>Improved Membrane Permeability via Hypervesiculation for In Situ Recovery of Lycopene in Escherichia coli</t>
  </si>
  <si>
    <t>Systematic Engineering of Saccharomyces cerevisiae Chassis for Efficient Flavonoid-7-O-Disaccharide Biosynthesis</t>
  </si>
  <si>
    <t>DNA Structure Design Is Improved Using an Artificially Expanded Alphabet of Base Pairs Including Loop and Mismatch Thermodynamic Parameters</t>
  </si>
  <si>
    <t>Engineering a Streptococcus Cas9 Ortholog with an RxQ PAM-Binding Motif for PAM-Free Gene Control in Bacteria</t>
  </si>
  <si>
    <t>AspFlex: Molecular Tools to Study Gene Expression and Regulation in Acinetobacter baumannii</t>
  </si>
  <si>
    <t>Improved Combinatorial Assembly and Barcode Sequencing for Gene-Sized DNA Constructs</t>
  </si>
  <si>
    <t>A Layered Genetic Design Enables the Yeast Galactose Regulon to Respond to Cyanamide</t>
  </si>
  <si>
    <t>Motility of Synthetic Cells from Engineered Lipids</t>
  </si>
  <si>
    <t>Robust Photocontrol of Elastin-like Polypeptide Phase Transition with a Genetically Encoded Arylazopyrazole</t>
  </si>
  <si>
    <t>Statistical Analysis and Tokenization of Epitopes to Construct Artificial Neoepitope Libraries</t>
  </si>
  <si>
    <t>Signal Amplification for Cell-Free Biosensors, an Analog-to-Digital Converter</t>
  </si>
  <si>
    <t>Precise Interference of RNA–Protein Interaction by CRISPR-Cas13-Mediated Peptide Competition</t>
  </si>
  <si>
    <t>Comprehensive Screening of a Light-Inducible Split Cre Recombinase with Domain Insertion Profiling</t>
  </si>
  <si>
    <t>Plasmid Crosstalk in Cell-Free Expression Systems</t>
  </si>
  <si>
    <t>Engineering of an Optogenetic T Cell Receptor Compatible with Fluorescence-Based Readouts</t>
  </si>
  <si>
    <t>Automated Design of Synthetic Gene Circuits in the Presence of Molecular Noise</t>
  </si>
  <si>
    <t>Sensitive and Specific Exonuclease III-Assisted Recombinase-Aided Amplification Colorimetric Assay for Rapid Detection of Nucleic Acids</t>
  </si>
  <si>
    <t>One-Pot De Novo Synthesis of [4Fe-4S] Proteins Using a Recombinant SUF System under Aerobic Conditions</t>
  </si>
  <si>
    <t>Optimizing Ethanol Production in Saccharomyces cerevisiae at Ambient and Elevated Temperatures through Machine Learning-Guided Combinatorial Promoter Modifications</t>
  </si>
  <si>
    <t>At-Home, Cell-Free Synthetic Biology Education Modules for Transcriptional Regulation and Environmental Water Quality Monitoring</t>
  </si>
  <si>
    <t>Reconstitution and Optimization of the Marmesin Biosynthetic Pathway in Yeast</t>
  </si>
  <si>
    <t>Coproduction of Phase-Separated Carotenoids and β-Farnesene as a Yeast Biomass Valorization Strategy</t>
  </si>
  <si>
    <t>Development of CRISPR/Cas9-Based Genome Editing Tools for Polyploid Yeast Cyberlindnera jadinii and Its Application in Engineering Heterologous Steroid-Producing Strains</t>
  </si>
  <si>
    <t>Metabolic Engineering of Pichia pastoris for High-Level Production of Lycopene</t>
  </si>
  <si>
    <t>Generative Artificial Intelligence GPT-4 Accelerates Knowledge Mining and Machine Learning for Synthetic Biology</t>
  </si>
  <si>
    <t>Dynamically Regulating Glucose Uptake to Reduce Overflow Metabolism with a Quorum-Sensing Circuit for the Efficient Synthesis of d-Pantothenic Acid in Bacillus subtilis</t>
  </si>
  <si>
    <t>Conditional Control of Universal CAR T Cells by Cleavable OFF-Switch Adaptors</t>
  </si>
  <si>
    <t>Engineering Cyanobacterial Cell Factories for Photosynthetic Production of Fructose</t>
  </si>
  <si>
    <t>Tunable T7 Promoter Orthogonality on T7RNAP for cis-Aconitate Decarboxylase Evolution via Base Editor and Screening from Itaconic Acid Biosensor</t>
  </si>
  <si>
    <t>Engineering the Maize Root Microbiome: A Rapid MoClo Toolkit and Identification of Potential Bacterial Chassis for Studying Plant–Microbe Interactions</t>
  </si>
  <si>
    <t>Molecular Imaging with Aquaporin-Based Reporter Genes: Quantitative Considerations from Monte Carlo Diffusion Simulations</t>
  </si>
  <si>
    <t>A Minispidroin Guides the Molecular Design for Cellular Condensation Mechanisms in S. cerevisiae</t>
  </si>
  <si>
    <t>Synthetic Gene Circuits Combining CRISPR Interference and CRISPR Activation in E. coli: Importance of Equal Guide RNA Binding Affinities to Avoid Context-Dependent Effects</t>
  </si>
  <si>
    <t>Heterologous Biosynthesis of Complex Bacterial Natural Products in Burkholderia gladioli</t>
  </si>
  <si>
    <t>High-Efficiency Multiplexed Cytosine Base Editors for Natural Product Synthesis in Yarrowia lipolytica</t>
  </si>
  <si>
    <t>Development of an Efficient Recombinant Protein Expression System in Clostridium saccharoperbutylacetonicum Based on the Bacteriophage T7 System</t>
  </si>
  <si>
    <t>Reducing Cellular Autolysis of Bacillus subtilis to Improve Keratinase Production</t>
  </si>
  <si>
    <t>Development of a CRISPR/Cas9D10A Nickase (nCas9)-Mediated Genome Editing Tool in Streptomyces</t>
  </si>
  <si>
    <t>Preventing Production Escape Using an Engineered Glucose-Inducible Genetic Circuit</t>
  </si>
  <si>
    <t>Complex Dependence of Escherichia coli-based Cell-Free Expression on Sonication Energy During Lysis</t>
  </si>
  <si>
    <t>C2CAplus: A One-Pot Isothermal Circle-to-Circle DNA Amplification System</t>
  </si>
  <si>
    <t>CUBIC: A Versatile Cumate-Based Inducible CRISPRi System in Streptomyces</t>
  </si>
  <si>
    <r>
      <t xml:space="preserve">January 2023 Issue (vol 12, #11) &gt; </t>
    </r>
    <r>
      <rPr>
        <u/>
        <sz val="10"/>
        <color rgb="FF1155CC"/>
        <rFont val="Arial"/>
        <family val="2"/>
      </rPr>
      <t>https://pubs.acs.org/toc/asbcd6/12/11</t>
    </r>
  </si>
  <si>
    <t>Module-Based Polyketide Synthase Engineering for de Novo Polyketide Biosynthesis</t>
  </si>
  <si>
    <t>Physical Laboratory Automation in Synthetic Biology</t>
  </si>
  <si>
    <t>Evolution of Organic Solvent-Resistant DNA Polymerases</t>
  </si>
  <si>
    <t>Investigating and Modeling the Factors That Affect Genetic Circuit Performance</t>
  </si>
  <si>
    <t>Nucleic Transformer: Classifying DNA Sequences with Self-Attention and Convolutions</t>
  </si>
  <si>
    <t>Validating a Promoter Library for Application in Plasmid-Based Diatom Genetic Engineering</t>
  </si>
  <si>
    <t>Navigating the Frontier of Synthetic Biology: An AI-Driven Analytics Platform for Exploring Research Trends and Relationships</t>
  </si>
  <si>
    <t>Coherent Blending of Biophysics-Based Knowledge with Bayesian Neural Networks for Robust Protein Property Prediction</t>
  </si>
  <si>
    <t>Combining Fusion of Cells with CRISPR-Cas9 Editing for the Cloning of Large DNA Fragments or Complete Bacterial Genomes in Yeast</t>
  </si>
  <si>
    <t>Spatial Control of Arp2/3-Induced Actin Polymerization on Phase-Separated Giant Unilamellar Vesicles</t>
  </si>
  <si>
    <t>Modulation of Hybrid GRM2-type Bacterial Microcompartment Shells through BMC-H Shell Protein Fusion and Incorporation of Non-native BMC-T Shell Proteins</t>
  </si>
  <si>
    <t>A Rapid Antibody Enhancement Platform in Saccharomyces cerevisiae Using an Improved, Diversifying CRISPR Base Editor</t>
  </si>
  <si>
    <t>Engineering Ca2+-Dependent DNA Polymerase Activity</t>
  </si>
  <si>
    <t>Toward Minimal Transcription–Translation Machinery</t>
  </si>
  <si>
    <t>Efficient Protein Expression and Biosynthetic Gene Cluster Regulation in Bacillus subtilis Driven by a T7-BOOST System</t>
  </si>
  <si>
    <t>Efficient Genome Editing in Most Staphylococcus aureus by Using the Restriction-Modification System Silent CRISPR-Cas9 Toolkit</t>
  </si>
  <si>
    <t>Mammalian Genomic Manipulation with Orthogonal Bxb1 DNA Recombinase Sites for the Functional Characterization of Protein Variants</t>
  </si>
  <si>
    <t>Maximizing Heterologous Expression of Engineered Type I Polyketide Synthases: Investigating Codon Optimization Strategies</t>
  </si>
  <si>
    <t>Design, Evaluation, and Implementation of Synthetic Isopentyldiol Pathways in Escherichia coli</t>
  </si>
  <si>
    <t>A Multiplex MoClo Toolkit for Extensive and Flexible Engineering of Saccharomyces cerevisiae</t>
  </si>
  <si>
    <t>Construction of a Compact Array of Microplasma Jet Devices and Its Application for Random Mutagenesis of Rhodosporidium toruloides</t>
  </si>
  <si>
    <t>Construction of an Engineered Escherichia coli with Efficient Chemotactic and Metabolizing Ability toward Tetrathionate</t>
  </si>
  <si>
    <t>Directing Uphill Strand Displacement with an Engineered Superhelicase</t>
  </si>
  <si>
    <t>Cold Exposure and Oral Delivery of GLP-1R Agonists by an Engineered Probiotic Yeast Strain Have Antiobesity Effects in Mice</t>
  </si>
  <si>
    <t>Heterologous Single-Strand DNA-Annealing and Binding Protein Enhance CRISPR-Based Genome Editing Efficiency in Komagataella phaffii</t>
  </si>
  <si>
    <t>Nonsterilized Fermentation of Crude Glycerol for Polyhydroxybutyrate Production by Metabolically Engineered Vibrio natriegens</t>
  </si>
  <si>
    <t>Reconstruction of a Genome-Scale Metabolic Model of Scenedesmus obliquus and Its Application for Lipid Production under Three Trophic Modes</t>
  </si>
  <si>
    <t>Tuning Plant Promoters Using a Simple Split Luciferase Method to Assess Transcription Factor-DNA Interactions</t>
  </si>
  <si>
    <t>Developing the Limosilactobacillus reuteri Chassis through an Endogenous Programmable Endonuclease-Based Genome Editing Tool</t>
  </si>
  <si>
    <t>Construction of a CRISPR Interference System for Gene Knockdown in Stenotrophomonas maltophilia AGS-1 from Aerobic Granular Sludge</t>
  </si>
  <si>
    <t>December 2022 Issue (vol 11, #12)</t>
  </si>
  <si>
    <t>Automated Platform for the Plasmid Construction Process</t>
  </si>
  <si>
    <t>The Laboratory Automation Protocol (LAP) Format and Repository: A Platform for Enhancing Workflow Efficiency in Synthetic Biology</t>
  </si>
  <si>
    <t>Machine Learning-Supported Enzyme Engineering toward Improved CO2-Fixation of Glycolyl-CoA Carboxylase</t>
  </si>
  <si>
    <t>Tunable Dynamics in a Multistrain Transcriptional Pulse Generator</t>
  </si>
  <si>
    <t>ProtWave-VAE: Integrating Autoregressive Sampling with Latent-Based Inference for Data-Driven Protein Design</t>
  </si>
  <si>
    <t>Developing a Graduate Class on Synthetic Cells at a Minority Serving Institution: Lessons from the University of New Mexico</t>
  </si>
  <si>
    <t>Highly Accurate Sequence- and Position-Independent Error Profiling of DNA Synthesis and Sequencing</t>
  </si>
  <si>
    <t>De Novo Synthesis of a Conjugative System from Human Gut Metagenomic Data for Targeted Delivery of Cas9 Antimicrobials</t>
  </si>
  <si>
    <t>Standardization of Fluorescent Reporter Assays in Synthetic Biology across the Visible Light Spectrum</t>
  </si>
  <si>
    <t>Hyperstable Synthetic Mini-Proteins as Effective Ligand Scaffolds</t>
  </si>
  <si>
    <t>Synthetic Biology Toolbox for Nitrogen-Fixing Soil Microbes</t>
  </si>
  <si>
    <t>Yeast Metabolic Engineering for Biosynthesis of Caffeic Acid-Derived Phenethyl Ester and Phenethyl Amide</t>
  </si>
  <si>
    <t>Standardized Representation of Parts and Assembly for Build Planning</t>
  </si>
  <si>
    <t>Let There Be Light: Genome Reduction Enables Bacillus subtilis to Produce Disulfide-Bonded Gaussia Luciferase</t>
  </si>
  <si>
    <t>Molecular Determinants of Efficient Cobalt-Substituted Hemoprotein Production in E. coli</t>
  </si>
  <si>
    <t>Multiple Rounds of In Vivo Random Mutagenesis and Selection in Vibrio natriegens Result in Substantial Increases in REE Binding Capacity</t>
  </si>
  <si>
    <t>Studying Nucleoid-Associated Protein–DNA Interactions Using Polymer Microgels as Synthetic Mimics</t>
  </si>
  <si>
    <t>MS2 Virus-like Particles as a Versatile Peptide Presentation Platform: Insights into the Deterministic Abilities for Accommodating Heterologous Peptide Lengths</t>
  </si>
  <si>
    <t>Creation of Architecturally Minimal Transcriptionally Activating Riboswitches Responsive to Theophylline Reveals an Unconventional Design Strategy</t>
  </si>
  <si>
    <t>Establishing Tunable Genetic Logic Gates with Versatile Dynamic Performance by Varying Regulatory Parameters</t>
  </si>
  <si>
    <t>Using Methyl Bromide for Interspecies Cell–Cell Signaling and As a Reporter in a Model Soil Consortium</t>
  </si>
  <si>
    <t>Evaluating DFHBI-Responsive RNA Light-Up Aptamers as Fluorescent Reporters for Gene Expression</t>
  </si>
  <si>
    <t>GENETTA: a Network-Based Tool for the Analysis of Complex Genetic Designs</t>
  </si>
  <si>
    <t>Changes in Coding and Efficiency through Modular Modifications to a One Pot PURE System for In Vitro Transcription and Translation</t>
  </si>
  <si>
    <t>A Procedural Framework for Benchmarking Biofoundry Capabilities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</si>
</sst>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Roboto"/>
    </font>
    <font>
      <sz val="9"/>
      <color rgb="FF000000"/>
      <name val="&quot;Google Sans Mono&quot;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10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docs.google.com/document/d/1vK8DdeN5QbFqKy0h2uLIuuB89hU_Zlj_o41NX1BVtAY/edit?usp=sharing" TargetMode="External"/><Relationship Id="rId1" Type="http://schemas.openxmlformats.org/officeDocument/2006/relationships/hyperlink" Target="https://pubs.acs.org/toc/asbcd6/12/11" TargetMode="External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"/>
  <sheetViews>
    <sheetView tabSelected="1" workbookViewId="0">
      <selection activeCell="B17" sqref="B17"/>
    </sheetView>
  </sheetViews>
  <sheetFormatPr baseColWidth="10" defaultColWidth="12.6640625" defaultRowHeight="15.75" customHeight="1"/>
  <cols>
    <col min="2" max="2" width="8.83203125" customWidth="1"/>
    <col min="3" max="3" width="15" customWidth="1"/>
    <col min="4" max="4" width="12.6640625" customWidth="1"/>
    <col min="5" max="5" width="13" customWidth="1"/>
    <col min="6" max="6" width="14.6640625" customWidth="1"/>
    <col min="7" max="7" width="17.6640625" customWidth="1"/>
    <col min="8" max="8" width="17.1640625" customWidth="1"/>
    <col min="9" max="9" width="15.33203125" customWidth="1"/>
    <col min="10" max="10" width="14.83203125" customWidth="1"/>
    <col min="11" max="11" width="8.83203125" customWidth="1"/>
    <col min="12" max="12" width="5.6640625" customWidth="1"/>
    <col min="13" max="14" width="17.83203125" customWidth="1"/>
    <col min="15" max="15" width="18.83203125" customWidth="1"/>
    <col min="16" max="16" width="15.83203125" customWidth="1"/>
    <col min="17" max="17" width="12.6640625" customWidth="1"/>
    <col min="18" max="18" width="13.1640625" customWidth="1"/>
    <col min="19" max="19" width="10.33203125" customWidth="1"/>
    <col min="20" max="20" width="10.6640625" customWidth="1"/>
    <col min="21" max="21" width="14.6640625" customWidth="1"/>
    <col min="22" max="22" width="9" customWidth="1"/>
  </cols>
  <sheetData>
    <row r="1" spans="1:22" ht="15.75" customHeight="1">
      <c r="A1" s="1" t="s">
        <v>0</v>
      </c>
      <c r="B1" s="9" t="s">
        <v>1</v>
      </c>
      <c r="C1" s="10"/>
      <c r="D1" s="10"/>
      <c r="E1" s="10"/>
      <c r="F1" s="9" t="s">
        <v>2</v>
      </c>
      <c r="G1" s="10"/>
      <c r="H1" s="10"/>
      <c r="I1" s="10"/>
      <c r="J1" s="10"/>
      <c r="K1" s="10"/>
      <c r="M1" s="9" t="s">
        <v>3</v>
      </c>
      <c r="N1" s="10"/>
      <c r="O1" s="10"/>
      <c r="P1" s="9" t="s">
        <v>4</v>
      </c>
      <c r="Q1" s="10"/>
    </row>
    <row r="2" spans="1:2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6</v>
      </c>
      <c r="M2" s="1" t="s">
        <v>7</v>
      </c>
      <c r="N2" s="1" t="s">
        <v>10</v>
      </c>
      <c r="O2" s="1" t="s">
        <v>11</v>
      </c>
      <c r="P2" s="1" t="s">
        <v>10</v>
      </c>
      <c r="Q2" s="1" t="s">
        <v>11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</row>
    <row r="3" spans="1:22" ht="15.75" customHeight="1">
      <c r="A3" s="1" t="s">
        <v>19</v>
      </c>
      <c r="B3" s="1">
        <f>January!C34</f>
        <v>180</v>
      </c>
      <c r="C3" s="1">
        <f>January!D34</f>
        <v>38</v>
      </c>
      <c r="D3" s="1">
        <f>January!E34</f>
        <v>25</v>
      </c>
      <c r="E3" s="1">
        <f>January!F34</f>
        <v>6</v>
      </c>
      <c r="F3" s="1">
        <f>January!G34</f>
        <v>15</v>
      </c>
      <c r="G3" s="1">
        <f>January!H34</f>
        <v>13</v>
      </c>
      <c r="H3" s="1">
        <f>January!I34</f>
        <v>12</v>
      </c>
      <c r="I3" s="1">
        <f>January!J34</f>
        <v>3</v>
      </c>
      <c r="J3" s="1">
        <f>January!K34</f>
        <v>3</v>
      </c>
      <c r="K3" s="1">
        <f>January!L34</f>
        <v>30</v>
      </c>
      <c r="M3" s="2">
        <f t="shared" ref="M3:O3" si="0">F3/$K3</f>
        <v>0.5</v>
      </c>
      <c r="N3" s="2">
        <f t="shared" si="0"/>
        <v>0.43333333333333335</v>
      </c>
      <c r="O3" s="2">
        <f t="shared" si="0"/>
        <v>0.4</v>
      </c>
      <c r="P3" s="2">
        <f t="shared" ref="P3:Q3" si="1">G3/$F3</f>
        <v>0.8666666666666667</v>
      </c>
      <c r="Q3" s="2">
        <f t="shared" si="1"/>
        <v>0.8</v>
      </c>
      <c r="R3" s="2">
        <f t="shared" ref="R3:R15" si="2">I3/F3</f>
        <v>0.2</v>
      </c>
      <c r="S3" s="2">
        <f t="shared" ref="S3:S15" si="3">J3/F3</f>
        <v>0.2</v>
      </c>
      <c r="T3" s="3">
        <f t="shared" ref="T3:T15" si="4">D3/$B3</f>
        <v>0.1388888888888889</v>
      </c>
      <c r="U3" s="3">
        <f t="shared" ref="U3:U15" si="5">D3/C3</f>
        <v>0.65789473684210531</v>
      </c>
      <c r="V3" s="2">
        <f t="shared" ref="V3:V15" si="6">E3/C3</f>
        <v>0.15789473684210525</v>
      </c>
    </row>
    <row r="4" spans="1:22" ht="15.75" customHeight="1">
      <c r="A4" s="1" t="s">
        <v>20</v>
      </c>
      <c r="B4" s="1">
        <f>February!C30</f>
        <v>141</v>
      </c>
      <c r="C4" s="1">
        <f>February!D30</f>
        <v>42</v>
      </c>
      <c r="D4" s="1">
        <f>February!E30</f>
        <v>33</v>
      </c>
      <c r="E4" s="1">
        <f>February!F30</f>
        <v>14</v>
      </c>
      <c r="F4" s="1">
        <f>February!G30</f>
        <v>17</v>
      </c>
      <c r="G4" s="1">
        <f>February!H30</f>
        <v>15</v>
      </c>
      <c r="H4" s="1">
        <f>February!I30</f>
        <v>11</v>
      </c>
      <c r="I4" s="1">
        <f>February!J30</f>
        <v>6</v>
      </c>
      <c r="J4" s="1">
        <f>February!K30</f>
        <v>5</v>
      </c>
      <c r="K4" s="1">
        <f>February!L30</f>
        <v>27</v>
      </c>
      <c r="M4" s="2">
        <f t="shared" ref="M4:O4" si="7">F4/$K4</f>
        <v>0.62962962962962965</v>
      </c>
      <c r="N4" s="2">
        <f t="shared" si="7"/>
        <v>0.55555555555555558</v>
      </c>
      <c r="O4" s="2">
        <f t="shared" si="7"/>
        <v>0.40740740740740738</v>
      </c>
      <c r="P4" s="2">
        <f t="shared" ref="P4:Q4" si="8">G4/$F4</f>
        <v>0.88235294117647056</v>
      </c>
      <c r="Q4" s="2">
        <f t="shared" si="8"/>
        <v>0.6470588235294118</v>
      </c>
      <c r="R4" s="2">
        <f t="shared" si="2"/>
        <v>0.35294117647058826</v>
      </c>
      <c r="S4" s="2">
        <f t="shared" si="3"/>
        <v>0.29411764705882354</v>
      </c>
      <c r="T4" s="3">
        <f t="shared" si="4"/>
        <v>0.23404255319148937</v>
      </c>
      <c r="U4" s="3">
        <f t="shared" si="5"/>
        <v>0.7857142857142857</v>
      </c>
      <c r="V4" s="2">
        <f t="shared" si="6"/>
        <v>0.33333333333333331</v>
      </c>
    </row>
    <row r="5" spans="1:22" ht="15.75" customHeight="1">
      <c r="A5" s="1" t="s">
        <v>21</v>
      </c>
      <c r="B5" s="1">
        <f>March!C29</f>
        <v>118</v>
      </c>
      <c r="C5" s="1">
        <f>March!D29</f>
        <v>38</v>
      </c>
      <c r="D5" s="1">
        <f>March!E29</f>
        <v>26</v>
      </c>
      <c r="E5" s="1">
        <f>March!F29</f>
        <v>13</v>
      </c>
      <c r="F5" s="1">
        <f>March!G29</f>
        <v>18</v>
      </c>
      <c r="G5" s="1">
        <f>March!H29</f>
        <v>13</v>
      </c>
      <c r="H5" s="1">
        <f>March!I29</f>
        <v>12</v>
      </c>
      <c r="I5" s="1">
        <f>March!J29</f>
        <v>7</v>
      </c>
      <c r="J5" s="1">
        <f>March!K29</f>
        <v>6</v>
      </c>
      <c r="K5" s="1">
        <f>March!L29</f>
        <v>26</v>
      </c>
      <c r="M5" s="2">
        <f t="shared" ref="M5:O5" si="9">F5/$K5</f>
        <v>0.69230769230769229</v>
      </c>
      <c r="N5" s="2">
        <f t="shared" si="9"/>
        <v>0.5</v>
      </c>
      <c r="O5" s="2">
        <f t="shared" si="9"/>
        <v>0.46153846153846156</v>
      </c>
      <c r="P5" s="2">
        <f t="shared" ref="P5:Q5" si="10">G5/$F5</f>
        <v>0.72222222222222221</v>
      </c>
      <c r="Q5" s="2">
        <f t="shared" si="10"/>
        <v>0.66666666666666663</v>
      </c>
      <c r="R5" s="2">
        <f t="shared" si="2"/>
        <v>0.3888888888888889</v>
      </c>
      <c r="S5" s="2">
        <f t="shared" si="3"/>
        <v>0.33333333333333331</v>
      </c>
      <c r="T5" s="3">
        <f t="shared" si="4"/>
        <v>0.22033898305084745</v>
      </c>
      <c r="U5" s="3">
        <f t="shared" si="5"/>
        <v>0.68421052631578949</v>
      </c>
      <c r="V5" s="2">
        <f t="shared" si="6"/>
        <v>0.34210526315789475</v>
      </c>
    </row>
    <row r="6" spans="1:22" ht="15.75" customHeight="1">
      <c r="A6" s="1" t="s">
        <v>22</v>
      </c>
      <c r="B6" s="1">
        <f>April!C44</f>
        <v>169</v>
      </c>
      <c r="C6" s="1">
        <f>April!D44</f>
        <v>35</v>
      </c>
      <c r="D6" s="1">
        <f>April!E44</f>
        <v>29</v>
      </c>
      <c r="E6" s="1">
        <f>April!F44</f>
        <v>26</v>
      </c>
      <c r="F6" s="1">
        <f>April!G44</f>
        <v>14</v>
      </c>
      <c r="G6" s="1">
        <f>April!H44</f>
        <v>12</v>
      </c>
      <c r="H6" s="1">
        <f>April!I44</f>
        <v>11</v>
      </c>
      <c r="I6" s="1">
        <f>April!J44</f>
        <v>9</v>
      </c>
      <c r="J6" s="1">
        <f>April!K44</f>
        <v>8</v>
      </c>
      <c r="K6" s="1">
        <f>April!L44</f>
        <v>30</v>
      </c>
      <c r="M6" s="2">
        <f t="shared" ref="M6:O6" si="11">F6/$K6</f>
        <v>0.46666666666666667</v>
      </c>
      <c r="N6" s="2">
        <f t="shared" si="11"/>
        <v>0.4</v>
      </c>
      <c r="O6" s="2">
        <f t="shared" si="11"/>
        <v>0.36666666666666664</v>
      </c>
      <c r="P6" s="2">
        <f t="shared" ref="P6:Q6" si="12">G6/$F6</f>
        <v>0.8571428571428571</v>
      </c>
      <c r="Q6" s="2">
        <f t="shared" si="12"/>
        <v>0.7857142857142857</v>
      </c>
      <c r="R6" s="2">
        <f t="shared" si="2"/>
        <v>0.6428571428571429</v>
      </c>
      <c r="S6" s="2">
        <f t="shared" si="3"/>
        <v>0.5714285714285714</v>
      </c>
      <c r="T6" s="3">
        <f t="shared" si="4"/>
        <v>0.17159763313609466</v>
      </c>
      <c r="U6" s="3">
        <f t="shared" si="5"/>
        <v>0.82857142857142863</v>
      </c>
      <c r="V6" s="2">
        <f t="shared" si="6"/>
        <v>0.74285714285714288</v>
      </c>
    </row>
    <row r="7" spans="1:22" ht="15.75" customHeight="1">
      <c r="A7" s="1" t="s">
        <v>23</v>
      </c>
      <c r="B7" s="1">
        <f>May!C20</f>
        <v>81</v>
      </c>
      <c r="C7" s="1">
        <f>May!D20</f>
        <v>17</v>
      </c>
      <c r="D7" s="1">
        <f>May!E20</f>
        <v>10</v>
      </c>
      <c r="E7" s="1">
        <f>May!F20</f>
        <v>8</v>
      </c>
      <c r="F7" s="1">
        <f>May!G20</f>
        <v>9</v>
      </c>
      <c r="G7" s="1">
        <f>May!H20</f>
        <v>6</v>
      </c>
      <c r="H7" s="1">
        <f>May!I20</f>
        <v>5</v>
      </c>
      <c r="I7" s="1">
        <f>May!J20</f>
        <v>5</v>
      </c>
      <c r="J7" s="1">
        <f>May!K20</f>
        <v>4</v>
      </c>
      <c r="K7" s="1">
        <f>May!L20</f>
        <v>17</v>
      </c>
      <c r="M7" s="2">
        <f t="shared" ref="M7:O7" si="13">F7/$K7</f>
        <v>0.52941176470588236</v>
      </c>
      <c r="N7" s="2">
        <f t="shared" si="13"/>
        <v>0.35294117647058826</v>
      </c>
      <c r="O7" s="2">
        <f t="shared" si="13"/>
        <v>0.29411764705882354</v>
      </c>
      <c r="P7" s="2">
        <f t="shared" ref="P7:Q7" si="14">G7/$F7</f>
        <v>0.66666666666666663</v>
      </c>
      <c r="Q7" s="2">
        <f t="shared" si="14"/>
        <v>0.55555555555555558</v>
      </c>
      <c r="R7" s="2">
        <f t="shared" si="2"/>
        <v>0.55555555555555558</v>
      </c>
      <c r="S7" s="2">
        <f t="shared" si="3"/>
        <v>0.44444444444444442</v>
      </c>
      <c r="T7" s="3">
        <f t="shared" si="4"/>
        <v>0.12345679012345678</v>
      </c>
      <c r="U7" s="3">
        <f t="shared" si="5"/>
        <v>0.58823529411764708</v>
      </c>
      <c r="V7" s="2">
        <f t="shared" si="6"/>
        <v>0.47058823529411764</v>
      </c>
    </row>
    <row r="8" spans="1:22" ht="15.75" customHeight="1">
      <c r="A8" s="1" t="s">
        <v>24</v>
      </c>
      <c r="B8" s="1">
        <f>June!C31</f>
        <v>150</v>
      </c>
      <c r="C8" s="1">
        <f>June!D31</f>
        <v>26</v>
      </c>
      <c r="D8" s="1">
        <f>June!E31</f>
        <v>15</v>
      </c>
      <c r="E8" s="1">
        <f>June!F31</f>
        <v>8</v>
      </c>
      <c r="F8" s="1">
        <f>June!G31</f>
        <v>15</v>
      </c>
      <c r="G8" s="1">
        <f>June!H31</f>
        <v>8</v>
      </c>
      <c r="H8" s="1">
        <f>June!I31</f>
        <v>8</v>
      </c>
      <c r="I8" s="1">
        <f>June!J31</f>
        <v>5</v>
      </c>
      <c r="J8" s="1">
        <f>June!K31</f>
        <v>3</v>
      </c>
      <c r="K8" s="1">
        <f>June!L31</f>
        <v>28</v>
      </c>
      <c r="M8" s="2">
        <f t="shared" ref="M8:O8" si="15">F8/$K8</f>
        <v>0.5357142857142857</v>
      </c>
      <c r="N8" s="2">
        <f t="shared" si="15"/>
        <v>0.2857142857142857</v>
      </c>
      <c r="O8" s="2">
        <f t="shared" si="15"/>
        <v>0.2857142857142857</v>
      </c>
      <c r="P8" s="2">
        <f t="shared" ref="P8:Q8" si="16">G8/$F8</f>
        <v>0.53333333333333333</v>
      </c>
      <c r="Q8" s="2">
        <f t="shared" si="16"/>
        <v>0.53333333333333333</v>
      </c>
      <c r="R8" s="2">
        <f t="shared" si="2"/>
        <v>0.33333333333333331</v>
      </c>
      <c r="S8" s="2">
        <f t="shared" si="3"/>
        <v>0.2</v>
      </c>
      <c r="T8" s="3">
        <f t="shared" si="4"/>
        <v>0.1</v>
      </c>
      <c r="U8" s="3">
        <f t="shared" si="5"/>
        <v>0.57692307692307687</v>
      </c>
      <c r="V8" s="2">
        <f t="shared" si="6"/>
        <v>0.30769230769230771</v>
      </c>
    </row>
    <row r="9" spans="1:22" ht="15.75" customHeight="1">
      <c r="A9" s="1" t="s">
        <v>25</v>
      </c>
      <c r="B9" s="1">
        <f>July!C34</f>
        <v>159</v>
      </c>
      <c r="C9" s="1">
        <f>July!D34</f>
        <v>32</v>
      </c>
      <c r="D9" s="1">
        <f>July!E34</f>
        <v>23</v>
      </c>
      <c r="E9" s="1">
        <f>July!F34</f>
        <v>9</v>
      </c>
      <c r="F9" s="1">
        <f>July!G34</f>
        <v>18</v>
      </c>
      <c r="G9" s="1">
        <f>July!H34</f>
        <v>13</v>
      </c>
      <c r="H9" s="1">
        <f>July!I34</f>
        <v>13</v>
      </c>
      <c r="I9" s="1">
        <f>July!J34</f>
        <v>6</v>
      </c>
      <c r="J9" s="1">
        <f>July!K34</f>
        <v>4</v>
      </c>
      <c r="K9" s="1">
        <f>July!L34</f>
        <v>30</v>
      </c>
      <c r="M9" s="2">
        <f t="shared" ref="M9:O9" si="17">F9/$K9</f>
        <v>0.6</v>
      </c>
      <c r="N9" s="2">
        <f t="shared" si="17"/>
        <v>0.43333333333333335</v>
      </c>
      <c r="O9" s="2">
        <f t="shared" si="17"/>
        <v>0.43333333333333335</v>
      </c>
      <c r="P9" s="2">
        <f t="shared" ref="P9:Q9" si="18">G9/$F9</f>
        <v>0.72222222222222221</v>
      </c>
      <c r="Q9" s="2">
        <f t="shared" si="18"/>
        <v>0.72222222222222221</v>
      </c>
      <c r="R9" s="2">
        <f t="shared" si="2"/>
        <v>0.33333333333333331</v>
      </c>
      <c r="S9" s="2">
        <f t="shared" si="3"/>
        <v>0.22222222222222221</v>
      </c>
      <c r="T9" s="3">
        <f t="shared" si="4"/>
        <v>0.14465408805031446</v>
      </c>
      <c r="U9" s="3">
        <f t="shared" si="5"/>
        <v>0.71875</v>
      </c>
      <c r="V9" s="2">
        <f t="shared" si="6"/>
        <v>0.28125</v>
      </c>
    </row>
    <row r="10" spans="1:22" ht="15.75" customHeight="1">
      <c r="A10" s="1" t="s">
        <v>26</v>
      </c>
      <c r="B10" s="1">
        <f>August!C32</f>
        <v>139</v>
      </c>
      <c r="C10" s="1">
        <f>August!D32</f>
        <v>16</v>
      </c>
      <c r="D10" s="1">
        <f>August!E32</f>
        <v>14</v>
      </c>
      <c r="E10" s="1">
        <f>August!F32</f>
        <v>8</v>
      </c>
      <c r="F10" s="1">
        <f>August!G32</f>
        <v>11</v>
      </c>
      <c r="G10" s="1">
        <f>August!H32</f>
        <v>10</v>
      </c>
      <c r="H10" s="1">
        <f>August!I32</f>
        <v>10</v>
      </c>
      <c r="I10" s="1">
        <f>August!J32</f>
        <v>5</v>
      </c>
      <c r="J10" s="1">
        <f>August!K32</f>
        <v>5</v>
      </c>
      <c r="K10" s="1">
        <f>August!L32</f>
        <v>29</v>
      </c>
      <c r="M10" s="2">
        <f t="shared" ref="M10:O10" si="19">F10/$K10</f>
        <v>0.37931034482758619</v>
      </c>
      <c r="N10" s="2">
        <f t="shared" si="19"/>
        <v>0.34482758620689657</v>
      </c>
      <c r="O10" s="2">
        <f t="shared" si="19"/>
        <v>0.34482758620689657</v>
      </c>
      <c r="P10" s="2">
        <f t="shared" ref="P10:Q10" si="20">G10/$F10</f>
        <v>0.90909090909090906</v>
      </c>
      <c r="Q10" s="2">
        <f t="shared" si="20"/>
        <v>0.90909090909090906</v>
      </c>
      <c r="R10" s="2">
        <f t="shared" si="2"/>
        <v>0.45454545454545453</v>
      </c>
      <c r="S10" s="2">
        <f t="shared" si="3"/>
        <v>0.45454545454545453</v>
      </c>
      <c r="T10" s="3">
        <f t="shared" si="4"/>
        <v>0.10071942446043165</v>
      </c>
      <c r="U10" s="3">
        <f t="shared" si="5"/>
        <v>0.875</v>
      </c>
      <c r="V10" s="2">
        <f t="shared" si="6"/>
        <v>0.5</v>
      </c>
    </row>
    <row r="11" spans="1:22" ht="15.75" customHeight="1">
      <c r="A11" s="1" t="s">
        <v>27</v>
      </c>
      <c r="B11" s="1">
        <f>September!C27</f>
        <v>133</v>
      </c>
      <c r="C11" s="1">
        <f>September!D27</f>
        <v>25</v>
      </c>
      <c r="D11" s="1">
        <f>September!E27</f>
        <v>23</v>
      </c>
      <c r="E11" s="1">
        <f>September!F27</f>
        <v>5</v>
      </c>
      <c r="F11" s="1">
        <f>September!G27</f>
        <v>12</v>
      </c>
      <c r="G11" s="1">
        <f>September!H27</f>
        <v>10</v>
      </c>
      <c r="H11" s="1">
        <f>September!I27</f>
        <v>10</v>
      </c>
      <c r="I11" s="1">
        <f>September!J27</f>
        <v>3</v>
      </c>
      <c r="J11" s="1">
        <f>September!K27</f>
        <v>2</v>
      </c>
      <c r="K11" s="1">
        <f>September!L27</f>
        <v>24</v>
      </c>
      <c r="M11" s="2">
        <f t="shared" ref="M11:O11" si="21">F11/$K11</f>
        <v>0.5</v>
      </c>
      <c r="N11" s="2">
        <f t="shared" si="21"/>
        <v>0.41666666666666669</v>
      </c>
      <c r="O11" s="2">
        <f t="shared" si="21"/>
        <v>0.41666666666666669</v>
      </c>
      <c r="P11" s="2">
        <f t="shared" ref="P11:Q11" si="22">G11/$F11</f>
        <v>0.83333333333333337</v>
      </c>
      <c r="Q11" s="2">
        <f t="shared" si="22"/>
        <v>0.83333333333333337</v>
      </c>
      <c r="R11" s="2">
        <f t="shared" si="2"/>
        <v>0.25</v>
      </c>
      <c r="S11" s="2">
        <f t="shared" si="3"/>
        <v>0.16666666666666666</v>
      </c>
      <c r="T11" s="3">
        <f t="shared" si="4"/>
        <v>0.17293233082706766</v>
      </c>
      <c r="U11" s="3">
        <f t="shared" si="5"/>
        <v>0.92</v>
      </c>
      <c r="V11" s="2">
        <f t="shared" si="6"/>
        <v>0.2</v>
      </c>
    </row>
    <row r="12" spans="1:22" ht="15.75" customHeight="1">
      <c r="A12" s="1" t="s">
        <v>28</v>
      </c>
      <c r="B12" s="1">
        <f>October!C38</f>
        <v>178</v>
      </c>
      <c r="C12" s="1">
        <f>October!D38</f>
        <v>33</v>
      </c>
      <c r="D12" s="1">
        <f>October!E38</f>
        <v>28</v>
      </c>
      <c r="E12" s="1">
        <f>October!F38</f>
        <v>14</v>
      </c>
      <c r="F12" s="1">
        <f>October!G38</f>
        <v>16</v>
      </c>
      <c r="G12" s="1">
        <f>October!H38</f>
        <v>13</v>
      </c>
      <c r="H12" s="1">
        <f>October!I38</f>
        <v>12</v>
      </c>
      <c r="I12" s="1">
        <f>October!J38</f>
        <v>6</v>
      </c>
      <c r="J12" s="1">
        <f>October!K38</f>
        <v>5</v>
      </c>
      <c r="K12" s="1">
        <f>October!L38</f>
        <v>35</v>
      </c>
      <c r="M12" s="2">
        <f t="shared" ref="M12:O12" si="23">F12/$K12</f>
        <v>0.45714285714285713</v>
      </c>
      <c r="N12" s="2">
        <f t="shared" si="23"/>
        <v>0.37142857142857144</v>
      </c>
      <c r="O12" s="2">
        <f t="shared" si="23"/>
        <v>0.34285714285714286</v>
      </c>
      <c r="P12" s="2">
        <f t="shared" ref="P12:Q12" si="24">G12/$F12</f>
        <v>0.8125</v>
      </c>
      <c r="Q12" s="2">
        <f t="shared" si="24"/>
        <v>0.75</v>
      </c>
      <c r="R12" s="2">
        <f t="shared" si="2"/>
        <v>0.375</v>
      </c>
      <c r="S12" s="2">
        <f t="shared" si="3"/>
        <v>0.3125</v>
      </c>
      <c r="T12" s="3">
        <f t="shared" si="4"/>
        <v>0.15730337078651685</v>
      </c>
      <c r="U12" s="3">
        <f t="shared" si="5"/>
        <v>0.84848484848484851</v>
      </c>
      <c r="V12" s="2">
        <f t="shared" si="6"/>
        <v>0.42424242424242425</v>
      </c>
    </row>
    <row r="13" spans="1:22" ht="15.75" customHeight="1">
      <c r="A13" s="1" t="s">
        <v>29</v>
      </c>
      <c r="B13" s="1">
        <f>November!C33</f>
        <v>143</v>
      </c>
      <c r="C13" s="1">
        <f>November!D33</f>
        <v>43</v>
      </c>
      <c r="D13" s="1">
        <f>November!E33</f>
        <v>26</v>
      </c>
      <c r="E13" s="1">
        <f>November!F33</f>
        <v>10</v>
      </c>
      <c r="F13" s="1">
        <f>November!G33</f>
        <v>16</v>
      </c>
      <c r="G13" s="1">
        <f>November!H33</f>
        <v>12</v>
      </c>
      <c r="H13" s="1">
        <f>November!I33</f>
        <v>10</v>
      </c>
      <c r="I13" s="1">
        <f>November!J33</f>
        <v>8</v>
      </c>
      <c r="J13" s="1">
        <f>November!K33</f>
        <v>4</v>
      </c>
      <c r="K13" s="1">
        <f>November!L33</f>
        <v>30</v>
      </c>
      <c r="M13" s="2">
        <f t="shared" ref="M13:O13" si="25">F13/$K13</f>
        <v>0.53333333333333333</v>
      </c>
      <c r="N13" s="2">
        <f t="shared" si="25"/>
        <v>0.4</v>
      </c>
      <c r="O13" s="2">
        <f t="shared" si="25"/>
        <v>0.33333333333333331</v>
      </c>
      <c r="P13" s="2">
        <f t="shared" ref="P13:Q13" si="26">G13/$F13</f>
        <v>0.75</v>
      </c>
      <c r="Q13" s="2">
        <f t="shared" si="26"/>
        <v>0.625</v>
      </c>
      <c r="R13" s="2">
        <f t="shared" si="2"/>
        <v>0.5</v>
      </c>
      <c r="S13" s="2">
        <f t="shared" si="3"/>
        <v>0.25</v>
      </c>
      <c r="T13" s="3">
        <f t="shared" si="4"/>
        <v>0.18181818181818182</v>
      </c>
      <c r="U13" s="3">
        <f t="shared" si="5"/>
        <v>0.60465116279069764</v>
      </c>
      <c r="V13" s="2">
        <f t="shared" si="6"/>
        <v>0.23255813953488372</v>
      </c>
    </row>
    <row r="14" spans="1:22" ht="15.75" customHeight="1">
      <c r="A14" s="1" t="s">
        <v>30</v>
      </c>
      <c r="B14" s="1">
        <f>December!C28</f>
        <v>123</v>
      </c>
      <c r="C14" s="1">
        <f>December!D28</f>
        <v>31</v>
      </c>
      <c r="D14" s="1">
        <f>December!E28</f>
        <v>26</v>
      </c>
      <c r="E14" s="1">
        <f>December!F28</f>
        <v>16</v>
      </c>
      <c r="F14" s="1">
        <f>December!G28</f>
        <v>13</v>
      </c>
      <c r="G14" s="1">
        <f>December!H28</f>
        <v>12</v>
      </c>
      <c r="H14" s="1">
        <f>December!I28</f>
        <v>11</v>
      </c>
      <c r="I14" s="1">
        <f>December!J28</f>
        <v>8</v>
      </c>
      <c r="J14" s="1">
        <f>December!K28</f>
        <v>6</v>
      </c>
      <c r="K14" s="1">
        <f>December!L28</f>
        <v>25</v>
      </c>
      <c r="M14" s="2">
        <f t="shared" ref="M14:O14" si="27">F14/$K14</f>
        <v>0.52</v>
      </c>
      <c r="N14" s="2">
        <f t="shared" si="27"/>
        <v>0.48</v>
      </c>
      <c r="O14" s="2">
        <f t="shared" si="27"/>
        <v>0.44</v>
      </c>
      <c r="P14" s="2">
        <f t="shared" ref="P14:Q14" si="28">G14/$F14</f>
        <v>0.92307692307692313</v>
      </c>
      <c r="Q14" s="2">
        <f t="shared" si="28"/>
        <v>0.84615384615384615</v>
      </c>
      <c r="R14" s="2">
        <f t="shared" si="2"/>
        <v>0.61538461538461542</v>
      </c>
      <c r="S14" s="2">
        <f t="shared" si="3"/>
        <v>0.46153846153846156</v>
      </c>
      <c r="T14" s="3">
        <f t="shared" si="4"/>
        <v>0.21138211382113822</v>
      </c>
      <c r="U14" s="3">
        <f t="shared" si="5"/>
        <v>0.83870967741935487</v>
      </c>
      <c r="V14" s="2">
        <f t="shared" si="6"/>
        <v>0.5161290322580645</v>
      </c>
    </row>
    <row r="15" spans="1:22" ht="15.75" customHeight="1">
      <c r="A15" s="1" t="s">
        <v>31</v>
      </c>
      <c r="B15" s="1">
        <f t="shared" ref="B15:K15" si="29">SUM(B3:B14)</f>
        <v>1714</v>
      </c>
      <c r="C15" s="1">
        <f t="shared" si="29"/>
        <v>376</v>
      </c>
      <c r="D15" s="1">
        <f t="shared" si="29"/>
        <v>278</v>
      </c>
      <c r="E15" s="1">
        <f t="shared" si="29"/>
        <v>137</v>
      </c>
      <c r="F15" s="1">
        <f t="shared" si="29"/>
        <v>174</v>
      </c>
      <c r="G15" s="1">
        <f t="shared" si="29"/>
        <v>137</v>
      </c>
      <c r="H15" s="1">
        <f t="shared" si="29"/>
        <v>125</v>
      </c>
      <c r="I15" s="1">
        <f t="shared" si="29"/>
        <v>71</v>
      </c>
      <c r="J15" s="1">
        <f t="shared" si="29"/>
        <v>55</v>
      </c>
      <c r="K15" s="1">
        <f t="shared" si="29"/>
        <v>331</v>
      </c>
      <c r="M15" s="2">
        <f t="shared" ref="M15:O15" si="30">F15/$K15</f>
        <v>0.52567975830815705</v>
      </c>
      <c r="N15" s="2">
        <f t="shared" si="30"/>
        <v>0.41389728096676737</v>
      </c>
      <c r="O15" s="2">
        <f t="shared" si="30"/>
        <v>0.37764350453172207</v>
      </c>
      <c r="P15" s="2">
        <f t="shared" ref="P15:Q15" si="31">G15/$F15</f>
        <v>0.78735632183908044</v>
      </c>
      <c r="Q15" s="2">
        <f t="shared" si="31"/>
        <v>0.7183908045977011</v>
      </c>
      <c r="R15" s="2">
        <f t="shared" si="2"/>
        <v>0.40804597701149425</v>
      </c>
      <c r="S15" s="2">
        <f t="shared" si="3"/>
        <v>0.31609195402298851</v>
      </c>
      <c r="T15" s="3">
        <f t="shared" si="4"/>
        <v>0.16219369894982497</v>
      </c>
      <c r="U15" s="3">
        <f t="shared" si="5"/>
        <v>0.73936170212765961</v>
      </c>
      <c r="V15" s="2">
        <f t="shared" si="6"/>
        <v>0.36436170212765956</v>
      </c>
    </row>
    <row r="17" spans="2:22" ht="15.75" customHeight="1">
      <c r="B17" s="1"/>
      <c r="U17" s="4">
        <f t="shared" ref="U17:V17" si="32">STDEV(U3:U15)</f>
        <v>0.11552687550526064</v>
      </c>
      <c r="V17" s="4">
        <f t="shared" si="32"/>
        <v>0.15724795163134825</v>
      </c>
    </row>
  </sheetData>
  <mergeCells count="4">
    <mergeCell ref="B1:E1"/>
    <mergeCell ref="F1:K1"/>
    <mergeCell ref="M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7"/>
  <sheetViews>
    <sheetView workbookViewId="0">
      <selection activeCell="G3" sqref="G3:K33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43</v>
      </c>
      <c r="B3" s="1"/>
      <c r="C3" s="1">
        <v>7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44</v>
      </c>
      <c r="B4" s="1"/>
      <c r="C4" s="1">
        <v>4</v>
      </c>
      <c r="D4" s="1">
        <v>2</v>
      </c>
      <c r="E4" s="1">
        <v>0</v>
      </c>
      <c r="F4" s="1">
        <v>0</v>
      </c>
      <c r="G4" s="1" t="b">
        <f t="shared" ref="G4:G33" si="0">(D4&gt;0)</f>
        <v>1</v>
      </c>
      <c r="H4" s="1" t="b">
        <f t="shared" ref="H4:H33" si="1">(E4&gt;0)</f>
        <v>0</v>
      </c>
      <c r="I4" s="1" t="b">
        <f t="shared" ref="I4:I33" si="2">AND(G4,(D4=E4))</f>
        <v>0</v>
      </c>
      <c r="J4" s="1" t="b">
        <f t="shared" ref="J4:J33" si="3">(F4&gt;0)</f>
        <v>0</v>
      </c>
      <c r="K4" s="1" t="b">
        <f t="shared" ref="K4:K33" si="4">AND(I4,(E4=F4))</f>
        <v>0</v>
      </c>
    </row>
    <row r="5" spans="1:11" ht="15.75" customHeight="1">
      <c r="A5" s="1" t="s">
        <v>45</v>
      </c>
      <c r="B5" s="1"/>
      <c r="C5" s="1">
        <v>5</v>
      </c>
      <c r="D5" s="1">
        <v>3</v>
      </c>
      <c r="E5" s="1">
        <v>3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46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47</v>
      </c>
      <c r="B7" s="1"/>
      <c r="C7" s="1">
        <v>4</v>
      </c>
      <c r="D7" s="1">
        <v>1</v>
      </c>
      <c r="E7" s="1">
        <v>1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48</v>
      </c>
      <c r="B8" s="1"/>
      <c r="C8" s="1">
        <v>5</v>
      </c>
      <c r="D8" s="1">
        <v>1</v>
      </c>
      <c r="E8" s="1">
        <v>1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49</v>
      </c>
      <c r="B9" s="1"/>
      <c r="C9" s="1">
        <v>4</v>
      </c>
      <c r="D9" s="1">
        <v>2</v>
      </c>
      <c r="E9" s="1">
        <v>2</v>
      </c>
      <c r="F9" s="1">
        <v>2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1" t="s">
        <v>50</v>
      </c>
      <c r="B10" s="1"/>
      <c r="C10" s="1">
        <v>6</v>
      </c>
      <c r="D10" s="1">
        <v>2</v>
      </c>
      <c r="E10" s="1">
        <v>2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51</v>
      </c>
      <c r="B11" s="1"/>
      <c r="C11" s="1">
        <v>4</v>
      </c>
      <c r="D11" s="1">
        <v>2</v>
      </c>
      <c r="E11" s="1">
        <v>2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52</v>
      </c>
      <c r="B12" s="1"/>
      <c r="C12" s="1">
        <v>5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53</v>
      </c>
      <c r="B13" s="1"/>
      <c r="C13" s="1">
        <v>4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54</v>
      </c>
      <c r="B14" s="1"/>
      <c r="C14" s="1">
        <v>6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55</v>
      </c>
      <c r="B15" s="1"/>
      <c r="C15" s="1">
        <v>3</v>
      </c>
      <c r="D15" s="1">
        <v>1</v>
      </c>
      <c r="E15" s="1">
        <v>1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56</v>
      </c>
      <c r="B16" s="1"/>
      <c r="C16" s="1">
        <v>6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57</v>
      </c>
      <c r="B17" s="1"/>
      <c r="C17" s="1">
        <v>7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58</v>
      </c>
      <c r="B18" s="1"/>
      <c r="C18" s="1">
        <v>7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59</v>
      </c>
      <c r="B19" s="1"/>
      <c r="C19" s="1">
        <v>4</v>
      </c>
      <c r="D19" s="1">
        <v>1</v>
      </c>
      <c r="E19" s="1">
        <v>1</v>
      </c>
      <c r="F19" s="1">
        <v>1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2" ht="15.75" customHeight="1">
      <c r="A20" s="1" t="s">
        <v>60</v>
      </c>
      <c r="B20" s="1"/>
      <c r="C20" s="1">
        <v>8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61</v>
      </c>
      <c r="B21" s="1"/>
      <c r="C21" s="1">
        <v>6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62</v>
      </c>
      <c r="B22" s="1"/>
      <c r="C22" s="1">
        <v>6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6" t="s">
        <v>63</v>
      </c>
      <c r="B23" s="1"/>
      <c r="C23" s="1">
        <v>8</v>
      </c>
      <c r="D23" s="1">
        <v>5</v>
      </c>
      <c r="E23" s="1">
        <v>4</v>
      </c>
      <c r="F23" s="1">
        <v>0</v>
      </c>
      <c r="G23" s="1" t="b">
        <f t="shared" si="0"/>
        <v>1</v>
      </c>
      <c r="H23" s="1" t="b">
        <f t="shared" si="1"/>
        <v>1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6" t="s">
        <v>64</v>
      </c>
      <c r="B24" s="1"/>
      <c r="C24" s="1">
        <v>10</v>
      </c>
      <c r="D24" s="1">
        <v>9</v>
      </c>
      <c r="E24" s="1">
        <v>0</v>
      </c>
      <c r="F24" s="1">
        <v>0</v>
      </c>
      <c r="G24" s="1" t="b">
        <f t="shared" si="0"/>
        <v>1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65</v>
      </c>
      <c r="B25" s="1"/>
      <c r="C25" s="1">
        <v>6</v>
      </c>
      <c r="D25" s="1">
        <v>3</v>
      </c>
      <c r="E25" s="1">
        <v>3</v>
      </c>
      <c r="F25" s="1">
        <v>3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1</v>
      </c>
    </row>
    <row r="26" spans="1:12" ht="15.75" customHeight="1">
      <c r="A26" s="1" t="s">
        <v>66</v>
      </c>
      <c r="B26" s="1"/>
      <c r="C26" s="1">
        <v>6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67</v>
      </c>
      <c r="B27" s="1"/>
      <c r="C27" s="1">
        <v>6</v>
      </c>
      <c r="D27" s="1">
        <v>1</v>
      </c>
      <c r="E27" s="1">
        <v>1</v>
      </c>
      <c r="F27" s="1">
        <v>0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68</v>
      </c>
      <c r="B28" s="1"/>
      <c r="C28" s="1">
        <v>8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69</v>
      </c>
      <c r="B29" s="1"/>
      <c r="C29" s="1">
        <v>11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70</v>
      </c>
      <c r="B30" s="1"/>
      <c r="C30" s="1">
        <v>7</v>
      </c>
      <c r="D30" s="1">
        <v>3</v>
      </c>
      <c r="E30" s="1">
        <v>3</v>
      </c>
      <c r="F30" s="1">
        <v>0</v>
      </c>
      <c r="G30" s="1" t="b">
        <f t="shared" si="0"/>
        <v>1</v>
      </c>
      <c r="H30" s="1" t="b">
        <f t="shared" si="1"/>
        <v>1</v>
      </c>
      <c r="I30" s="1" t="b">
        <f t="shared" si="2"/>
        <v>1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1" t="s">
        <v>71</v>
      </c>
      <c r="B31" s="1"/>
      <c r="C31" s="1">
        <v>4</v>
      </c>
      <c r="D31" s="1">
        <v>1</v>
      </c>
      <c r="E31" s="1">
        <v>1</v>
      </c>
      <c r="F31" s="1">
        <v>0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0</v>
      </c>
      <c r="K31" s="1" t="b">
        <f t="shared" si="4"/>
        <v>0</v>
      </c>
    </row>
    <row r="32" spans="1:12" ht="15.75" customHeight="1">
      <c r="A32" s="1" t="s">
        <v>72</v>
      </c>
      <c r="B32" s="1"/>
      <c r="C32" s="1">
        <v>5</v>
      </c>
      <c r="D32" s="1">
        <v>0</v>
      </c>
      <c r="E32" s="1">
        <v>0</v>
      </c>
      <c r="F32" s="1">
        <v>0</v>
      </c>
      <c r="G32" s="1" t="b">
        <f t="shared" si="0"/>
        <v>0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  <c r="L32" s="1" t="s">
        <v>73</v>
      </c>
    </row>
    <row r="33" spans="1:12" ht="15.75" customHeight="1">
      <c r="A33" s="1" t="s">
        <v>74</v>
      </c>
      <c r="B33" s="1"/>
      <c r="C33" s="1">
        <v>4</v>
      </c>
      <c r="D33" s="1">
        <v>1</v>
      </c>
      <c r="E33" s="1">
        <v>0</v>
      </c>
      <c r="F33" s="1">
        <v>0</v>
      </c>
      <c r="G33" s="1" t="b">
        <f t="shared" si="0"/>
        <v>1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  <c r="L33" s="7"/>
    </row>
    <row r="34" spans="1:12" ht="15.75" customHeight="1">
      <c r="B34" s="1" t="s">
        <v>75</v>
      </c>
      <c r="C34" s="1">
        <f t="shared" ref="C34:F34" si="5">SUM(C2:C33)</f>
        <v>180</v>
      </c>
      <c r="D34" s="1">
        <f t="shared" si="5"/>
        <v>38</v>
      </c>
      <c r="E34" s="1">
        <f t="shared" si="5"/>
        <v>25</v>
      </c>
      <c r="F34" s="1">
        <f t="shared" si="5"/>
        <v>6</v>
      </c>
      <c r="G34" s="1">
        <f t="shared" ref="G34:K34" si="6">COUNTIF(G3:G32,"TRUE")</f>
        <v>15</v>
      </c>
      <c r="H34" s="1">
        <f t="shared" si="6"/>
        <v>13</v>
      </c>
      <c r="I34" s="1">
        <f t="shared" si="6"/>
        <v>12</v>
      </c>
      <c r="J34" s="1">
        <f t="shared" si="6"/>
        <v>3</v>
      </c>
      <c r="K34" s="1">
        <f t="shared" si="6"/>
        <v>3</v>
      </c>
      <c r="L34" s="7">
        <f>COUNTA(E3:E32)</f>
        <v>30</v>
      </c>
    </row>
    <row r="35" spans="1:12" ht="15.75" customHeight="1">
      <c r="E35" s="1" t="s">
        <v>3</v>
      </c>
      <c r="F35" s="2"/>
      <c r="G35" s="2">
        <f>G34/L34</f>
        <v>0.5</v>
      </c>
      <c r="H35" s="2">
        <f>H34/L34</f>
        <v>0.43333333333333335</v>
      </c>
      <c r="I35" s="2">
        <f>I34/L34</f>
        <v>0.4</v>
      </c>
      <c r="J35" s="2">
        <f>J34/L34</f>
        <v>0.1</v>
      </c>
      <c r="K35" s="2">
        <f>K34/L34</f>
        <v>0.1</v>
      </c>
    </row>
    <row r="36" spans="1:12" ht="15.75" customHeight="1">
      <c r="E36" s="1" t="s">
        <v>76</v>
      </c>
      <c r="F36" s="2"/>
      <c r="G36" s="2"/>
      <c r="H36" s="2">
        <f>H34/G34</f>
        <v>0.8666666666666667</v>
      </c>
      <c r="I36" s="2">
        <f>I34/G34</f>
        <v>0.8</v>
      </c>
      <c r="J36" s="2">
        <f>J34/G34</f>
        <v>0.2</v>
      </c>
      <c r="K36" s="2">
        <f>K34/G34</f>
        <v>0.2</v>
      </c>
    </row>
    <row r="37" spans="1:12" ht="15.75" customHeight="1">
      <c r="E37" s="1" t="s">
        <v>77</v>
      </c>
      <c r="F37" s="2"/>
      <c r="G37" s="2">
        <f>E34/C34</f>
        <v>0.1388888888888889</v>
      </c>
      <c r="H37" s="2">
        <f>E34/D34</f>
        <v>0.65789473684210531</v>
      </c>
    </row>
  </sheetData>
  <hyperlinks>
    <hyperlink ref="E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3"/>
  <sheetViews>
    <sheetView workbookViewId="0">
      <selection activeCell="G3" sqref="G3:K29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78</v>
      </c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79</v>
      </c>
      <c r="B3" s="1"/>
      <c r="C3" s="1">
        <v>6</v>
      </c>
      <c r="D3" s="1">
        <v>1</v>
      </c>
      <c r="E3" s="1">
        <v>1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80</v>
      </c>
      <c r="B4" s="1"/>
      <c r="C4" s="1">
        <v>5</v>
      </c>
      <c r="D4" s="1">
        <v>1</v>
      </c>
      <c r="E4" s="1">
        <v>1</v>
      </c>
      <c r="F4" s="1">
        <v>0</v>
      </c>
      <c r="G4" s="1" t="b">
        <f t="shared" ref="G4:G29" si="0">(D4&gt;0)</f>
        <v>1</v>
      </c>
      <c r="H4" s="1" t="b">
        <f t="shared" ref="H4:H29" si="1">(E4&gt;0)</f>
        <v>1</v>
      </c>
      <c r="I4" s="1" t="b">
        <f t="shared" ref="I4:I29" si="2">AND(G4,(D4=E4))</f>
        <v>1</v>
      </c>
      <c r="J4" s="1" t="b">
        <f t="shared" ref="J4:J29" si="3">(F4&gt;0)</f>
        <v>0</v>
      </c>
      <c r="K4" s="1" t="b">
        <f t="shared" ref="K4:K29" si="4">AND(I4,(E4=F4))</f>
        <v>0</v>
      </c>
    </row>
    <row r="5" spans="1:11" ht="15.75" customHeight="1">
      <c r="A5" s="1" t="s">
        <v>81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82</v>
      </c>
      <c r="B6" s="1"/>
      <c r="C6" s="1">
        <v>6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83</v>
      </c>
      <c r="B7" s="1"/>
      <c r="C7" s="1">
        <v>4</v>
      </c>
      <c r="D7" s="1">
        <v>1</v>
      </c>
      <c r="E7" s="1">
        <v>1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84</v>
      </c>
      <c r="B8" s="1"/>
      <c r="C8" s="1">
        <v>5</v>
      </c>
      <c r="D8" s="1">
        <v>3</v>
      </c>
      <c r="E8" s="1">
        <v>3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85</v>
      </c>
      <c r="B9" s="1"/>
      <c r="C9" s="1">
        <v>4</v>
      </c>
      <c r="D9" s="1">
        <v>1</v>
      </c>
      <c r="E9" s="1">
        <v>1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1" t="s">
        <v>86</v>
      </c>
      <c r="B10" s="1"/>
      <c r="C10" s="1">
        <v>8</v>
      </c>
      <c r="D10" s="1">
        <v>6</v>
      </c>
      <c r="E10" s="1">
        <v>5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87</v>
      </c>
      <c r="B11" s="1"/>
      <c r="C11" s="1">
        <v>4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88</v>
      </c>
      <c r="B12" s="1"/>
      <c r="C12" s="1">
        <v>4</v>
      </c>
      <c r="D12" s="1">
        <v>1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89</v>
      </c>
      <c r="B13" s="1"/>
      <c r="C13" s="1">
        <v>5</v>
      </c>
      <c r="D13" s="1">
        <v>5</v>
      </c>
      <c r="E13" s="1">
        <v>5</v>
      </c>
      <c r="F13" s="1">
        <v>5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1" t="s">
        <v>90</v>
      </c>
      <c r="B14" s="1"/>
      <c r="C14" s="1">
        <v>5</v>
      </c>
      <c r="D14" s="1">
        <v>3</v>
      </c>
      <c r="E14" s="1">
        <v>3</v>
      </c>
      <c r="F14" s="1">
        <v>3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1" t="s">
        <v>91</v>
      </c>
      <c r="B15" s="1"/>
      <c r="C15" s="1">
        <v>9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92</v>
      </c>
      <c r="B16" s="1"/>
      <c r="C16" s="1">
        <v>4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93</v>
      </c>
      <c r="B17" s="1"/>
      <c r="C17" s="1">
        <v>9</v>
      </c>
      <c r="D17" s="1">
        <v>3</v>
      </c>
      <c r="E17" s="1">
        <v>2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94</v>
      </c>
      <c r="B18" s="1"/>
      <c r="C18" s="1">
        <v>6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95</v>
      </c>
      <c r="B19" s="1"/>
      <c r="C19" s="1">
        <v>7</v>
      </c>
      <c r="D19" s="1">
        <v>3</v>
      </c>
      <c r="E19" s="1">
        <v>2</v>
      </c>
      <c r="F19" s="1">
        <v>1</v>
      </c>
      <c r="G19" s="1" t="b">
        <f t="shared" si="0"/>
        <v>1</v>
      </c>
      <c r="H19" s="1" t="b">
        <f t="shared" si="1"/>
        <v>1</v>
      </c>
      <c r="I19" s="1" t="b">
        <f t="shared" si="2"/>
        <v>0</v>
      </c>
      <c r="J19" s="1" t="b">
        <f t="shared" si="3"/>
        <v>1</v>
      </c>
      <c r="K19" s="1" t="b">
        <f t="shared" si="4"/>
        <v>0</v>
      </c>
    </row>
    <row r="20" spans="1:12" ht="15.75" customHeight="1">
      <c r="A20" s="1" t="s">
        <v>96</v>
      </c>
      <c r="B20" s="1"/>
      <c r="C20" s="1">
        <v>6</v>
      </c>
      <c r="D20" s="1">
        <v>4</v>
      </c>
      <c r="E20" s="1">
        <v>1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97</v>
      </c>
      <c r="B21" s="1"/>
      <c r="C21" s="1">
        <v>7</v>
      </c>
      <c r="D21" s="1">
        <v>2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98</v>
      </c>
      <c r="B22" s="1"/>
      <c r="C22" s="1">
        <v>4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99</v>
      </c>
      <c r="B23" s="1"/>
      <c r="C23" s="1">
        <v>7</v>
      </c>
      <c r="D23" s="1">
        <v>1</v>
      </c>
      <c r="E23" s="1">
        <v>1</v>
      </c>
      <c r="F23" s="1">
        <v>1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1</v>
      </c>
    </row>
    <row r="24" spans="1:12" ht="15.75" customHeight="1">
      <c r="A24" s="1" t="s">
        <v>100</v>
      </c>
      <c r="B24" s="1"/>
      <c r="C24" s="1">
        <v>6</v>
      </c>
      <c r="D24" s="1">
        <v>1</v>
      </c>
      <c r="E24" s="1">
        <v>1</v>
      </c>
      <c r="F24" s="1">
        <v>0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101</v>
      </c>
      <c r="B25" s="1"/>
      <c r="C25" s="1">
        <v>3</v>
      </c>
      <c r="D25" s="1">
        <v>3</v>
      </c>
      <c r="E25" s="1">
        <v>3</v>
      </c>
      <c r="F25" s="1">
        <v>3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1</v>
      </c>
    </row>
    <row r="26" spans="1:12" ht="15.75" customHeight="1">
      <c r="A26" s="1" t="s">
        <v>102</v>
      </c>
      <c r="B26" s="1"/>
      <c r="C26" s="1">
        <v>4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103</v>
      </c>
      <c r="B27" s="1"/>
      <c r="C27" s="1">
        <v>3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104</v>
      </c>
      <c r="B28" s="1"/>
      <c r="C28" s="1">
        <v>4</v>
      </c>
      <c r="D28" s="1">
        <v>3</v>
      </c>
      <c r="E28" s="1">
        <v>3</v>
      </c>
      <c r="F28" s="1">
        <v>0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105</v>
      </c>
      <c r="B29" s="1"/>
      <c r="C29" s="1">
        <v>2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B30" s="1" t="s">
        <v>75</v>
      </c>
      <c r="C30" s="1">
        <f t="shared" ref="C30:F30" si="5">SUM(C2:C29)</f>
        <v>141</v>
      </c>
      <c r="D30" s="1">
        <f t="shared" si="5"/>
        <v>42</v>
      </c>
      <c r="E30" s="1">
        <f t="shared" si="5"/>
        <v>33</v>
      </c>
      <c r="F30" s="1">
        <f t="shared" si="5"/>
        <v>14</v>
      </c>
      <c r="G30" s="1">
        <f t="shared" ref="G30:K30" si="6">COUNTIF(G3:G29,"TRUE")</f>
        <v>17</v>
      </c>
      <c r="H30" s="1">
        <f t="shared" si="6"/>
        <v>15</v>
      </c>
      <c r="I30" s="1">
        <f t="shared" si="6"/>
        <v>11</v>
      </c>
      <c r="J30" s="1">
        <f t="shared" si="6"/>
        <v>6</v>
      </c>
      <c r="K30" s="1">
        <f t="shared" si="6"/>
        <v>5</v>
      </c>
      <c r="L30" s="7">
        <f>COUNTA(E3:E29)</f>
        <v>27</v>
      </c>
    </row>
    <row r="31" spans="1:12" ht="15.75" customHeight="1">
      <c r="E31" s="1" t="s">
        <v>3</v>
      </c>
      <c r="F31" s="2"/>
      <c r="G31" s="2">
        <f>G30/L30</f>
        <v>0.62962962962962965</v>
      </c>
      <c r="H31" s="2">
        <f>H30/L30</f>
        <v>0.55555555555555558</v>
      </c>
      <c r="I31" s="2">
        <f>I30/L30</f>
        <v>0.40740740740740738</v>
      </c>
      <c r="J31" s="2">
        <f>J30/L30</f>
        <v>0.22222222222222221</v>
      </c>
      <c r="K31" s="2">
        <f>K30/L30</f>
        <v>0.18518518518518517</v>
      </c>
    </row>
    <row r="32" spans="1:12" ht="15.75" customHeight="1">
      <c r="E32" s="1" t="s">
        <v>76</v>
      </c>
      <c r="F32" s="2"/>
      <c r="G32" s="2"/>
      <c r="H32" s="2">
        <f>H30/G30</f>
        <v>0.88235294117647056</v>
      </c>
      <c r="I32" s="2">
        <f>I30/G30</f>
        <v>0.6470588235294118</v>
      </c>
      <c r="J32" s="2">
        <f>J30/G30</f>
        <v>0.35294117647058826</v>
      </c>
      <c r="K32" s="2">
        <f>K30/G30</f>
        <v>0.29411764705882354</v>
      </c>
    </row>
    <row r="33" spans="5:8" ht="15.75" customHeight="1">
      <c r="E33" s="1" t="s">
        <v>77</v>
      </c>
      <c r="F33" s="2"/>
      <c r="G33" s="2">
        <f>E30/C30</f>
        <v>0.23404255319148937</v>
      </c>
      <c r="H33" s="2">
        <f>E30/D30</f>
        <v>0.7857142857142857</v>
      </c>
    </row>
  </sheetData>
  <hyperlinks>
    <hyperlink ref="E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32"/>
  <sheetViews>
    <sheetView workbookViewId="0">
      <selection activeCell="G3" sqref="G3:K2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78</v>
      </c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106</v>
      </c>
      <c r="B3" s="1"/>
      <c r="C3" s="1">
        <v>2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107</v>
      </c>
      <c r="B4" s="1"/>
      <c r="C4" s="1">
        <v>4</v>
      </c>
      <c r="D4" s="1">
        <v>1</v>
      </c>
      <c r="E4" s="1">
        <v>1</v>
      </c>
      <c r="F4" s="1">
        <v>1</v>
      </c>
      <c r="G4" s="1" t="b">
        <f t="shared" ref="G4:G28" si="0">(D4&gt;0)</f>
        <v>1</v>
      </c>
      <c r="H4" s="1" t="b">
        <f t="shared" ref="H4:H28" si="1">(E4&gt;0)</f>
        <v>1</v>
      </c>
      <c r="I4" s="1" t="b">
        <f t="shared" ref="I4:I28" si="2">AND(G4,(D4=E4))</f>
        <v>1</v>
      </c>
      <c r="J4" s="1" t="b">
        <f t="shared" ref="J4:J28" si="3">(F4&gt;0)</f>
        <v>1</v>
      </c>
      <c r="K4" s="1" t="b">
        <f t="shared" ref="K4:K28" si="4">AND(I4,(E4=F4))</f>
        <v>1</v>
      </c>
    </row>
    <row r="5" spans="1:11" ht="15.75" customHeight="1">
      <c r="A5" s="1" t="s">
        <v>108</v>
      </c>
      <c r="B5" s="1"/>
      <c r="C5" s="1">
        <v>3</v>
      </c>
      <c r="D5" s="1">
        <v>3</v>
      </c>
      <c r="E5" s="1">
        <v>2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109</v>
      </c>
      <c r="B6" s="1"/>
      <c r="C6" s="1">
        <v>4</v>
      </c>
      <c r="D6" s="1">
        <v>2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110</v>
      </c>
      <c r="B7" s="1"/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111</v>
      </c>
      <c r="B8" s="1"/>
      <c r="C8" s="1">
        <v>4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112</v>
      </c>
      <c r="B9" s="1"/>
      <c r="C9" s="1">
        <v>5</v>
      </c>
      <c r="D9" s="1">
        <v>1</v>
      </c>
      <c r="E9" s="1">
        <v>1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113</v>
      </c>
      <c r="B10" s="1"/>
      <c r="C10" s="1">
        <v>5</v>
      </c>
      <c r="D10" s="1">
        <v>3</v>
      </c>
      <c r="E10" s="1">
        <v>3</v>
      </c>
      <c r="F10" s="1">
        <v>1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0</v>
      </c>
    </row>
    <row r="11" spans="1:11" ht="15.75" customHeight="1">
      <c r="A11" s="1" t="s">
        <v>114</v>
      </c>
      <c r="B11" s="1"/>
      <c r="C11" s="1">
        <v>4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115</v>
      </c>
      <c r="B12" s="1"/>
      <c r="C12" s="1">
        <v>6</v>
      </c>
      <c r="D12" s="1">
        <v>4</v>
      </c>
      <c r="E12" s="1">
        <v>4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116</v>
      </c>
      <c r="B13" s="1"/>
      <c r="C13" s="1">
        <v>6</v>
      </c>
      <c r="D13" s="1">
        <v>1</v>
      </c>
      <c r="E13" s="1">
        <v>1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1" t="s">
        <v>117</v>
      </c>
      <c r="B14" s="1"/>
      <c r="C14" s="1">
        <v>6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118</v>
      </c>
      <c r="B15" s="1"/>
      <c r="C15" s="1">
        <v>4</v>
      </c>
      <c r="D15" s="1">
        <v>3</v>
      </c>
      <c r="E15" s="1">
        <v>0</v>
      </c>
      <c r="F15" s="1">
        <v>0</v>
      </c>
      <c r="G15" s="1" t="b">
        <f t="shared" si="0"/>
        <v>1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119</v>
      </c>
      <c r="B16" s="1"/>
      <c r="C16" s="1">
        <v>5</v>
      </c>
      <c r="D16" s="1">
        <v>2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120</v>
      </c>
      <c r="B17" s="1"/>
      <c r="C17" s="1">
        <v>5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121</v>
      </c>
      <c r="B18" s="1"/>
      <c r="C18" s="1">
        <v>5</v>
      </c>
      <c r="D18" s="1">
        <v>2</v>
      </c>
      <c r="E18" s="1">
        <v>2</v>
      </c>
      <c r="F18" s="1">
        <v>2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A19" s="1" t="s">
        <v>122</v>
      </c>
      <c r="B19" s="1"/>
      <c r="C19" s="1">
        <v>5</v>
      </c>
      <c r="D19" s="1">
        <v>1</v>
      </c>
      <c r="E19" s="1">
        <v>1</v>
      </c>
      <c r="F19" s="1">
        <v>0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123</v>
      </c>
      <c r="B20" s="1"/>
      <c r="C20" s="1">
        <v>5</v>
      </c>
      <c r="D20" s="1">
        <v>3</v>
      </c>
      <c r="E20" s="1">
        <v>3</v>
      </c>
      <c r="F20" s="1">
        <v>3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2" ht="15.75" customHeight="1">
      <c r="A21" s="1" t="s">
        <v>124</v>
      </c>
      <c r="B21" s="1"/>
      <c r="C21" s="1">
        <v>6</v>
      </c>
      <c r="D21" s="1">
        <v>2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125</v>
      </c>
      <c r="B22" s="1"/>
      <c r="C22" s="1">
        <v>5</v>
      </c>
      <c r="D22" s="1">
        <v>4</v>
      </c>
      <c r="E22" s="1">
        <v>4</v>
      </c>
      <c r="F22" s="1">
        <v>4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2" ht="15.75" customHeight="1">
      <c r="A23" s="1" t="s">
        <v>126</v>
      </c>
      <c r="B23" s="1"/>
      <c r="C23" s="1">
        <v>6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127</v>
      </c>
      <c r="B24" s="1"/>
      <c r="C24" s="1">
        <v>7</v>
      </c>
      <c r="D24" s="1">
        <v>1</v>
      </c>
      <c r="E24" s="1">
        <v>1</v>
      </c>
      <c r="F24" s="1">
        <v>0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128</v>
      </c>
      <c r="B25" s="1"/>
      <c r="C25" s="1">
        <v>6</v>
      </c>
      <c r="D25" s="1">
        <v>2</v>
      </c>
      <c r="E25" s="1">
        <v>2</v>
      </c>
      <c r="F25" s="1">
        <v>0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129</v>
      </c>
      <c r="B26" s="1"/>
      <c r="C26" s="1">
        <v>2</v>
      </c>
      <c r="D26" s="1">
        <v>1</v>
      </c>
      <c r="E26" s="1">
        <v>1</v>
      </c>
      <c r="F26" s="1">
        <v>1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1</v>
      </c>
    </row>
    <row r="27" spans="1:12" ht="15.75" customHeight="1">
      <c r="A27" s="1" t="s">
        <v>130</v>
      </c>
      <c r="B27" s="1"/>
      <c r="C27" s="1">
        <v>2</v>
      </c>
      <c r="D27" s="1">
        <v>2</v>
      </c>
      <c r="E27" s="1">
        <v>0</v>
      </c>
      <c r="F27" s="1">
        <v>0</v>
      </c>
      <c r="G27" s="1" t="b">
        <f t="shared" si="0"/>
        <v>1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131</v>
      </c>
      <c r="B28" s="1"/>
      <c r="C28" s="1">
        <v>2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B29" s="1" t="s">
        <v>75</v>
      </c>
      <c r="C29" s="1">
        <f t="shared" ref="C29:F29" si="5">SUM(C2:C28)</f>
        <v>118</v>
      </c>
      <c r="D29" s="1">
        <f t="shared" si="5"/>
        <v>38</v>
      </c>
      <c r="E29" s="1">
        <f t="shared" si="5"/>
        <v>26</v>
      </c>
      <c r="F29" s="1">
        <f t="shared" si="5"/>
        <v>13</v>
      </c>
      <c r="G29" s="1">
        <f t="shared" ref="G29:K29" si="6">COUNTIF(G3:G28,"TRUE")</f>
        <v>18</v>
      </c>
      <c r="H29" s="1">
        <f t="shared" si="6"/>
        <v>13</v>
      </c>
      <c r="I29" s="1">
        <f t="shared" si="6"/>
        <v>12</v>
      </c>
      <c r="J29" s="1">
        <f t="shared" si="6"/>
        <v>7</v>
      </c>
      <c r="K29" s="1">
        <f t="shared" si="6"/>
        <v>6</v>
      </c>
      <c r="L29" s="7">
        <f>COUNTA(E3:E28)</f>
        <v>26</v>
      </c>
    </row>
    <row r="30" spans="1:12" ht="15.75" customHeight="1">
      <c r="E30" s="1" t="s">
        <v>3</v>
      </c>
      <c r="F30" s="2"/>
      <c r="G30" s="2">
        <f>G29/L29</f>
        <v>0.69230769230769229</v>
      </c>
      <c r="H30" s="2">
        <f>H29/L29</f>
        <v>0.5</v>
      </c>
      <c r="I30" s="2">
        <f>I29/L29</f>
        <v>0.46153846153846156</v>
      </c>
      <c r="J30" s="2">
        <f>J29/L29</f>
        <v>0.26923076923076922</v>
      </c>
      <c r="K30" s="2">
        <f>K29/L29</f>
        <v>0.23076923076923078</v>
      </c>
    </row>
    <row r="31" spans="1:12" ht="15.75" customHeight="1">
      <c r="E31" s="1" t="s">
        <v>76</v>
      </c>
      <c r="F31" s="2"/>
      <c r="G31" s="2"/>
      <c r="H31" s="2">
        <f>H29/G29</f>
        <v>0.72222222222222221</v>
      </c>
      <c r="I31" s="2">
        <f>I29/G29</f>
        <v>0.66666666666666663</v>
      </c>
      <c r="J31" s="2">
        <f>J29/G29</f>
        <v>0.3888888888888889</v>
      </c>
      <c r="K31" s="2">
        <f>K29/G29</f>
        <v>0.33333333333333331</v>
      </c>
    </row>
    <row r="32" spans="1:12" ht="15.75" customHeight="1">
      <c r="E32" s="1" t="s">
        <v>77</v>
      </c>
      <c r="F32" s="2"/>
      <c r="G32" s="2">
        <f>E29/C29</f>
        <v>0.22033898305084745</v>
      </c>
      <c r="H32" s="2">
        <f>E29/D29</f>
        <v>0.68421052631578949</v>
      </c>
    </row>
  </sheetData>
  <hyperlinks>
    <hyperlink ref="E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47"/>
  <sheetViews>
    <sheetView topLeftCell="A6" workbookViewId="0">
      <selection activeCell="G3" sqref="G3:K43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78</v>
      </c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132</v>
      </c>
      <c r="B3" s="1"/>
      <c r="C3" s="1">
        <v>0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133</v>
      </c>
      <c r="B4" s="1"/>
      <c r="C4" s="1">
        <v>10</v>
      </c>
      <c r="D4" s="1">
        <v>0</v>
      </c>
      <c r="E4" s="1">
        <v>0</v>
      </c>
      <c r="F4" s="1">
        <v>0</v>
      </c>
      <c r="G4" s="1" t="b">
        <f t="shared" ref="G4:G43" si="0">(D4&gt;0)</f>
        <v>0</v>
      </c>
      <c r="H4" s="1" t="b">
        <f t="shared" ref="H4:H43" si="1">(E4&gt;0)</f>
        <v>0</v>
      </c>
      <c r="I4" s="1" t="b">
        <f t="shared" ref="I4:I43" si="2">AND(G4,(D4=E4))</f>
        <v>0</v>
      </c>
      <c r="J4" s="1" t="b">
        <f t="shared" ref="J4:J43" si="3">(F4&gt;0)</f>
        <v>0</v>
      </c>
      <c r="K4" s="1" t="b">
        <f t="shared" ref="K4:K43" si="4">AND(I4,(E4=F4))</f>
        <v>0</v>
      </c>
    </row>
    <row r="5" spans="1:11" ht="15.75" customHeight="1">
      <c r="A5" s="1" t="s">
        <v>134</v>
      </c>
      <c r="B5" s="1"/>
      <c r="C5" s="1">
        <v>8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135</v>
      </c>
      <c r="B6" s="1"/>
      <c r="C6" s="1">
        <v>4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136</v>
      </c>
      <c r="B7" s="1"/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137</v>
      </c>
      <c r="B8" s="1"/>
      <c r="C8" s="1">
        <v>3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138</v>
      </c>
      <c r="B9" s="1"/>
      <c r="C9" s="1">
        <v>5</v>
      </c>
      <c r="D9" s="1">
        <v>1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139</v>
      </c>
      <c r="B10" s="1"/>
      <c r="C10" s="1">
        <v>10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140</v>
      </c>
      <c r="B11" s="1"/>
      <c r="C11" s="1">
        <v>7</v>
      </c>
      <c r="D11" s="1">
        <v>3</v>
      </c>
      <c r="E11" s="1">
        <v>3</v>
      </c>
      <c r="F11" s="1">
        <v>3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141</v>
      </c>
      <c r="B12" s="1"/>
      <c r="C12" s="1">
        <v>3</v>
      </c>
      <c r="D12" s="1">
        <v>1</v>
      </c>
      <c r="E12" s="1">
        <v>1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142</v>
      </c>
      <c r="B13" s="1"/>
      <c r="C13" s="1">
        <v>6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143</v>
      </c>
      <c r="B14" s="1"/>
      <c r="C14" s="1">
        <v>5</v>
      </c>
      <c r="D14" s="1">
        <v>1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144</v>
      </c>
      <c r="B15" s="1"/>
      <c r="C15" s="1">
        <v>8</v>
      </c>
      <c r="D15" s="1">
        <v>2</v>
      </c>
      <c r="E15" s="1">
        <v>2</v>
      </c>
      <c r="F15" s="1">
        <v>2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1" t="s">
        <v>145</v>
      </c>
      <c r="B16" s="1"/>
      <c r="C16" s="1">
        <v>6</v>
      </c>
      <c r="D16" s="1">
        <v>1</v>
      </c>
      <c r="E16" s="1">
        <v>1</v>
      </c>
      <c r="F16" s="1">
        <v>1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1" t="s">
        <v>146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147</v>
      </c>
      <c r="B18" s="1"/>
      <c r="C18" s="1">
        <v>9</v>
      </c>
      <c r="D18" s="1">
        <v>9</v>
      </c>
      <c r="E18" s="1">
        <v>5</v>
      </c>
      <c r="F18" s="1">
        <v>5</v>
      </c>
      <c r="G18" s="1" t="b">
        <f t="shared" si="0"/>
        <v>1</v>
      </c>
      <c r="H18" s="1" t="b">
        <f t="shared" si="1"/>
        <v>1</v>
      </c>
      <c r="I18" s="1" t="b">
        <f t="shared" si="2"/>
        <v>0</v>
      </c>
      <c r="J18" s="1" t="b">
        <f t="shared" si="3"/>
        <v>1</v>
      </c>
      <c r="K18" s="1" t="b">
        <f t="shared" si="4"/>
        <v>0</v>
      </c>
    </row>
    <row r="19" spans="1:12" ht="15.75" customHeight="1">
      <c r="A19" s="1" t="s">
        <v>148</v>
      </c>
      <c r="B19" s="1"/>
      <c r="C19" s="1">
        <v>5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149</v>
      </c>
      <c r="B20" s="1"/>
      <c r="C20" s="1">
        <v>3</v>
      </c>
      <c r="D20" s="1">
        <v>2</v>
      </c>
      <c r="E20" s="1">
        <v>2</v>
      </c>
      <c r="F20" s="1">
        <v>2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2" ht="15.75" customHeight="1">
      <c r="A21" s="1" t="s">
        <v>150</v>
      </c>
      <c r="B21" s="1"/>
      <c r="C21" s="1">
        <v>6</v>
      </c>
      <c r="D21" s="1">
        <v>1</v>
      </c>
      <c r="E21" s="1">
        <v>1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151</v>
      </c>
      <c r="B22" s="1"/>
      <c r="C22" s="1">
        <v>6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152</v>
      </c>
      <c r="B23" s="1"/>
      <c r="C23" s="1">
        <v>6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153</v>
      </c>
      <c r="B24" s="1"/>
      <c r="C24" s="1">
        <v>5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154</v>
      </c>
      <c r="B25" s="1"/>
      <c r="C25" s="1">
        <v>5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155</v>
      </c>
      <c r="B26" s="1"/>
      <c r="C26" s="1">
        <v>6</v>
      </c>
      <c r="D26" s="1">
        <v>6</v>
      </c>
      <c r="E26" s="1">
        <v>6</v>
      </c>
      <c r="F26" s="1">
        <v>6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1</v>
      </c>
    </row>
    <row r="27" spans="1:12" ht="15.75" customHeight="1">
      <c r="A27" s="1" t="s">
        <v>156</v>
      </c>
      <c r="B27" s="1"/>
      <c r="C27" s="1">
        <v>6</v>
      </c>
      <c r="D27" s="1">
        <v>2</v>
      </c>
      <c r="E27" s="1">
        <v>2</v>
      </c>
      <c r="F27" s="1">
        <v>2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1</v>
      </c>
      <c r="K27" s="1" t="b">
        <f t="shared" si="4"/>
        <v>1</v>
      </c>
    </row>
    <row r="28" spans="1:12" ht="15.75" customHeight="1">
      <c r="A28" s="6" t="s">
        <v>157</v>
      </c>
      <c r="B28" s="1"/>
      <c r="C28" s="1">
        <v>5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158</v>
      </c>
      <c r="B29" s="1"/>
      <c r="C29" s="1">
        <v>6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159</v>
      </c>
      <c r="B30" s="1"/>
      <c r="C30" s="1">
        <v>5</v>
      </c>
      <c r="D30" s="1">
        <v>1</v>
      </c>
      <c r="E30" s="1">
        <v>1</v>
      </c>
      <c r="F30" s="1">
        <v>0</v>
      </c>
      <c r="G30" s="1" t="b">
        <f t="shared" si="0"/>
        <v>1</v>
      </c>
      <c r="H30" s="1" t="b">
        <f t="shared" si="1"/>
        <v>1</v>
      </c>
      <c r="I30" s="1" t="b">
        <f t="shared" si="2"/>
        <v>1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1" t="s">
        <v>160</v>
      </c>
      <c r="B31" s="1"/>
      <c r="C31" s="1">
        <v>7</v>
      </c>
      <c r="D31" s="1">
        <v>4</v>
      </c>
      <c r="E31" s="1">
        <v>4</v>
      </c>
      <c r="F31" s="1">
        <v>4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1</v>
      </c>
      <c r="K31" s="1" t="b">
        <f t="shared" si="4"/>
        <v>1</v>
      </c>
    </row>
    <row r="32" spans="1:12" ht="15.75" customHeight="1">
      <c r="A32" s="1" t="s">
        <v>161</v>
      </c>
      <c r="B32" s="1"/>
      <c r="C32" s="1">
        <v>4</v>
      </c>
      <c r="D32" s="1">
        <v>0</v>
      </c>
      <c r="E32" s="1">
        <v>0</v>
      </c>
      <c r="F32" s="1">
        <v>0</v>
      </c>
      <c r="G32" s="1" t="b">
        <f t="shared" si="0"/>
        <v>0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  <c r="L32" s="1" t="s">
        <v>73</v>
      </c>
    </row>
    <row r="33" spans="1:12" ht="15.75" customHeight="1">
      <c r="A33" s="1" t="s">
        <v>162</v>
      </c>
      <c r="B33" s="1"/>
      <c r="C33" s="1">
        <v>5</v>
      </c>
      <c r="D33" s="1">
        <v>0</v>
      </c>
      <c r="E33" s="1">
        <v>0</v>
      </c>
      <c r="F33" s="1">
        <v>0</v>
      </c>
      <c r="G33" s="1" t="b">
        <f t="shared" si="0"/>
        <v>0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  <c r="L33" s="7"/>
    </row>
    <row r="34" spans="1:12" ht="15.75" customHeight="1">
      <c r="A34" s="1" t="s">
        <v>163</v>
      </c>
      <c r="B34" s="1"/>
      <c r="C34" s="1">
        <v>4</v>
      </c>
      <c r="D34" s="1">
        <v>0</v>
      </c>
      <c r="E34" s="1">
        <v>0</v>
      </c>
      <c r="F34" s="1">
        <v>0</v>
      </c>
      <c r="G34" s="1" t="b">
        <f t="shared" si="0"/>
        <v>0</v>
      </c>
      <c r="H34" s="1" t="b">
        <f t="shared" si="1"/>
        <v>0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  <c r="L34" s="7"/>
    </row>
    <row r="35" spans="1:12" ht="15.75" customHeight="1">
      <c r="A35" s="1" t="s">
        <v>164</v>
      </c>
      <c r="B35" s="1"/>
      <c r="C35" s="1">
        <v>6</v>
      </c>
      <c r="D35" s="1">
        <v>0</v>
      </c>
      <c r="E35" s="1">
        <v>0</v>
      </c>
      <c r="F35" s="1">
        <v>0</v>
      </c>
      <c r="G35" s="1" t="b">
        <f t="shared" si="0"/>
        <v>0</v>
      </c>
      <c r="H35" s="1" t="b">
        <f t="shared" si="1"/>
        <v>0</v>
      </c>
      <c r="I35" s="1" t="b">
        <f t="shared" si="2"/>
        <v>0</v>
      </c>
      <c r="J35" s="1" t="b">
        <f t="shared" si="3"/>
        <v>0</v>
      </c>
      <c r="K35" s="1" t="b">
        <f t="shared" si="4"/>
        <v>0</v>
      </c>
      <c r="L35" s="7"/>
    </row>
    <row r="36" spans="1:12" ht="15.75" customHeight="1">
      <c r="A36" s="1" t="s">
        <v>165</v>
      </c>
      <c r="B36" s="1"/>
      <c r="C36" s="1">
        <v>6</v>
      </c>
      <c r="D36" s="1">
        <v>0</v>
      </c>
      <c r="E36" s="1">
        <v>0</v>
      </c>
      <c r="F36" s="1">
        <v>0</v>
      </c>
      <c r="G36" s="1" t="b">
        <f t="shared" si="0"/>
        <v>0</v>
      </c>
      <c r="H36" s="1" t="b">
        <f t="shared" si="1"/>
        <v>0</v>
      </c>
      <c r="I36" s="1" t="b">
        <f t="shared" si="2"/>
        <v>0</v>
      </c>
      <c r="J36" s="1" t="b">
        <f t="shared" si="3"/>
        <v>0</v>
      </c>
      <c r="K36" s="1" t="b">
        <f t="shared" si="4"/>
        <v>0</v>
      </c>
      <c r="L36" s="7"/>
    </row>
    <row r="37" spans="1:12" ht="15.75" customHeight="1">
      <c r="A37" s="1" t="s">
        <v>166</v>
      </c>
      <c r="B37" s="1"/>
      <c r="C37" s="1">
        <v>7</v>
      </c>
      <c r="D37" s="1">
        <v>1</v>
      </c>
      <c r="E37" s="1">
        <v>0</v>
      </c>
      <c r="F37" s="1">
        <v>0</v>
      </c>
      <c r="G37" s="1" t="b">
        <f t="shared" si="0"/>
        <v>1</v>
      </c>
      <c r="H37" s="1" t="b">
        <f t="shared" si="1"/>
        <v>0</v>
      </c>
      <c r="I37" s="1" t="b">
        <f t="shared" si="2"/>
        <v>0</v>
      </c>
      <c r="J37" s="1" t="b">
        <f t="shared" si="3"/>
        <v>0</v>
      </c>
      <c r="K37" s="1" t="b">
        <f t="shared" si="4"/>
        <v>0</v>
      </c>
      <c r="L37" s="7"/>
    </row>
    <row r="38" spans="1:12" ht="15.75" customHeight="1">
      <c r="A38" s="1" t="s">
        <v>167</v>
      </c>
      <c r="B38" s="1"/>
      <c r="C38" s="1">
        <v>5</v>
      </c>
      <c r="D38" s="1">
        <v>0</v>
      </c>
      <c r="E38" s="1">
        <v>0</v>
      </c>
      <c r="F38" s="1">
        <v>0</v>
      </c>
      <c r="G38" s="1" t="b">
        <f t="shared" si="0"/>
        <v>0</v>
      </c>
      <c r="H38" s="1" t="b">
        <f t="shared" si="1"/>
        <v>0</v>
      </c>
      <c r="I38" s="1" t="b">
        <f t="shared" si="2"/>
        <v>0</v>
      </c>
      <c r="J38" s="1" t="b">
        <f t="shared" si="3"/>
        <v>0</v>
      </c>
      <c r="K38" s="1" t="b">
        <f t="shared" si="4"/>
        <v>0</v>
      </c>
      <c r="L38" s="7"/>
    </row>
    <row r="39" spans="1:12" ht="15.75" customHeight="1">
      <c r="A39" s="1" t="s">
        <v>168</v>
      </c>
      <c r="B39" s="1"/>
      <c r="C39" s="1">
        <v>5</v>
      </c>
      <c r="D39" s="1">
        <v>0</v>
      </c>
      <c r="E39" s="1">
        <v>0</v>
      </c>
      <c r="F39" s="1">
        <v>0</v>
      </c>
      <c r="G39" s="1" t="b">
        <f t="shared" si="0"/>
        <v>0</v>
      </c>
      <c r="H39" s="1" t="b">
        <f t="shared" si="1"/>
        <v>0</v>
      </c>
      <c r="I39" s="1" t="b">
        <f t="shared" si="2"/>
        <v>0</v>
      </c>
      <c r="J39" s="1" t="b">
        <f t="shared" si="3"/>
        <v>0</v>
      </c>
      <c r="K39" s="1" t="b">
        <f t="shared" si="4"/>
        <v>0</v>
      </c>
      <c r="L39" s="7"/>
    </row>
    <row r="40" spans="1:12" ht="15.75" customHeight="1">
      <c r="A40" s="1" t="s">
        <v>169</v>
      </c>
      <c r="B40" s="1"/>
      <c r="C40" s="1">
        <v>6</v>
      </c>
      <c r="D40" s="1">
        <v>0</v>
      </c>
      <c r="E40" s="1">
        <v>0</v>
      </c>
      <c r="F40" s="1">
        <v>0</v>
      </c>
      <c r="G40" s="1" t="b">
        <f t="shared" si="0"/>
        <v>0</v>
      </c>
      <c r="H40" s="1" t="b">
        <f t="shared" si="1"/>
        <v>0</v>
      </c>
      <c r="I40" s="1" t="b">
        <f t="shared" si="2"/>
        <v>0</v>
      </c>
      <c r="J40" s="1" t="b">
        <f t="shared" si="3"/>
        <v>0</v>
      </c>
      <c r="K40" s="1" t="b">
        <f t="shared" si="4"/>
        <v>0</v>
      </c>
      <c r="L40" s="7"/>
    </row>
    <row r="41" spans="1:12" ht="15.75" customHeight="1">
      <c r="A41" s="1" t="s">
        <v>170</v>
      </c>
      <c r="B41" s="1"/>
      <c r="C41" s="1">
        <v>2</v>
      </c>
      <c r="D41" s="1">
        <v>0</v>
      </c>
      <c r="E41" s="1">
        <v>0</v>
      </c>
      <c r="F41" s="1">
        <v>0</v>
      </c>
      <c r="G41" s="1" t="b">
        <f t="shared" si="0"/>
        <v>0</v>
      </c>
      <c r="H41" s="1" t="b">
        <f t="shared" si="1"/>
        <v>0</v>
      </c>
      <c r="I41" s="1" t="b">
        <f t="shared" si="2"/>
        <v>0</v>
      </c>
      <c r="J41" s="1" t="b">
        <f t="shared" si="3"/>
        <v>0</v>
      </c>
      <c r="K41" s="1" t="b">
        <f t="shared" si="4"/>
        <v>0</v>
      </c>
      <c r="L41" s="7"/>
    </row>
    <row r="42" spans="1:12" ht="15.75" customHeight="1">
      <c r="A42" s="1" t="s">
        <v>171</v>
      </c>
      <c r="B42" s="1"/>
      <c r="C42" s="1">
        <v>4</v>
      </c>
      <c r="D42" s="1">
        <v>1</v>
      </c>
      <c r="E42" s="1">
        <v>1</v>
      </c>
      <c r="F42" s="1">
        <v>1</v>
      </c>
      <c r="G42" s="1" t="b">
        <f t="shared" si="0"/>
        <v>1</v>
      </c>
      <c r="H42" s="1" t="b">
        <f t="shared" si="1"/>
        <v>1</v>
      </c>
      <c r="I42" s="1" t="b">
        <f t="shared" si="2"/>
        <v>1</v>
      </c>
      <c r="J42" s="1" t="b">
        <f t="shared" si="3"/>
        <v>1</v>
      </c>
      <c r="K42" s="1" t="b">
        <f t="shared" si="4"/>
        <v>1</v>
      </c>
      <c r="L42" s="7"/>
    </row>
    <row r="43" spans="1:12" ht="15.75" customHeight="1">
      <c r="A43" s="1" t="s">
        <v>172</v>
      </c>
      <c r="B43" s="1"/>
      <c r="C43" s="1">
        <v>2</v>
      </c>
      <c r="D43" s="1">
        <v>0</v>
      </c>
      <c r="E43" s="1">
        <v>0</v>
      </c>
      <c r="F43" s="1">
        <v>0</v>
      </c>
      <c r="G43" s="1" t="b">
        <f t="shared" si="0"/>
        <v>0</v>
      </c>
      <c r="H43" s="1" t="b">
        <f t="shared" si="1"/>
        <v>0</v>
      </c>
      <c r="I43" s="1" t="b">
        <f t="shared" si="2"/>
        <v>0</v>
      </c>
      <c r="J43" s="1" t="b">
        <f t="shared" si="3"/>
        <v>0</v>
      </c>
      <c r="K43" s="1" t="b">
        <f t="shared" si="4"/>
        <v>0</v>
      </c>
      <c r="L43" s="7"/>
    </row>
    <row r="44" spans="1:12" ht="15.75" customHeight="1">
      <c r="B44" s="1" t="s">
        <v>75</v>
      </c>
      <c r="C44" s="1">
        <f t="shared" ref="C44:F44" si="5">SUM(C2:C32)</f>
        <v>169</v>
      </c>
      <c r="D44" s="1">
        <f t="shared" si="5"/>
        <v>35</v>
      </c>
      <c r="E44" s="1">
        <f t="shared" si="5"/>
        <v>29</v>
      </c>
      <c r="F44" s="1">
        <f t="shared" si="5"/>
        <v>26</v>
      </c>
      <c r="G44" s="1">
        <f t="shared" ref="G44:K44" si="6">COUNTIF(G3:G32,"TRUE")</f>
        <v>14</v>
      </c>
      <c r="H44" s="1">
        <f t="shared" si="6"/>
        <v>12</v>
      </c>
      <c r="I44" s="1">
        <f t="shared" si="6"/>
        <v>11</v>
      </c>
      <c r="J44" s="1">
        <f t="shared" si="6"/>
        <v>9</v>
      </c>
      <c r="K44" s="1">
        <f t="shared" si="6"/>
        <v>8</v>
      </c>
      <c r="L44" s="7">
        <f>COUNTA(E3:E32)</f>
        <v>30</v>
      </c>
    </row>
    <row r="45" spans="1:12" ht="15.75" customHeight="1">
      <c r="E45" s="1" t="s">
        <v>3</v>
      </c>
      <c r="F45" s="2"/>
      <c r="G45" s="2">
        <f>G44/L44</f>
        <v>0.46666666666666667</v>
      </c>
      <c r="H45" s="2">
        <f>H44/L44</f>
        <v>0.4</v>
      </c>
      <c r="I45" s="2">
        <f>I44/L44</f>
        <v>0.36666666666666664</v>
      </c>
      <c r="J45" s="2">
        <f>J44/L44</f>
        <v>0.3</v>
      </c>
      <c r="K45" s="2">
        <f>K44/L44</f>
        <v>0.26666666666666666</v>
      </c>
    </row>
    <row r="46" spans="1:12" ht="15.75" customHeight="1">
      <c r="E46" s="1" t="s">
        <v>76</v>
      </c>
      <c r="F46" s="2"/>
      <c r="G46" s="2"/>
      <c r="H46" s="2">
        <f>H44/G44</f>
        <v>0.8571428571428571</v>
      </c>
      <c r="I46" s="2">
        <f>I44/G44</f>
        <v>0.7857142857142857</v>
      </c>
      <c r="J46" s="2">
        <f>J44/G44</f>
        <v>0.6428571428571429</v>
      </c>
      <c r="K46" s="2">
        <f>K44/G44</f>
        <v>0.5714285714285714</v>
      </c>
    </row>
    <row r="47" spans="1:12" ht="15.75" customHeight="1">
      <c r="E47" s="1" t="s">
        <v>77</v>
      </c>
      <c r="F47" s="2"/>
      <c r="G47" s="2">
        <f>E44/C44</f>
        <v>0.17159763313609466</v>
      </c>
      <c r="H47" s="2">
        <f>E44/D44</f>
        <v>0.82857142857142863</v>
      </c>
    </row>
  </sheetData>
  <hyperlinks>
    <hyperlink ref="E1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3"/>
  <sheetViews>
    <sheetView workbookViewId="0">
      <selection activeCell="G3" sqref="G3:K19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78</v>
      </c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173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174</v>
      </c>
      <c r="B4" s="1"/>
      <c r="C4" s="1">
        <v>3</v>
      </c>
      <c r="D4" s="1">
        <v>0</v>
      </c>
      <c r="E4" s="1">
        <v>0</v>
      </c>
      <c r="F4" s="1">
        <v>0</v>
      </c>
      <c r="G4" s="1" t="b">
        <f t="shared" ref="G4:G19" si="0">(D4&gt;0)</f>
        <v>0</v>
      </c>
      <c r="H4" s="1" t="b">
        <f t="shared" ref="H4:H19" si="1">(E4&gt;0)</f>
        <v>0</v>
      </c>
      <c r="I4" s="1" t="b">
        <f t="shared" ref="I4:I19" si="2">AND(G4,(D4=E4))</f>
        <v>0</v>
      </c>
      <c r="J4" s="1" t="b">
        <f t="shared" ref="J4:J19" si="3">(F4&gt;0)</f>
        <v>0</v>
      </c>
      <c r="K4" s="1" t="b">
        <f t="shared" ref="K4:K19" si="4">AND(I4,(E4=F4))</f>
        <v>0</v>
      </c>
    </row>
    <row r="5" spans="1:11" ht="15.75" customHeight="1">
      <c r="A5" s="1" t="s">
        <v>175</v>
      </c>
      <c r="B5" s="1"/>
      <c r="C5" s="1">
        <v>3</v>
      </c>
      <c r="D5" s="1">
        <v>2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176</v>
      </c>
      <c r="B6" s="1"/>
      <c r="C6" s="1">
        <v>4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177</v>
      </c>
      <c r="B7" s="1"/>
      <c r="C7" s="1">
        <v>6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178</v>
      </c>
      <c r="B8" s="1"/>
      <c r="C8" s="1">
        <v>6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179</v>
      </c>
      <c r="B9" s="1"/>
      <c r="C9" s="1">
        <v>6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180</v>
      </c>
      <c r="B10" s="1"/>
      <c r="C10" s="1">
        <v>6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181</v>
      </c>
      <c r="B11" s="1"/>
      <c r="C11" s="1">
        <v>5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182</v>
      </c>
      <c r="B12" s="1"/>
      <c r="C12" s="1">
        <v>6</v>
      </c>
      <c r="D12" s="1">
        <v>3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183</v>
      </c>
      <c r="B13" s="1"/>
      <c r="C13" s="1">
        <v>4</v>
      </c>
      <c r="D13" s="1">
        <v>1</v>
      </c>
      <c r="E13" s="1">
        <v>1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1" t="s">
        <v>184</v>
      </c>
      <c r="B14" s="1"/>
      <c r="C14" s="1">
        <v>5</v>
      </c>
      <c r="D14" s="1">
        <v>2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185</v>
      </c>
      <c r="B15" s="1"/>
      <c r="C15" s="1">
        <v>5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186</v>
      </c>
      <c r="B16" s="1"/>
      <c r="C16" s="1">
        <v>7</v>
      </c>
      <c r="D16" s="1">
        <v>5</v>
      </c>
      <c r="E16" s="1">
        <v>5</v>
      </c>
      <c r="F16" s="1">
        <v>4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0</v>
      </c>
    </row>
    <row r="17" spans="1:12" ht="15.75" customHeight="1">
      <c r="A17" s="1" t="s">
        <v>187</v>
      </c>
      <c r="B17" s="1"/>
      <c r="C17" s="1">
        <v>7</v>
      </c>
      <c r="D17" s="1">
        <v>1</v>
      </c>
      <c r="E17" s="1">
        <v>1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2" ht="15.75" customHeight="1">
      <c r="A18" s="1" t="s">
        <v>188</v>
      </c>
      <c r="B18" s="1"/>
      <c r="C18" s="1">
        <v>2</v>
      </c>
      <c r="D18" s="1">
        <v>1</v>
      </c>
      <c r="E18" s="1">
        <v>0</v>
      </c>
      <c r="F18" s="1">
        <v>0</v>
      </c>
      <c r="G18" s="1" t="b">
        <f t="shared" si="0"/>
        <v>1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189</v>
      </c>
      <c r="B19" s="1"/>
      <c r="C19" s="1">
        <v>2</v>
      </c>
      <c r="D19" s="1">
        <v>1</v>
      </c>
      <c r="E19" s="1">
        <v>1</v>
      </c>
      <c r="F19" s="1">
        <v>1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2" ht="15.75" customHeight="1">
      <c r="B20" s="1" t="s">
        <v>75</v>
      </c>
      <c r="C20" s="1">
        <f t="shared" ref="C20:F20" si="5">SUM(C2:C19)</f>
        <v>81</v>
      </c>
      <c r="D20" s="1">
        <f t="shared" si="5"/>
        <v>17</v>
      </c>
      <c r="E20" s="1">
        <f t="shared" si="5"/>
        <v>10</v>
      </c>
      <c r="F20" s="1">
        <f t="shared" si="5"/>
        <v>8</v>
      </c>
      <c r="G20" s="1">
        <f t="shared" ref="G20:K20" si="6">COUNTIF(G3:G19,"TRUE")</f>
        <v>9</v>
      </c>
      <c r="H20" s="1">
        <f t="shared" si="6"/>
        <v>6</v>
      </c>
      <c r="I20" s="1">
        <f t="shared" si="6"/>
        <v>5</v>
      </c>
      <c r="J20" s="1">
        <f t="shared" si="6"/>
        <v>5</v>
      </c>
      <c r="K20" s="1">
        <f t="shared" si="6"/>
        <v>4</v>
      </c>
      <c r="L20" s="7">
        <f>COUNTA(E3:E19)</f>
        <v>17</v>
      </c>
    </row>
    <row r="21" spans="1:12" ht="15.75" customHeight="1">
      <c r="E21" s="1" t="s">
        <v>3</v>
      </c>
      <c r="F21" s="2"/>
      <c r="G21" s="2">
        <f>G20/L20</f>
        <v>0.52941176470588236</v>
      </c>
      <c r="H21" s="2">
        <f>H20/L20</f>
        <v>0.35294117647058826</v>
      </c>
      <c r="I21" s="2">
        <f>I20/L20</f>
        <v>0.29411764705882354</v>
      </c>
      <c r="J21" s="2">
        <f>J20/L20</f>
        <v>0.29411764705882354</v>
      </c>
      <c r="K21" s="2">
        <f>K20/L20</f>
        <v>0.23529411764705882</v>
      </c>
    </row>
    <row r="22" spans="1:12" ht="15.75" customHeight="1">
      <c r="E22" s="1" t="s">
        <v>76</v>
      </c>
      <c r="F22" s="2"/>
      <c r="G22" s="2"/>
      <c r="H22" s="2">
        <f>H20/G20</f>
        <v>0.66666666666666663</v>
      </c>
      <c r="I22" s="2">
        <f>I20/G20</f>
        <v>0.55555555555555558</v>
      </c>
      <c r="J22" s="2">
        <f>J20/G20</f>
        <v>0.55555555555555558</v>
      </c>
      <c r="K22" s="2">
        <f>K20/G20</f>
        <v>0.44444444444444442</v>
      </c>
    </row>
    <row r="23" spans="1:12" ht="15.75" customHeight="1">
      <c r="E23" s="1" t="s">
        <v>77</v>
      </c>
      <c r="F23" s="2"/>
      <c r="G23" s="2">
        <f>E20/C20</f>
        <v>0.12345679012345678</v>
      </c>
      <c r="H23" s="2">
        <f>E20/D20</f>
        <v>0.58823529411764708</v>
      </c>
    </row>
  </sheetData>
  <hyperlinks>
    <hyperlink ref="E1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34"/>
  <sheetViews>
    <sheetView workbookViewId="0">
      <selection activeCell="G3" sqref="G3:K30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78</v>
      </c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190</v>
      </c>
      <c r="B3" s="1"/>
      <c r="C3" s="1">
        <v>4</v>
      </c>
      <c r="D3" s="1">
        <v>2</v>
      </c>
      <c r="E3" s="1">
        <v>0</v>
      </c>
      <c r="F3" s="1">
        <v>0</v>
      </c>
      <c r="G3" s="1" t="b">
        <f>(D3&gt;0)</f>
        <v>1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191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30" si="0">(D4&gt;0)</f>
        <v>0</v>
      </c>
      <c r="H4" s="1" t="b">
        <f t="shared" ref="H4:H30" si="1">(E4&gt;0)</f>
        <v>0</v>
      </c>
      <c r="I4" s="1" t="b">
        <f t="shared" ref="I4:I30" si="2">AND(G4,(D4=E4))</f>
        <v>0</v>
      </c>
      <c r="J4" s="1" t="b">
        <f t="shared" ref="J4:J30" si="3">(F4&gt;0)</f>
        <v>0</v>
      </c>
      <c r="K4" s="1" t="b">
        <f t="shared" ref="K4:K30" si="4">AND(I4,(E4=F4))</f>
        <v>0</v>
      </c>
    </row>
    <row r="5" spans="1:11" ht="15.75" customHeight="1">
      <c r="A5" s="1" t="s">
        <v>192</v>
      </c>
      <c r="B5" s="1"/>
      <c r="C5" s="1">
        <v>4</v>
      </c>
      <c r="D5" s="1">
        <v>1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193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194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195</v>
      </c>
      <c r="B8" s="1"/>
      <c r="C8" s="1">
        <v>7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196</v>
      </c>
      <c r="B9" s="1"/>
      <c r="C9" s="1">
        <v>5</v>
      </c>
      <c r="D9" s="1">
        <v>3</v>
      </c>
      <c r="E9" s="1">
        <v>3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197</v>
      </c>
      <c r="B10" s="1"/>
      <c r="C10" s="1">
        <v>5</v>
      </c>
      <c r="D10" s="1">
        <v>2</v>
      </c>
      <c r="E10" s="1">
        <v>2</v>
      </c>
      <c r="F10" s="1">
        <v>2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1" t="s">
        <v>198</v>
      </c>
      <c r="B11" s="1"/>
      <c r="C11" s="1">
        <v>6</v>
      </c>
      <c r="D11" s="1">
        <v>3</v>
      </c>
      <c r="E11" s="1">
        <v>3</v>
      </c>
      <c r="F11" s="1">
        <v>3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199</v>
      </c>
      <c r="B12" s="1"/>
      <c r="C12" s="1">
        <v>4</v>
      </c>
      <c r="D12" s="1">
        <v>1</v>
      </c>
      <c r="E12" s="1">
        <v>1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200</v>
      </c>
      <c r="B13" s="1"/>
      <c r="C13" s="1">
        <v>5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201</v>
      </c>
      <c r="B14" s="1"/>
      <c r="C14" s="1">
        <v>7</v>
      </c>
      <c r="D14" s="1">
        <v>1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202</v>
      </c>
      <c r="B15" s="1"/>
      <c r="C15" s="1">
        <v>7</v>
      </c>
      <c r="D15" s="1">
        <v>3</v>
      </c>
      <c r="E15" s="1">
        <v>0</v>
      </c>
      <c r="F15" s="1">
        <v>0</v>
      </c>
      <c r="G15" s="1" t="b">
        <f t="shared" si="0"/>
        <v>1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203</v>
      </c>
      <c r="B16" s="1"/>
      <c r="C16" s="1">
        <v>7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204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205</v>
      </c>
      <c r="B18" s="1"/>
      <c r="C18" s="1">
        <v>3</v>
      </c>
      <c r="D18" s="1">
        <v>2</v>
      </c>
      <c r="E18" s="1">
        <v>0</v>
      </c>
      <c r="F18" s="1">
        <v>0</v>
      </c>
      <c r="G18" s="1" t="b">
        <f t="shared" si="0"/>
        <v>1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206</v>
      </c>
      <c r="B19" s="1"/>
      <c r="C19" s="1">
        <v>8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207</v>
      </c>
      <c r="B20" s="1"/>
      <c r="C20" s="1">
        <v>5</v>
      </c>
      <c r="D20" s="1">
        <v>2</v>
      </c>
      <c r="E20" s="1">
        <v>2</v>
      </c>
      <c r="F20" s="1">
        <v>1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0</v>
      </c>
    </row>
    <row r="21" spans="1:12" ht="15.75" customHeight="1">
      <c r="A21" s="1" t="s">
        <v>208</v>
      </c>
      <c r="B21" s="1"/>
      <c r="C21" s="1">
        <v>6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209</v>
      </c>
      <c r="B22" s="1"/>
      <c r="C22" s="1">
        <v>6</v>
      </c>
      <c r="D22" s="1">
        <v>2</v>
      </c>
      <c r="E22" s="1">
        <v>2</v>
      </c>
      <c r="F22" s="1">
        <v>1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0</v>
      </c>
    </row>
    <row r="23" spans="1:12" ht="15.75" customHeight="1">
      <c r="A23" s="1" t="s">
        <v>210</v>
      </c>
      <c r="B23" s="1"/>
      <c r="C23" s="1">
        <v>6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211</v>
      </c>
      <c r="B24" s="1"/>
      <c r="C24" s="1">
        <v>3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212</v>
      </c>
      <c r="B25" s="1"/>
      <c r="C25" s="1">
        <v>7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213</v>
      </c>
      <c r="B26" s="1"/>
      <c r="C26" s="1">
        <v>5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214</v>
      </c>
      <c r="B27" s="1"/>
      <c r="C27" s="1">
        <v>6</v>
      </c>
      <c r="D27" s="1">
        <v>1</v>
      </c>
      <c r="E27" s="1">
        <v>0</v>
      </c>
      <c r="F27" s="1">
        <v>0</v>
      </c>
      <c r="G27" s="1" t="b">
        <f t="shared" si="0"/>
        <v>1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215</v>
      </c>
      <c r="B28" s="1"/>
      <c r="C28" s="1">
        <v>7</v>
      </c>
      <c r="D28" s="1">
        <v>1</v>
      </c>
      <c r="E28" s="1">
        <v>0</v>
      </c>
      <c r="F28" s="1">
        <v>0</v>
      </c>
      <c r="G28" s="1" t="b">
        <f t="shared" si="0"/>
        <v>1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216</v>
      </c>
      <c r="B29" s="1"/>
      <c r="C29" s="1">
        <v>5</v>
      </c>
      <c r="D29" s="1">
        <v>1</v>
      </c>
      <c r="E29" s="1">
        <v>1</v>
      </c>
      <c r="F29" s="1">
        <v>0</v>
      </c>
      <c r="G29" s="1" t="b">
        <f t="shared" si="0"/>
        <v>1</v>
      </c>
      <c r="H29" s="1" t="b">
        <f t="shared" si="1"/>
        <v>1</v>
      </c>
      <c r="I29" s="1" t="b">
        <f t="shared" si="2"/>
        <v>1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217</v>
      </c>
      <c r="B30" s="1"/>
      <c r="C30" s="1">
        <v>2</v>
      </c>
      <c r="D30" s="1">
        <v>1</v>
      </c>
      <c r="E30" s="1">
        <v>1</v>
      </c>
      <c r="F30" s="1">
        <v>1</v>
      </c>
      <c r="G30" s="1" t="b">
        <f t="shared" si="0"/>
        <v>1</v>
      </c>
      <c r="H30" s="1" t="b">
        <f t="shared" si="1"/>
        <v>1</v>
      </c>
      <c r="I30" s="1" t="b">
        <f t="shared" si="2"/>
        <v>1</v>
      </c>
      <c r="J30" s="1" t="b">
        <f t="shared" si="3"/>
        <v>1</v>
      </c>
      <c r="K30" s="1" t="b">
        <f t="shared" si="4"/>
        <v>1</v>
      </c>
    </row>
    <row r="31" spans="1:12" ht="15.75" customHeight="1">
      <c r="B31" s="1" t="s">
        <v>75</v>
      </c>
      <c r="C31" s="1">
        <f t="shared" ref="C31:F31" si="5">SUM(C2:C30)</f>
        <v>150</v>
      </c>
      <c r="D31" s="1">
        <f t="shared" si="5"/>
        <v>26</v>
      </c>
      <c r="E31" s="1">
        <f t="shared" si="5"/>
        <v>15</v>
      </c>
      <c r="F31" s="1">
        <f t="shared" si="5"/>
        <v>8</v>
      </c>
      <c r="G31" s="1">
        <f t="shared" ref="G31:K31" si="6">COUNTIF(G3:G30,"TRUE")</f>
        <v>15</v>
      </c>
      <c r="H31" s="1">
        <f t="shared" si="6"/>
        <v>8</v>
      </c>
      <c r="I31" s="1">
        <f t="shared" si="6"/>
        <v>8</v>
      </c>
      <c r="J31" s="1">
        <f t="shared" si="6"/>
        <v>5</v>
      </c>
      <c r="K31" s="1">
        <f t="shared" si="6"/>
        <v>3</v>
      </c>
      <c r="L31" s="7">
        <f>COUNTA(E3:E30)</f>
        <v>28</v>
      </c>
    </row>
    <row r="32" spans="1:12" ht="15.75" customHeight="1">
      <c r="E32" s="1" t="s">
        <v>3</v>
      </c>
      <c r="F32" s="2"/>
      <c r="G32" s="2">
        <f>G31/L31</f>
        <v>0.5357142857142857</v>
      </c>
      <c r="H32" s="2">
        <f>H31/L31</f>
        <v>0.2857142857142857</v>
      </c>
      <c r="I32" s="2">
        <f>I31/L31</f>
        <v>0.2857142857142857</v>
      </c>
      <c r="J32" s="2">
        <f>J31/L31</f>
        <v>0.17857142857142858</v>
      </c>
      <c r="K32" s="2">
        <f>K31/L31</f>
        <v>0.10714285714285714</v>
      </c>
    </row>
    <row r="33" spans="5:11" ht="15.75" customHeight="1">
      <c r="E33" s="1" t="s">
        <v>76</v>
      </c>
      <c r="F33" s="2"/>
      <c r="G33" s="2"/>
      <c r="H33" s="2">
        <f>H31/G31</f>
        <v>0.53333333333333333</v>
      </c>
      <c r="I33" s="2">
        <f>I31/G31</f>
        <v>0.53333333333333333</v>
      </c>
      <c r="J33" s="2">
        <f>J31/G31</f>
        <v>0.33333333333333331</v>
      </c>
      <c r="K33" s="2">
        <f>K31/G31</f>
        <v>0.2</v>
      </c>
    </row>
    <row r="34" spans="5:11" ht="15.75" customHeight="1">
      <c r="E34" s="1" t="s">
        <v>77</v>
      </c>
      <c r="F34" s="2"/>
      <c r="G34" s="2">
        <f>E31/C31</f>
        <v>0.1</v>
      </c>
      <c r="H34" s="2">
        <f>E31/D31</f>
        <v>0.57692307692307687</v>
      </c>
    </row>
  </sheetData>
  <hyperlinks>
    <hyperlink ref="E1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37"/>
  <sheetViews>
    <sheetView workbookViewId="0">
      <selection activeCell="G3" sqref="G3:K33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78</v>
      </c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218</v>
      </c>
      <c r="B3" s="1"/>
      <c r="C3" s="1">
        <v>5</v>
      </c>
      <c r="D3" s="1">
        <v>3</v>
      </c>
      <c r="E3" s="1">
        <v>3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219</v>
      </c>
      <c r="B4" s="1"/>
      <c r="C4" s="1">
        <v>6</v>
      </c>
      <c r="D4" s="1">
        <v>0</v>
      </c>
      <c r="E4" s="1">
        <v>0</v>
      </c>
      <c r="F4" s="1">
        <v>0</v>
      </c>
      <c r="G4" s="1" t="b">
        <f t="shared" ref="G4:G33" si="0">(D4&gt;0)</f>
        <v>0</v>
      </c>
      <c r="H4" s="1" t="b">
        <f t="shared" ref="H4:H33" si="1">(E4&gt;0)</f>
        <v>0</v>
      </c>
      <c r="I4" s="1" t="b">
        <f t="shared" ref="I4:I33" si="2">AND(G4,(D4=E4))</f>
        <v>0</v>
      </c>
      <c r="J4" s="1" t="b">
        <f t="shared" ref="J4:J33" si="3">(F4&gt;0)</f>
        <v>0</v>
      </c>
      <c r="K4" s="1" t="b">
        <f t="shared" ref="K4:K33" si="4">AND(I4,(E4=F4))</f>
        <v>0</v>
      </c>
    </row>
    <row r="5" spans="1:11" ht="15.75" customHeight="1">
      <c r="A5" s="1" t="s">
        <v>220</v>
      </c>
      <c r="B5" s="1"/>
      <c r="C5" s="1">
        <v>5</v>
      </c>
      <c r="D5" s="1">
        <v>2</v>
      </c>
      <c r="E5" s="1">
        <v>2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221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222</v>
      </c>
      <c r="B7" s="1"/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223</v>
      </c>
      <c r="B8" s="1"/>
      <c r="C8" s="1">
        <v>4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224</v>
      </c>
      <c r="B9" s="1"/>
      <c r="C9" s="1">
        <v>4</v>
      </c>
      <c r="D9" s="1">
        <v>2</v>
      </c>
      <c r="E9" s="1">
        <v>2</v>
      </c>
      <c r="F9" s="1">
        <v>2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1" t="s">
        <v>225</v>
      </c>
      <c r="B10" s="1"/>
      <c r="C10" s="1">
        <v>5</v>
      </c>
      <c r="D10" s="1">
        <v>2</v>
      </c>
      <c r="E10" s="1">
        <v>2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226</v>
      </c>
      <c r="B11" s="1"/>
      <c r="C11" s="1">
        <v>4</v>
      </c>
      <c r="D11" s="1">
        <v>1</v>
      </c>
      <c r="E11" s="1">
        <v>1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227</v>
      </c>
      <c r="B12" s="1"/>
      <c r="C12" s="1">
        <v>3</v>
      </c>
      <c r="D12" s="1">
        <v>1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228</v>
      </c>
      <c r="B13" s="1"/>
      <c r="C13" s="1">
        <v>5</v>
      </c>
      <c r="D13" s="1">
        <v>1</v>
      </c>
      <c r="E13" s="1">
        <v>1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1" t="s">
        <v>229</v>
      </c>
      <c r="B14" s="1"/>
      <c r="C14" s="1">
        <v>4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230</v>
      </c>
      <c r="B15" s="1"/>
      <c r="C15" s="1">
        <v>8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231</v>
      </c>
      <c r="B16" s="1"/>
      <c r="C16" s="1">
        <v>9</v>
      </c>
      <c r="D16" s="1">
        <v>1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232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233</v>
      </c>
      <c r="B18" s="1"/>
      <c r="C18" s="1">
        <v>4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234</v>
      </c>
      <c r="B19" s="1"/>
      <c r="C19" s="1">
        <v>5</v>
      </c>
      <c r="D19" s="1">
        <v>2</v>
      </c>
      <c r="E19" s="1">
        <v>2</v>
      </c>
      <c r="F19" s="1">
        <v>1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0</v>
      </c>
    </row>
    <row r="20" spans="1:12" ht="15.75" customHeight="1">
      <c r="A20" s="1" t="s">
        <v>235</v>
      </c>
      <c r="B20" s="1"/>
      <c r="C20" s="1">
        <v>4</v>
      </c>
      <c r="D20" s="1">
        <v>1</v>
      </c>
      <c r="E20" s="1">
        <v>1</v>
      </c>
      <c r="F20" s="1">
        <v>1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2" ht="15.75" customHeight="1">
      <c r="A21" s="1" t="s">
        <v>236</v>
      </c>
      <c r="B21" s="1"/>
      <c r="C21" s="1">
        <v>6</v>
      </c>
      <c r="D21" s="1">
        <v>5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237</v>
      </c>
      <c r="B22" s="1"/>
      <c r="C22" s="1">
        <v>7</v>
      </c>
      <c r="D22" s="1">
        <v>1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238</v>
      </c>
      <c r="B23" s="1"/>
      <c r="C23" s="1">
        <v>8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239</v>
      </c>
      <c r="B24" s="1"/>
      <c r="C24" s="1">
        <v>8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240</v>
      </c>
      <c r="B25" s="1"/>
      <c r="C25" s="1">
        <v>4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241</v>
      </c>
      <c r="B26" s="1"/>
      <c r="C26" s="1">
        <v>6</v>
      </c>
      <c r="D26" s="1">
        <v>1</v>
      </c>
      <c r="E26" s="1">
        <v>1</v>
      </c>
      <c r="F26" s="1">
        <v>0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242</v>
      </c>
      <c r="B27" s="1"/>
      <c r="C27" s="1">
        <v>7</v>
      </c>
      <c r="D27" s="1">
        <v>1</v>
      </c>
      <c r="E27" s="1">
        <v>1</v>
      </c>
      <c r="F27" s="1">
        <v>0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243</v>
      </c>
      <c r="B28" s="1"/>
      <c r="C28" s="1">
        <v>5</v>
      </c>
      <c r="D28" s="1">
        <v>2</v>
      </c>
      <c r="E28" s="1">
        <v>2</v>
      </c>
      <c r="F28" s="1">
        <v>0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244</v>
      </c>
      <c r="B29" s="1"/>
      <c r="C29" s="1">
        <v>5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245</v>
      </c>
      <c r="B30" s="1"/>
      <c r="C30" s="1">
        <v>5</v>
      </c>
      <c r="D30" s="1">
        <v>3</v>
      </c>
      <c r="E30" s="1">
        <v>3</v>
      </c>
      <c r="F30" s="1">
        <v>2</v>
      </c>
      <c r="G30" s="1" t="b">
        <f t="shared" si="0"/>
        <v>1</v>
      </c>
      <c r="H30" s="1" t="b">
        <f t="shared" si="1"/>
        <v>1</v>
      </c>
      <c r="I30" s="1" t="b">
        <f t="shared" si="2"/>
        <v>1</v>
      </c>
      <c r="J30" s="1" t="b">
        <f t="shared" si="3"/>
        <v>1</v>
      </c>
      <c r="K30" s="1" t="b">
        <f t="shared" si="4"/>
        <v>0</v>
      </c>
    </row>
    <row r="31" spans="1:12" ht="15.75" customHeight="1">
      <c r="A31" s="1" t="s">
        <v>246</v>
      </c>
      <c r="B31" s="1"/>
      <c r="C31" s="1">
        <v>5</v>
      </c>
      <c r="D31" s="1">
        <v>0</v>
      </c>
      <c r="E31" s="1">
        <v>0</v>
      </c>
      <c r="F31" s="1">
        <v>0</v>
      </c>
      <c r="G31" s="1" t="b">
        <f t="shared" si="0"/>
        <v>0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2" ht="15.75" customHeight="1">
      <c r="A32" s="1" t="s">
        <v>247</v>
      </c>
      <c r="B32" s="1"/>
      <c r="C32" s="1">
        <v>2</v>
      </c>
      <c r="D32" s="1">
        <v>2</v>
      </c>
      <c r="E32" s="1">
        <v>2</v>
      </c>
      <c r="F32" s="1">
        <v>2</v>
      </c>
      <c r="G32" s="1" t="b">
        <f t="shared" si="0"/>
        <v>1</v>
      </c>
      <c r="H32" s="1" t="b">
        <f t="shared" si="1"/>
        <v>1</v>
      </c>
      <c r="I32" s="1" t="b">
        <f t="shared" si="2"/>
        <v>1</v>
      </c>
      <c r="J32" s="1" t="b">
        <f t="shared" si="3"/>
        <v>1</v>
      </c>
      <c r="K32" s="1" t="b">
        <f t="shared" si="4"/>
        <v>1</v>
      </c>
      <c r="L32" s="1" t="s">
        <v>73</v>
      </c>
    </row>
    <row r="33" spans="1:12" ht="15.75" customHeight="1">
      <c r="A33" s="1" t="s">
        <v>248</v>
      </c>
      <c r="B33" s="1"/>
      <c r="C33" s="1">
        <v>2</v>
      </c>
      <c r="D33" s="1">
        <v>0</v>
      </c>
      <c r="E33" s="1">
        <v>0</v>
      </c>
      <c r="F33" s="1">
        <v>0</v>
      </c>
      <c r="G33" s="1" t="b">
        <f t="shared" si="0"/>
        <v>0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  <c r="L33" s="7"/>
    </row>
    <row r="34" spans="1:12" ht="15.75" customHeight="1">
      <c r="B34" s="1" t="s">
        <v>75</v>
      </c>
      <c r="C34" s="1">
        <f t="shared" ref="C34:F34" si="5">SUM(C2:C33)</f>
        <v>159</v>
      </c>
      <c r="D34" s="1">
        <f t="shared" si="5"/>
        <v>32</v>
      </c>
      <c r="E34" s="1">
        <f t="shared" si="5"/>
        <v>23</v>
      </c>
      <c r="F34" s="1">
        <f t="shared" si="5"/>
        <v>9</v>
      </c>
      <c r="G34" s="1">
        <f t="shared" ref="G34:K34" si="6">COUNTIF(G3:G32,"TRUE")</f>
        <v>18</v>
      </c>
      <c r="H34" s="1">
        <f t="shared" si="6"/>
        <v>13</v>
      </c>
      <c r="I34" s="1">
        <f t="shared" si="6"/>
        <v>13</v>
      </c>
      <c r="J34" s="1">
        <f t="shared" si="6"/>
        <v>6</v>
      </c>
      <c r="K34" s="1">
        <f t="shared" si="6"/>
        <v>4</v>
      </c>
      <c r="L34" s="7">
        <f>COUNTA(E3:E32)</f>
        <v>30</v>
      </c>
    </row>
    <row r="35" spans="1:12" ht="15.75" customHeight="1">
      <c r="E35" s="1" t="s">
        <v>3</v>
      </c>
      <c r="F35" s="2"/>
      <c r="G35" s="2">
        <f>G34/L34</f>
        <v>0.6</v>
      </c>
      <c r="H35" s="2">
        <f>H34/L34</f>
        <v>0.43333333333333335</v>
      </c>
      <c r="I35" s="2">
        <f>I34/L34</f>
        <v>0.43333333333333335</v>
      </c>
      <c r="J35" s="2">
        <f>J34/L34</f>
        <v>0.2</v>
      </c>
      <c r="K35" s="2">
        <f>K34/L34</f>
        <v>0.13333333333333333</v>
      </c>
    </row>
    <row r="36" spans="1:12" ht="15.75" customHeight="1">
      <c r="E36" s="1" t="s">
        <v>76</v>
      </c>
      <c r="F36" s="2"/>
      <c r="G36" s="2"/>
      <c r="H36" s="2">
        <f>H34/G34</f>
        <v>0.72222222222222221</v>
      </c>
      <c r="I36" s="2">
        <f>I34/G34</f>
        <v>0.72222222222222221</v>
      </c>
      <c r="J36" s="2">
        <f>J34/G34</f>
        <v>0.33333333333333331</v>
      </c>
      <c r="K36" s="2">
        <f>K34/G34</f>
        <v>0.22222222222222221</v>
      </c>
    </row>
    <row r="37" spans="1:12" ht="15.75" customHeight="1">
      <c r="E37" s="1" t="s">
        <v>77</v>
      </c>
      <c r="F37" s="2"/>
      <c r="G37" s="2">
        <f>E34/C34</f>
        <v>0.14465408805031446</v>
      </c>
      <c r="H37" s="2">
        <f>E34/D34</f>
        <v>0.71875</v>
      </c>
    </row>
  </sheetData>
  <hyperlinks>
    <hyperlink ref="E1" r:id="rId1" xr:uid="{00000000-0004-0000-0700-000000000000}"/>
  </hyperlinks>
  <pageMargins left="0.7" right="0.7" top="0.75" bottom="0.75" header="0.3" footer="0.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35"/>
  <sheetViews>
    <sheetView workbookViewId="0">
      <selection activeCell="G3" sqref="G3:K31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78</v>
      </c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249</v>
      </c>
      <c r="B3" s="1"/>
      <c r="C3" s="1">
        <v>3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250</v>
      </c>
      <c r="B4" s="1"/>
      <c r="C4" s="1">
        <v>5</v>
      </c>
      <c r="D4" s="1">
        <v>3</v>
      </c>
      <c r="E4" s="1">
        <v>3</v>
      </c>
      <c r="F4" s="1">
        <v>3</v>
      </c>
      <c r="G4" s="1" t="b">
        <f t="shared" ref="G4:G31" si="0">(D4&gt;0)</f>
        <v>1</v>
      </c>
      <c r="H4" s="1" t="b">
        <f t="shared" ref="H4:H31" si="1">(E4&gt;0)</f>
        <v>1</v>
      </c>
      <c r="I4" s="1" t="b">
        <f t="shared" ref="I4:I31" si="2">AND(G4,(D4=E4))</f>
        <v>1</v>
      </c>
      <c r="J4" s="1" t="b">
        <f t="shared" ref="J4:J31" si="3">(F4&gt;0)</f>
        <v>1</v>
      </c>
      <c r="K4" s="1" t="b">
        <f t="shared" ref="K4:K31" si="4">AND(I4,(E4=F4))</f>
        <v>1</v>
      </c>
    </row>
    <row r="5" spans="1:11" ht="15.75" customHeight="1">
      <c r="A5" s="1" t="s">
        <v>251</v>
      </c>
      <c r="B5" s="1"/>
      <c r="C5" s="1">
        <v>5</v>
      </c>
      <c r="D5" s="1">
        <v>2</v>
      </c>
      <c r="E5" s="1">
        <v>2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252</v>
      </c>
      <c r="B6" s="1"/>
      <c r="C6" s="1">
        <v>5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253</v>
      </c>
      <c r="B7" s="1"/>
      <c r="C7" s="1">
        <v>4</v>
      </c>
      <c r="D7" s="1">
        <v>1</v>
      </c>
      <c r="E7" s="1">
        <v>1</v>
      </c>
      <c r="F7" s="1">
        <v>1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1" t="s">
        <v>254</v>
      </c>
      <c r="B8" s="1"/>
      <c r="C8" s="1">
        <v>3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255</v>
      </c>
      <c r="B9" s="1"/>
      <c r="C9" s="1">
        <v>5</v>
      </c>
      <c r="D9" s="1">
        <v>1</v>
      </c>
      <c r="E9" s="1">
        <v>1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256</v>
      </c>
      <c r="B10" s="1"/>
      <c r="C10" s="1">
        <v>2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257</v>
      </c>
      <c r="B11" s="1"/>
      <c r="C11" s="1">
        <v>6</v>
      </c>
      <c r="D11" s="1">
        <v>2</v>
      </c>
      <c r="E11" s="1">
        <v>2</v>
      </c>
      <c r="F11" s="1">
        <v>2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258</v>
      </c>
      <c r="B12" s="1"/>
      <c r="C12" s="1">
        <v>3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259</v>
      </c>
      <c r="B13" s="1"/>
      <c r="C13" s="1">
        <v>7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260</v>
      </c>
      <c r="B14" s="1"/>
      <c r="C14" s="1">
        <v>6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261</v>
      </c>
      <c r="B15" s="1"/>
      <c r="C15" s="1">
        <v>4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262</v>
      </c>
      <c r="B16" s="1"/>
      <c r="C16" s="1">
        <v>5</v>
      </c>
      <c r="D16" s="1">
        <v>1</v>
      </c>
      <c r="E16" s="1">
        <v>1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263</v>
      </c>
      <c r="B17" s="1"/>
      <c r="C17" s="1">
        <v>7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264</v>
      </c>
      <c r="B18" s="1"/>
      <c r="C18" s="1">
        <v>7</v>
      </c>
      <c r="D18" s="1">
        <v>1</v>
      </c>
      <c r="E18" s="1">
        <v>1</v>
      </c>
      <c r="F18" s="1">
        <v>1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A19" s="1" t="s">
        <v>265</v>
      </c>
      <c r="B19" s="1"/>
      <c r="C19" s="1">
        <v>5</v>
      </c>
      <c r="D19" s="1">
        <v>1</v>
      </c>
      <c r="E19" s="1">
        <v>1</v>
      </c>
      <c r="F19" s="1">
        <v>0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266</v>
      </c>
      <c r="B20" s="1"/>
      <c r="C20" s="1">
        <v>5</v>
      </c>
      <c r="D20" s="1">
        <v>2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267</v>
      </c>
      <c r="B21" s="1"/>
      <c r="C21" s="1">
        <v>6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268</v>
      </c>
      <c r="B22" s="1"/>
      <c r="C22" s="1">
        <v>5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269</v>
      </c>
      <c r="B23" s="1"/>
      <c r="C23" s="1">
        <v>6</v>
      </c>
      <c r="D23" s="1">
        <v>1</v>
      </c>
      <c r="E23" s="1">
        <v>1</v>
      </c>
      <c r="F23" s="1">
        <v>0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270</v>
      </c>
      <c r="B24" s="1"/>
      <c r="C24" s="1">
        <v>6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271</v>
      </c>
      <c r="B25" s="1"/>
      <c r="C25" s="1">
        <v>6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272</v>
      </c>
      <c r="B26" s="1"/>
      <c r="C26" s="1">
        <v>4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273</v>
      </c>
      <c r="B27" s="1"/>
      <c r="C27" s="1">
        <v>7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274</v>
      </c>
      <c r="B28" s="1"/>
      <c r="C28" s="1">
        <v>6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275</v>
      </c>
      <c r="B29" s="1"/>
      <c r="C29" s="1">
        <v>2</v>
      </c>
      <c r="D29" s="1">
        <v>1</v>
      </c>
      <c r="E29" s="1">
        <v>1</v>
      </c>
      <c r="F29" s="1">
        <v>1</v>
      </c>
      <c r="G29" s="1" t="b">
        <f t="shared" si="0"/>
        <v>1</v>
      </c>
      <c r="H29" s="1" t="b">
        <f t="shared" si="1"/>
        <v>1</v>
      </c>
      <c r="I29" s="1" t="b">
        <f t="shared" si="2"/>
        <v>1</v>
      </c>
      <c r="J29" s="1" t="b">
        <f t="shared" si="3"/>
        <v>1</v>
      </c>
      <c r="K29" s="1" t="b">
        <f t="shared" si="4"/>
        <v>1</v>
      </c>
    </row>
    <row r="30" spans="1:12" ht="15.75" customHeight="1">
      <c r="A30" s="1" t="s">
        <v>276</v>
      </c>
      <c r="B30" s="1"/>
      <c r="C30" s="1">
        <v>2</v>
      </c>
      <c r="D30" s="1">
        <v>0</v>
      </c>
      <c r="E30" s="1">
        <v>0</v>
      </c>
      <c r="F30" s="1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1" t="s">
        <v>277</v>
      </c>
      <c r="B31" s="1"/>
      <c r="C31" s="1">
        <v>2</v>
      </c>
      <c r="D31" s="1">
        <v>0</v>
      </c>
      <c r="E31" s="1">
        <v>0</v>
      </c>
      <c r="F31" s="1">
        <v>0</v>
      </c>
      <c r="G31" s="1" t="b">
        <f t="shared" si="0"/>
        <v>0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2" ht="15.75" customHeight="1">
      <c r="B32" s="1" t="s">
        <v>75</v>
      </c>
      <c r="C32" s="1">
        <f t="shared" ref="C32:F32" si="5">SUM(C2:C31)</f>
        <v>139</v>
      </c>
      <c r="D32" s="1">
        <f t="shared" si="5"/>
        <v>16</v>
      </c>
      <c r="E32" s="1">
        <f t="shared" si="5"/>
        <v>14</v>
      </c>
      <c r="F32" s="1">
        <f t="shared" si="5"/>
        <v>8</v>
      </c>
      <c r="G32" s="1">
        <f t="shared" ref="G32:K32" si="6">COUNTIF(G3:G31,"TRUE")</f>
        <v>11</v>
      </c>
      <c r="H32" s="1">
        <f t="shared" si="6"/>
        <v>10</v>
      </c>
      <c r="I32" s="1">
        <f t="shared" si="6"/>
        <v>10</v>
      </c>
      <c r="J32" s="1">
        <f t="shared" si="6"/>
        <v>5</v>
      </c>
      <c r="K32" s="1">
        <f t="shared" si="6"/>
        <v>5</v>
      </c>
      <c r="L32" s="7">
        <f>COUNTA(E3:E31)</f>
        <v>29</v>
      </c>
    </row>
    <row r="33" spans="5:11" ht="15.75" customHeight="1">
      <c r="E33" s="1" t="s">
        <v>3</v>
      </c>
      <c r="F33" s="2"/>
      <c r="G33" s="2">
        <f>G32/L32</f>
        <v>0.37931034482758619</v>
      </c>
      <c r="H33" s="2">
        <f>H32/L32</f>
        <v>0.34482758620689657</v>
      </c>
      <c r="I33" s="2">
        <f>I32/L32</f>
        <v>0.34482758620689657</v>
      </c>
      <c r="J33" s="2">
        <f>J32/L32</f>
        <v>0.17241379310344829</v>
      </c>
      <c r="K33" s="2">
        <f>K32/L32</f>
        <v>0.17241379310344829</v>
      </c>
    </row>
    <row r="34" spans="5:11" ht="15.75" customHeight="1">
      <c r="E34" s="1" t="s">
        <v>76</v>
      </c>
      <c r="F34" s="2"/>
      <c r="G34" s="2"/>
      <c r="H34" s="2">
        <f>H32/G32</f>
        <v>0.90909090909090906</v>
      </c>
      <c r="I34" s="2">
        <f>I32/G32</f>
        <v>0.90909090909090906</v>
      </c>
      <c r="J34" s="2">
        <f>J32/G32</f>
        <v>0.45454545454545453</v>
      </c>
      <c r="K34" s="2">
        <f>K32/G32</f>
        <v>0.45454545454545453</v>
      </c>
    </row>
    <row r="35" spans="5:11" ht="15.75" customHeight="1">
      <c r="E35" s="1" t="s">
        <v>77</v>
      </c>
      <c r="F35" s="2"/>
      <c r="G35" s="2">
        <f>E32/C32</f>
        <v>0.10071942446043165</v>
      </c>
      <c r="H35" s="2">
        <f>E32/D32</f>
        <v>0.875</v>
      </c>
    </row>
  </sheetData>
  <hyperlinks>
    <hyperlink ref="E1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30"/>
  <sheetViews>
    <sheetView workbookViewId="0">
      <selection activeCell="G3" sqref="G3:K26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78</v>
      </c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278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279</v>
      </c>
      <c r="B4" s="1"/>
      <c r="C4" s="1">
        <v>5</v>
      </c>
      <c r="D4" s="1">
        <v>3</v>
      </c>
      <c r="E4" s="1">
        <v>3</v>
      </c>
      <c r="F4" s="1">
        <v>0</v>
      </c>
      <c r="G4" s="1" t="b">
        <f t="shared" ref="G4:G26" si="0">(D4&gt;0)</f>
        <v>1</v>
      </c>
      <c r="H4" s="1" t="b">
        <f t="shared" ref="H4:H26" si="1">(E4&gt;0)</f>
        <v>1</v>
      </c>
      <c r="I4" s="1" t="b">
        <f t="shared" ref="I4:I26" si="2">AND(G4,(D4=E4))</f>
        <v>1</v>
      </c>
      <c r="J4" s="1" t="b">
        <f t="shared" ref="J4:J26" si="3">(F4&gt;0)</f>
        <v>0</v>
      </c>
      <c r="K4" s="1" t="b">
        <f t="shared" ref="K4:K26" si="4">AND(I4,(E4=F4))</f>
        <v>0</v>
      </c>
    </row>
    <row r="5" spans="1:11" ht="15.75" customHeight="1">
      <c r="A5" s="1" t="s">
        <v>280</v>
      </c>
      <c r="B5" s="1"/>
      <c r="C5" s="1">
        <v>4</v>
      </c>
      <c r="D5" s="1">
        <v>3</v>
      </c>
      <c r="E5" s="1">
        <v>3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281</v>
      </c>
      <c r="B6" s="1"/>
      <c r="C6" s="1">
        <v>3</v>
      </c>
      <c r="D6" s="1">
        <v>1</v>
      </c>
      <c r="E6" s="1">
        <v>1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282</v>
      </c>
      <c r="B7" s="1"/>
      <c r="C7" s="1">
        <v>8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283</v>
      </c>
      <c r="B8" s="1"/>
      <c r="C8" s="1">
        <v>5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284</v>
      </c>
      <c r="B9" s="1"/>
      <c r="C9" s="1">
        <v>4</v>
      </c>
      <c r="D9" s="1">
        <v>3</v>
      </c>
      <c r="E9" s="1">
        <v>3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0</v>
      </c>
    </row>
    <row r="10" spans="1:11" ht="15.75" customHeight="1">
      <c r="A10" s="1" t="s">
        <v>285</v>
      </c>
      <c r="B10" s="1"/>
      <c r="C10" s="1">
        <v>7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286</v>
      </c>
      <c r="B11" s="1"/>
      <c r="C11" s="1">
        <v>10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287</v>
      </c>
      <c r="B12" s="1"/>
      <c r="C12" s="1">
        <v>8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288</v>
      </c>
      <c r="B13" s="1"/>
      <c r="C13" s="1">
        <v>9</v>
      </c>
      <c r="D13" s="1">
        <v>3</v>
      </c>
      <c r="E13" s="1">
        <v>3</v>
      </c>
      <c r="F13" s="1">
        <v>3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1" t="s">
        <v>289</v>
      </c>
      <c r="B14" s="1"/>
      <c r="C14" s="1">
        <v>2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290</v>
      </c>
      <c r="B15" s="1"/>
      <c r="C15" s="1">
        <v>8</v>
      </c>
      <c r="D15" s="1">
        <v>5</v>
      </c>
      <c r="E15" s="1">
        <v>5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291</v>
      </c>
      <c r="B16" s="1"/>
      <c r="C16" s="1">
        <v>7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292</v>
      </c>
      <c r="B17" s="1"/>
      <c r="C17" s="1">
        <v>7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293</v>
      </c>
      <c r="B18" s="1"/>
      <c r="C18" s="1">
        <v>4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294</v>
      </c>
      <c r="B19" s="1"/>
      <c r="C19" s="1">
        <v>5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295</v>
      </c>
      <c r="B20" s="1"/>
      <c r="C20" s="1">
        <v>7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296</v>
      </c>
      <c r="B21" s="1"/>
      <c r="C21" s="1">
        <v>6</v>
      </c>
      <c r="D21" s="1">
        <v>2</v>
      </c>
      <c r="E21" s="1">
        <v>2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297</v>
      </c>
      <c r="B22" s="1"/>
      <c r="C22" s="1">
        <v>10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298</v>
      </c>
      <c r="B23" s="1"/>
      <c r="C23" s="1">
        <v>4</v>
      </c>
      <c r="D23" s="1">
        <v>1</v>
      </c>
      <c r="E23" s="1">
        <v>1</v>
      </c>
      <c r="F23" s="1">
        <v>1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1</v>
      </c>
    </row>
    <row r="24" spans="1:12" ht="15.75" customHeight="1">
      <c r="A24" s="1" t="s">
        <v>299</v>
      </c>
      <c r="B24" s="1"/>
      <c r="C24" s="1">
        <v>2</v>
      </c>
      <c r="D24" s="1">
        <v>1</v>
      </c>
      <c r="E24" s="1">
        <v>0</v>
      </c>
      <c r="F24" s="1">
        <v>0</v>
      </c>
      <c r="G24" s="1" t="b">
        <f t="shared" si="0"/>
        <v>1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300</v>
      </c>
      <c r="B25" s="1"/>
      <c r="C25" s="1">
        <v>1</v>
      </c>
      <c r="D25" s="1">
        <v>1</v>
      </c>
      <c r="E25" s="1">
        <v>1</v>
      </c>
      <c r="F25" s="1">
        <v>0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301</v>
      </c>
      <c r="B26" s="1"/>
      <c r="C26" s="1">
        <v>3</v>
      </c>
      <c r="D26" s="1">
        <v>1</v>
      </c>
      <c r="E26" s="1">
        <v>1</v>
      </c>
      <c r="F26" s="1">
        <v>0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0</v>
      </c>
      <c r="K26" s="1" t="b">
        <f t="shared" si="4"/>
        <v>0</v>
      </c>
    </row>
    <row r="27" spans="1:12" ht="15.75" customHeight="1">
      <c r="B27" s="1" t="s">
        <v>75</v>
      </c>
      <c r="C27" s="1">
        <f t="shared" ref="C27:F27" si="5">SUM(C2:C26)</f>
        <v>133</v>
      </c>
      <c r="D27" s="1">
        <f t="shared" si="5"/>
        <v>25</v>
      </c>
      <c r="E27" s="1">
        <f t="shared" si="5"/>
        <v>23</v>
      </c>
      <c r="F27" s="1">
        <f t="shared" si="5"/>
        <v>5</v>
      </c>
      <c r="G27" s="1">
        <f t="shared" ref="G27:K27" si="6">COUNTIF(G3:G26,"TRUE")</f>
        <v>12</v>
      </c>
      <c r="H27" s="1">
        <f t="shared" si="6"/>
        <v>10</v>
      </c>
      <c r="I27" s="1">
        <f t="shared" si="6"/>
        <v>10</v>
      </c>
      <c r="J27" s="1">
        <f t="shared" si="6"/>
        <v>3</v>
      </c>
      <c r="K27" s="1">
        <f t="shared" si="6"/>
        <v>2</v>
      </c>
      <c r="L27" s="7">
        <f>COUNTA(E3:E26)</f>
        <v>24</v>
      </c>
    </row>
    <row r="28" spans="1:12" ht="15.75" customHeight="1">
      <c r="E28" s="1" t="s">
        <v>3</v>
      </c>
      <c r="F28" s="2"/>
      <c r="G28" s="2">
        <f>G27/L27</f>
        <v>0.5</v>
      </c>
      <c r="H28" s="2">
        <f>H27/L27</f>
        <v>0.41666666666666669</v>
      </c>
      <c r="I28" s="2">
        <f>I27/L27</f>
        <v>0.41666666666666669</v>
      </c>
      <c r="J28" s="2">
        <f>J27/L27</f>
        <v>0.125</v>
      </c>
      <c r="K28" s="2">
        <f>K27/L27</f>
        <v>8.3333333333333329E-2</v>
      </c>
    </row>
    <row r="29" spans="1:12" ht="15.75" customHeight="1">
      <c r="E29" s="1" t="s">
        <v>76</v>
      </c>
      <c r="F29" s="2"/>
      <c r="G29" s="2"/>
      <c r="H29" s="2">
        <f>H27/G27</f>
        <v>0.83333333333333337</v>
      </c>
      <c r="I29" s="2">
        <f>I27/G27</f>
        <v>0.83333333333333337</v>
      </c>
      <c r="J29" s="2">
        <f>J27/G27</f>
        <v>0.25</v>
      </c>
      <c r="K29" s="2">
        <f>K27/G27</f>
        <v>0.16666666666666666</v>
      </c>
    </row>
    <row r="30" spans="1:12" ht="15.75" customHeight="1">
      <c r="E30" s="1" t="s">
        <v>77</v>
      </c>
      <c r="F30" s="2"/>
      <c r="G30" s="2">
        <f>E27/C27</f>
        <v>0.17293233082706766</v>
      </c>
      <c r="H30" s="2">
        <f>E27/D27</f>
        <v>0.92</v>
      </c>
    </row>
  </sheetData>
  <hyperlinks>
    <hyperlink ref="E1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41"/>
  <sheetViews>
    <sheetView workbookViewId="0">
      <selection activeCell="G3" sqref="G3:K37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78</v>
      </c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302</v>
      </c>
      <c r="B3" s="1"/>
      <c r="C3" s="1">
        <v>7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303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37" si="0">(D4&gt;0)</f>
        <v>0</v>
      </c>
      <c r="H4" s="1" t="b">
        <f t="shared" ref="H4:H37" si="1">(E4&gt;0)</f>
        <v>0</v>
      </c>
      <c r="I4" s="1" t="b">
        <f t="shared" ref="I4:I37" si="2">AND(G4,(D4=E4))</f>
        <v>0</v>
      </c>
      <c r="J4" s="1" t="b">
        <f t="shared" ref="J4:J37" si="3">(F4&gt;0)</f>
        <v>0</v>
      </c>
      <c r="K4" s="1" t="b">
        <f t="shared" ref="K4:K37" si="4">AND(I4,(E4=F4))</f>
        <v>0</v>
      </c>
    </row>
    <row r="5" spans="1:11" ht="15.75" customHeight="1">
      <c r="A5" s="1" t="s">
        <v>304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305</v>
      </c>
      <c r="B6" s="1"/>
      <c r="C6" s="1">
        <v>3</v>
      </c>
      <c r="D6" s="1">
        <v>3</v>
      </c>
      <c r="E6" s="1">
        <v>3</v>
      </c>
      <c r="F6" s="1">
        <v>3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306</v>
      </c>
      <c r="B7" s="1"/>
      <c r="C7" s="1">
        <v>4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307</v>
      </c>
      <c r="B8" s="1"/>
      <c r="C8" s="1">
        <v>4</v>
      </c>
      <c r="D8" s="1">
        <v>1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1" t="s">
        <v>308</v>
      </c>
      <c r="B9" s="1"/>
      <c r="C9" s="1">
        <v>7</v>
      </c>
      <c r="D9" s="1">
        <v>4</v>
      </c>
      <c r="E9" s="1">
        <v>4</v>
      </c>
      <c r="F9" s="1">
        <v>3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0</v>
      </c>
    </row>
    <row r="10" spans="1:11" ht="15.75" customHeight="1">
      <c r="A10" s="1" t="s">
        <v>309</v>
      </c>
      <c r="B10" s="1"/>
      <c r="C10" s="1">
        <v>5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310</v>
      </c>
      <c r="B11" s="1"/>
      <c r="C11" s="1">
        <v>8</v>
      </c>
      <c r="D11" s="1">
        <v>2</v>
      </c>
      <c r="E11" s="1">
        <v>2</v>
      </c>
      <c r="F11" s="1">
        <v>2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311</v>
      </c>
      <c r="B12" s="1"/>
      <c r="C12" s="1">
        <v>5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312</v>
      </c>
      <c r="B13" s="1"/>
      <c r="C13" s="1">
        <v>6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313</v>
      </c>
      <c r="B14" s="1"/>
      <c r="C14" s="1">
        <v>5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314</v>
      </c>
      <c r="B15" s="1"/>
      <c r="C15" s="1">
        <v>5</v>
      </c>
      <c r="D15" s="1">
        <v>2</v>
      </c>
      <c r="E15" s="1">
        <v>2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315</v>
      </c>
      <c r="B16" s="1"/>
      <c r="C16" s="1">
        <v>6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316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317</v>
      </c>
      <c r="B18" s="1"/>
      <c r="C18" s="1">
        <v>8</v>
      </c>
      <c r="D18" s="1">
        <v>2</v>
      </c>
      <c r="E18" s="1">
        <v>2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318</v>
      </c>
      <c r="B19" s="1"/>
      <c r="C19" s="1">
        <v>9</v>
      </c>
      <c r="D19" s="1">
        <v>1</v>
      </c>
      <c r="E19" s="1">
        <v>1</v>
      </c>
      <c r="F19" s="1">
        <v>0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319</v>
      </c>
      <c r="B20" s="1"/>
      <c r="C20" s="1">
        <v>6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320</v>
      </c>
      <c r="B21" s="1"/>
      <c r="C21" s="1">
        <v>6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321</v>
      </c>
      <c r="B22" s="1"/>
      <c r="C22" s="1">
        <v>6</v>
      </c>
      <c r="D22" s="1">
        <v>1</v>
      </c>
      <c r="E22" s="1">
        <v>1</v>
      </c>
      <c r="F22" s="1">
        <v>0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322</v>
      </c>
      <c r="B23" s="1"/>
      <c r="C23" s="1">
        <v>6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323</v>
      </c>
      <c r="B24" s="1"/>
      <c r="C24" s="1">
        <v>5</v>
      </c>
      <c r="D24" s="1">
        <v>4</v>
      </c>
      <c r="E24" s="1">
        <v>3</v>
      </c>
      <c r="F24" s="1">
        <v>0</v>
      </c>
      <c r="G24" s="1" t="b">
        <f t="shared" si="0"/>
        <v>1</v>
      </c>
      <c r="H24" s="1" t="b">
        <f t="shared" si="1"/>
        <v>1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324</v>
      </c>
      <c r="B25" s="1"/>
      <c r="C25" s="1">
        <v>3</v>
      </c>
      <c r="D25" s="1">
        <v>2</v>
      </c>
      <c r="E25" s="1">
        <v>2</v>
      </c>
      <c r="F25" s="1">
        <v>0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325</v>
      </c>
      <c r="B26" s="1"/>
      <c r="C26" s="1">
        <v>3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326</v>
      </c>
      <c r="B27" s="1"/>
      <c r="C27" s="1">
        <v>5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327</v>
      </c>
      <c r="B28" s="1"/>
      <c r="C28" s="1">
        <v>4</v>
      </c>
      <c r="D28" s="1">
        <v>4</v>
      </c>
      <c r="E28" s="1">
        <v>4</v>
      </c>
      <c r="F28" s="1">
        <v>4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1</v>
      </c>
      <c r="K28" s="1" t="b">
        <f t="shared" si="4"/>
        <v>1</v>
      </c>
    </row>
    <row r="29" spans="1:12" ht="15.75" customHeight="1">
      <c r="A29" s="1" t="s">
        <v>328</v>
      </c>
      <c r="B29" s="1"/>
      <c r="C29" s="1">
        <v>5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329</v>
      </c>
      <c r="B30" s="1"/>
      <c r="C30" s="1">
        <v>8</v>
      </c>
      <c r="D30" s="1">
        <v>0</v>
      </c>
      <c r="E30" s="1">
        <v>0</v>
      </c>
      <c r="F30" s="1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1" t="s">
        <v>330</v>
      </c>
      <c r="B31" s="1"/>
      <c r="C31" s="1">
        <v>6</v>
      </c>
      <c r="D31" s="1">
        <v>2</v>
      </c>
      <c r="E31" s="1">
        <v>2</v>
      </c>
      <c r="F31" s="1">
        <v>0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0</v>
      </c>
      <c r="K31" s="1" t="b">
        <f t="shared" si="4"/>
        <v>0</v>
      </c>
    </row>
    <row r="32" spans="1:12" ht="15.75" customHeight="1">
      <c r="A32" s="1" t="s">
        <v>331</v>
      </c>
      <c r="B32" s="1"/>
      <c r="C32" s="1">
        <v>5</v>
      </c>
      <c r="D32" s="1">
        <v>0</v>
      </c>
      <c r="E32" s="1">
        <v>0</v>
      </c>
      <c r="F32" s="1">
        <v>0</v>
      </c>
      <c r="G32" s="1" t="b">
        <f t="shared" si="0"/>
        <v>0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  <c r="L32" s="1"/>
    </row>
    <row r="33" spans="1:12" ht="15.75" customHeight="1">
      <c r="A33" s="1" t="s">
        <v>332</v>
      </c>
      <c r="B33" s="1"/>
      <c r="C33" s="1">
        <v>5</v>
      </c>
      <c r="D33" s="1">
        <v>1</v>
      </c>
      <c r="E33" s="1">
        <v>1</v>
      </c>
      <c r="F33" s="1">
        <v>1</v>
      </c>
      <c r="G33" s="1" t="b">
        <f t="shared" si="0"/>
        <v>1</v>
      </c>
      <c r="H33" s="1" t="b">
        <f t="shared" si="1"/>
        <v>1</v>
      </c>
      <c r="I33" s="1" t="b">
        <f t="shared" si="2"/>
        <v>1</v>
      </c>
      <c r="J33" s="1" t="b">
        <f t="shared" si="3"/>
        <v>1</v>
      </c>
      <c r="K33" s="1" t="b">
        <f t="shared" si="4"/>
        <v>1</v>
      </c>
      <c r="L33" s="1"/>
    </row>
    <row r="34" spans="1:12" ht="15.75" customHeight="1">
      <c r="A34" s="1" t="s">
        <v>333</v>
      </c>
      <c r="B34" s="1"/>
      <c r="C34" s="1">
        <v>2</v>
      </c>
      <c r="D34" s="1">
        <v>2</v>
      </c>
      <c r="E34" s="1">
        <v>0</v>
      </c>
      <c r="F34" s="1">
        <v>0</v>
      </c>
      <c r="G34" s="1" t="b">
        <f t="shared" si="0"/>
        <v>1</v>
      </c>
      <c r="H34" s="1" t="b">
        <f t="shared" si="1"/>
        <v>0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  <c r="L34" s="1"/>
    </row>
    <row r="35" spans="1:12" ht="15.75" customHeight="1">
      <c r="A35" s="1" t="s">
        <v>334</v>
      </c>
      <c r="B35" s="1"/>
      <c r="C35" s="1">
        <v>2</v>
      </c>
      <c r="D35" s="1">
        <v>0</v>
      </c>
      <c r="E35" s="1">
        <v>0</v>
      </c>
      <c r="F35" s="1">
        <v>0</v>
      </c>
      <c r="G35" s="1" t="b">
        <f t="shared" si="0"/>
        <v>0</v>
      </c>
      <c r="H35" s="1" t="b">
        <f t="shared" si="1"/>
        <v>0</v>
      </c>
      <c r="I35" s="1" t="b">
        <f t="shared" si="2"/>
        <v>0</v>
      </c>
      <c r="J35" s="1" t="b">
        <f t="shared" si="3"/>
        <v>0</v>
      </c>
      <c r="K35" s="1" t="b">
        <f t="shared" si="4"/>
        <v>0</v>
      </c>
      <c r="L35" s="1"/>
    </row>
    <row r="36" spans="1:12" ht="15.75" customHeight="1">
      <c r="A36" s="1" t="s">
        <v>335</v>
      </c>
      <c r="B36" s="1"/>
      <c r="C36" s="1">
        <v>2</v>
      </c>
      <c r="D36" s="1">
        <v>0</v>
      </c>
      <c r="E36" s="1">
        <v>0</v>
      </c>
      <c r="F36" s="1">
        <v>0</v>
      </c>
      <c r="G36" s="1" t="b">
        <f t="shared" si="0"/>
        <v>0</v>
      </c>
      <c r="H36" s="1" t="b">
        <f t="shared" si="1"/>
        <v>0</v>
      </c>
      <c r="I36" s="1" t="b">
        <f t="shared" si="2"/>
        <v>0</v>
      </c>
      <c r="J36" s="1" t="b">
        <f t="shared" si="3"/>
        <v>0</v>
      </c>
      <c r="K36" s="1" t="b">
        <f t="shared" si="4"/>
        <v>0</v>
      </c>
      <c r="L36" s="1"/>
    </row>
    <row r="37" spans="1:12" ht="15.75" customHeight="1">
      <c r="A37" s="1" t="s">
        <v>336</v>
      </c>
      <c r="B37" s="1"/>
      <c r="C37" s="1">
        <v>2</v>
      </c>
      <c r="D37" s="1">
        <v>1</v>
      </c>
      <c r="E37" s="1">
        <v>0</v>
      </c>
      <c r="F37" s="1">
        <v>0</v>
      </c>
      <c r="G37" s="1" t="b">
        <f t="shared" si="0"/>
        <v>1</v>
      </c>
      <c r="H37" s="1" t="b">
        <f t="shared" si="1"/>
        <v>0</v>
      </c>
      <c r="I37" s="1" t="b">
        <f t="shared" si="2"/>
        <v>0</v>
      </c>
      <c r="J37" s="1" t="b">
        <f t="shared" si="3"/>
        <v>0</v>
      </c>
      <c r="K37" s="1" t="b">
        <f t="shared" si="4"/>
        <v>0</v>
      </c>
      <c r="L37" s="1" t="s">
        <v>73</v>
      </c>
    </row>
    <row r="38" spans="1:12" ht="15.75" customHeight="1">
      <c r="B38" s="1" t="s">
        <v>75</v>
      </c>
      <c r="C38" s="1">
        <f t="shared" ref="C38:F38" si="5">SUM(C2:C37)</f>
        <v>178</v>
      </c>
      <c r="D38" s="1">
        <f t="shared" si="5"/>
        <v>33</v>
      </c>
      <c r="E38" s="1">
        <f t="shared" si="5"/>
        <v>28</v>
      </c>
      <c r="F38" s="1">
        <f t="shared" si="5"/>
        <v>14</v>
      </c>
      <c r="G38" s="1">
        <f t="shared" ref="G38:K38" si="6">COUNTIF(G3:G37,"TRUE")</f>
        <v>16</v>
      </c>
      <c r="H38" s="1">
        <f t="shared" si="6"/>
        <v>13</v>
      </c>
      <c r="I38" s="1">
        <f t="shared" si="6"/>
        <v>12</v>
      </c>
      <c r="J38" s="1">
        <f t="shared" si="6"/>
        <v>6</v>
      </c>
      <c r="K38" s="1">
        <f t="shared" si="6"/>
        <v>5</v>
      </c>
      <c r="L38" s="7">
        <f>COUNTA(E3:E37)</f>
        <v>35</v>
      </c>
    </row>
    <row r="39" spans="1:12" ht="15.75" customHeight="1">
      <c r="E39" s="1" t="s">
        <v>3</v>
      </c>
      <c r="F39" s="2"/>
      <c r="G39" s="2">
        <f>G38/L38</f>
        <v>0.45714285714285713</v>
      </c>
      <c r="H39" s="2">
        <f>H38/L38</f>
        <v>0.37142857142857144</v>
      </c>
      <c r="I39" s="2">
        <f>I38/L38</f>
        <v>0.34285714285714286</v>
      </c>
      <c r="J39" s="2">
        <f>J38/L38</f>
        <v>0.17142857142857143</v>
      </c>
      <c r="K39" s="2">
        <f>K38/L38</f>
        <v>0.14285714285714285</v>
      </c>
    </row>
    <row r="40" spans="1:12" ht="15.75" customHeight="1">
      <c r="E40" s="1" t="s">
        <v>76</v>
      </c>
      <c r="F40" s="2"/>
      <c r="G40" s="2"/>
      <c r="H40" s="2">
        <f>H38/G38</f>
        <v>0.8125</v>
      </c>
      <c r="I40" s="2">
        <f>I38/G38</f>
        <v>0.75</v>
      </c>
      <c r="J40" s="2">
        <f>J38/G38</f>
        <v>0.375</v>
      </c>
      <c r="K40" s="2">
        <f>K38/G38</f>
        <v>0.3125</v>
      </c>
    </row>
    <row r="41" spans="1:12" ht="15.75" customHeight="1">
      <c r="E41" s="1" t="s">
        <v>77</v>
      </c>
      <c r="F41" s="2"/>
      <c r="G41" s="2">
        <f>E38/C38</f>
        <v>0.15730337078651685</v>
      </c>
      <c r="H41" s="2">
        <f>E38/D38</f>
        <v>0.84848484848484851</v>
      </c>
    </row>
  </sheetData>
  <hyperlinks>
    <hyperlink ref="E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36"/>
  <sheetViews>
    <sheetView workbookViewId="0">
      <selection activeCell="G3" sqref="G3:K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8" t="s">
        <v>337</v>
      </c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338</v>
      </c>
      <c r="B3" s="1"/>
      <c r="C3" s="1">
        <v>2</v>
      </c>
      <c r="D3" s="1">
        <v>2</v>
      </c>
      <c r="E3" s="1">
        <v>2</v>
      </c>
      <c r="F3" s="1">
        <v>2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1" t="s">
        <v>339</v>
      </c>
      <c r="C4" s="1">
        <v>3</v>
      </c>
      <c r="D4" s="1">
        <v>0</v>
      </c>
      <c r="E4" s="1">
        <v>0</v>
      </c>
      <c r="F4" s="1">
        <v>0</v>
      </c>
      <c r="G4" s="1" t="b">
        <f t="shared" ref="G4:G32" si="0">(D4&gt;0)</f>
        <v>0</v>
      </c>
      <c r="H4" s="1" t="b">
        <f t="shared" ref="H4:H32" si="1">(E4&gt;0)</f>
        <v>0</v>
      </c>
      <c r="I4" s="1" t="b">
        <f t="shared" ref="I4:I32" si="2">AND(G4,(D4=E4))</f>
        <v>0</v>
      </c>
      <c r="J4" s="1" t="b">
        <f t="shared" ref="J4:J32" si="3">(F4&gt;0)</f>
        <v>0</v>
      </c>
      <c r="K4" s="1" t="b">
        <f t="shared" ref="K4:K32" si="4">AND(I4,(E4=F4))</f>
        <v>0</v>
      </c>
    </row>
    <row r="5" spans="1:11" ht="15.75" customHeight="1">
      <c r="A5" s="1" t="s">
        <v>340</v>
      </c>
      <c r="C5" s="1">
        <v>5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341</v>
      </c>
      <c r="C6" s="1">
        <v>8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342</v>
      </c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343</v>
      </c>
      <c r="C8" s="1">
        <v>6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344</v>
      </c>
      <c r="C9" s="1">
        <v>6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345</v>
      </c>
      <c r="C10" s="1">
        <v>1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346</v>
      </c>
      <c r="C11" s="1">
        <v>3</v>
      </c>
      <c r="D11" s="1">
        <v>1</v>
      </c>
      <c r="E11" s="1">
        <v>1</v>
      </c>
      <c r="F11" s="1">
        <v>1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347</v>
      </c>
      <c r="C12" s="1">
        <v>5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348</v>
      </c>
      <c r="C13" s="1">
        <v>3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349</v>
      </c>
      <c r="C14" s="1">
        <v>5</v>
      </c>
      <c r="D14" s="1">
        <v>1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350</v>
      </c>
      <c r="C15" s="1">
        <v>4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351</v>
      </c>
      <c r="C16" s="1">
        <v>9</v>
      </c>
      <c r="D16" s="1">
        <v>3</v>
      </c>
      <c r="E16" s="1">
        <v>3</v>
      </c>
      <c r="F16" s="1">
        <v>1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0</v>
      </c>
    </row>
    <row r="17" spans="1:11" ht="15.75" customHeight="1">
      <c r="A17" s="1" t="s">
        <v>352</v>
      </c>
      <c r="C17" s="1">
        <v>5</v>
      </c>
      <c r="D17" s="1">
        <v>2</v>
      </c>
      <c r="E17" s="1">
        <v>2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0</v>
      </c>
    </row>
    <row r="18" spans="1:11" ht="15.75" customHeight="1">
      <c r="A18" s="1" t="s">
        <v>353</v>
      </c>
      <c r="C18" s="1">
        <v>6</v>
      </c>
      <c r="D18" s="1">
        <v>1</v>
      </c>
      <c r="E18" s="1">
        <v>0</v>
      </c>
      <c r="F18" s="1">
        <v>0</v>
      </c>
      <c r="G18" s="1" t="b">
        <f t="shared" si="0"/>
        <v>1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1" ht="15.75" customHeight="1">
      <c r="A19" s="1" t="s">
        <v>354</v>
      </c>
      <c r="C19" s="1">
        <v>6</v>
      </c>
      <c r="D19" s="1">
        <v>5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1" ht="15.75" customHeight="1">
      <c r="A20" s="1" t="s">
        <v>355</v>
      </c>
      <c r="C20" s="1">
        <v>5</v>
      </c>
      <c r="D20" s="1">
        <v>3</v>
      </c>
      <c r="E20" s="1">
        <v>3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1" ht="15.75" customHeight="1">
      <c r="A21" s="1" t="s">
        <v>356</v>
      </c>
      <c r="C21" s="1">
        <v>4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1" ht="15.75" customHeight="1">
      <c r="A22" s="1" t="s">
        <v>357</v>
      </c>
      <c r="C22" s="1">
        <v>5</v>
      </c>
      <c r="D22" s="1">
        <v>5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1" ht="15.75" customHeight="1">
      <c r="A23" s="1" t="s">
        <v>358</v>
      </c>
      <c r="C23" s="1">
        <v>5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1" ht="15.75" customHeight="1">
      <c r="A24" s="1" t="s">
        <v>359</v>
      </c>
      <c r="C24" s="1">
        <v>5</v>
      </c>
      <c r="D24" s="1">
        <v>5</v>
      </c>
      <c r="E24" s="1">
        <v>1</v>
      </c>
      <c r="F24" s="1">
        <v>1</v>
      </c>
      <c r="G24" s="1" t="b">
        <f t="shared" si="0"/>
        <v>1</v>
      </c>
      <c r="H24" s="1" t="b">
        <f t="shared" si="1"/>
        <v>1</v>
      </c>
      <c r="I24" s="1" t="b">
        <f t="shared" si="2"/>
        <v>0</v>
      </c>
      <c r="J24" s="1" t="b">
        <f t="shared" si="3"/>
        <v>1</v>
      </c>
      <c r="K24" s="1" t="b">
        <f t="shared" si="4"/>
        <v>0</v>
      </c>
    </row>
    <row r="25" spans="1:11" ht="15.75" customHeight="1">
      <c r="A25" s="1" t="s">
        <v>360</v>
      </c>
      <c r="C25" s="1">
        <v>4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1" ht="15.75" customHeight="1">
      <c r="A26" s="1" t="s">
        <v>361</v>
      </c>
      <c r="C26" s="1">
        <v>3</v>
      </c>
      <c r="D26" s="1">
        <v>1</v>
      </c>
      <c r="E26" s="1">
        <v>1</v>
      </c>
      <c r="F26" s="1">
        <v>1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1</v>
      </c>
    </row>
    <row r="27" spans="1:11" ht="15.75" customHeight="1">
      <c r="A27" s="1" t="s">
        <v>362</v>
      </c>
      <c r="C27" s="1">
        <v>5</v>
      </c>
      <c r="D27" s="1">
        <v>3</v>
      </c>
      <c r="E27" s="1">
        <v>3</v>
      </c>
      <c r="F27" s="1">
        <v>0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0</v>
      </c>
      <c r="K27" s="1" t="b">
        <f t="shared" si="4"/>
        <v>0</v>
      </c>
    </row>
    <row r="28" spans="1:11" ht="15.75" customHeight="1">
      <c r="A28" s="1" t="s">
        <v>363</v>
      </c>
      <c r="C28" s="1">
        <v>5</v>
      </c>
      <c r="D28" s="1">
        <v>3</v>
      </c>
      <c r="E28" s="1">
        <v>3</v>
      </c>
      <c r="F28" s="1">
        <v>2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1</v>
      </c>
      <c r="K28" s="1" t="b">
        <f t="shared" si="4"/>
        <v>0</v>
      </c>
    </row>
    <row r="29" spans="1:11" ht="15.75" customHeight="1">
      <c r="A29" s="1" t="s">
        <v>364</v>
      </c>
      <c r="C29" s="1">
        <v>8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1" ht="15.75" customHeight="1">
      <c r="A30" s="1" t="s">
        <v>365</v>
      </c>
      <c r="C30" s="1">
        <v>2</v>
      </c>
      <c r="D30" s="1">
        <v>0</v>
      </c>
      <c r="E30" s="1">
        <v>0</v>
      </c>
      <c r="F30" s="1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1" ht="15.75" customHeight="1">
      <c r="A31" s="1" t="s">
        <v>366</v>
      </c>
      <c r="C31" s="1">
        <v>7</v>
      </c>
      <c r="D31" s="1">
        <v>5</v>
      </c>
      <c r="E31" s="1">
        <v>5</v>
      </c>
      <c r="F31" s="1">
        <v>0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0</v>
      </c>
      <c r="K31" s="1" t="b">
        <f t="shared" si="4"/>
        <v>0</v>
      </c>
    </row>
    <row r="32" spans="1:11" ht="15.75" customHeight="1">
      <c r="A32" s="1" t="s">
        <v>367</v>
      </c>
      <c r="C32" s="1">
        <v>3</v>
      </c>
      <c r="D32" s="1">
        <v>2</v>
      </c>
      <c r="E32" s="1">
        <v>1</v>
      </c>
      <c r="F32" s="1">
        <v>0</v>
      </c>
      <c r="G32" s="1" t="b">
        <f t="shared" si="0"/>
        <v>1</v>
      </c>
      <c r="H32" s="1" t="b">
        <f t="shared" si="1"/>
        <v>1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</row>
    <row r="33" spans="2:12" ht="15.75" customHeight="1">
      <c r="B33" s="1" t="s">
        <v>75</v>
      </c>
      <c r="C33" s="1">
        <f t="shared" ref="C33:F33" si="5">SUM(C2:C32)</f>
        <v>143</v>
      </c>
      <c r="D33" s="1">
        <f t="shared" si="5"/>
        <v>43</v>
      </c>
      <c r="E33" s="1">
        <f t="shared" si="5"/>
        <v>26</v>
      </c>
      <c r="F33" s="1">
        <f t="shared" si="5"/>
        <v>10</v>
      </c>
      <c r="G33" s="1">
        <f t="shared" ref="G33:K33" si="6">COUNTIF(G3:G32,"TRUE")</f>
        <v>16</v>
      </c>
      <c r="H33" s="1">
        <f t="shared" si="6"/>
        <v>12</v>
      </c>
      <c r="I33" s="1">
        <f t="shared" si="6"/>
        <v>10</v>
      </c>
      <c r="J33" s="1">
        <f t="shared" si="6"/>
        <v>8</v>
      </c>
      <c r="K33" s="1">
        <f t="shared" si="6"/>
        <v>4</v>
      </c>
      <c r="L33" s="7">
        <f>COUNTA(E3:E32)</f>
        <v>30</v>
      </c>
    </row>
    <row r="34" spans="2:12" ht="15.75" customHeight="1">
      <c r="E34" s="1" t="s">
        <v>3</v>
      </c>
      <c r="F34" s="2"/>
      <c r="G34" s="2">
        <f>G33/L33</f>
        <v>0.53333333333333333</v>
      </c>
      <c r="H34" s="2">
        <f>H33/L33</f>
        <v>0.4</v>
      </c>
      <c r="I34" s="2">
        <f>I33/L33</f>
        <v>0.33333333333333331</v>
      </c>
      <c r="J34" s="2">
        <f>J33/L33</f>
        <v>0.26666666666666666</v>
      </c>
      <c r="K34" s="2">
        <f>K33/L33</f>
        <v>0.13333333333333333</v>
      </c>
    </row>
    <row r="35" spans="2:12" ht="15.75" customHeight="1">
      <c r="E35" s="1" t="s">
        <v>76</v>
      </c>
      <c r="F35" s="2"/>
      <c r="G35" s="2"/>
      <c r="H35" s="2">
        <f>H33/G33</f>
        <v>0.75</v>
      </c>
      <c r="I35" s="2">
        <f>I33/G33</f>
        <v>0.625</v>
      </c>
      <c r="J35" s="2">
        <f>J33/G33</f>
        <v>0.5</v>
      </c>
      <c r="K35" s="2">
        <f>K33/G33</f>
        <v>0.25</v>
      </c>
    </row>
    <row r="36" spans="2:12" ht="15.75" customHeight="1">
      <c r="E36" s="1" t="s">
        <v>77</v>
      </c>
      <c r="F36" s="2"/>
      <c r="G36" s="2">
        <f>E33/C33</f>
        <v>0.18181818181818182</v>
      </c>
      <c r="H36" s="2">
        <f>E33/D33</f>
        <v>0.60465116279069764</v>
      </c>
    </row>
  </sheetData>
  <hyperlinks>
    <hyperlink ref="A1" r:id="rId1" xr:uid="{00000000-0004-0000-0B00-000000000000}"/>
    <hyperlink ref="E1" r:id="rId2" xr:uid="{00000000-0004-0000-0B00-000001000000}"/>
  </hyperlinks>
  <pageMargins left="0.7" right="0.7" top="0.75" bottom="0.75" header="0.3" footer="0.3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31"/>
  <sheetViews>
    <sheetView workbookViewId="0">
      <selection activeCell="G3" sqref="G3:K27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368</v>
      </c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369</v>
      </c>
      <c r="B3" s="1"/>
      <c r="C3" s="1">
        <v>3</v>
      </c>
      <c r="D3" s="1">
        <v>1</v>
      </c>
      <c r="E3" s="1">
        <v>1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370</v>
      </c>
      <c r="B4" s="1"/>
      <c r="C4" s="1">
        <v>3</v>
      </c>
      <c r="D4" s="1">
        <v>0</v>
      </c>
      <c r="E4" s="1">
        <v>0</v>
      </c>
      <c r="F4" s="1">
        <v>0</v>
      </c>
      <c r="G4" s="1" t="b">
        <f t="shared" ref="G4:G27" si="0">(D4&gt;0)</f>
        <v>0</v>
      </c>
      <c r="H4" s="1" t="b">
        <f t="shared" ref="H4:H27" si="1">(E4&gt;0)</f>
        <v>0</v>
      </c>
      <c r="I4" s="1" t="b">
        <f t="shared" ref="I4:I27" si="2">AND(G4,(D4=E4))</f>
        <v>0</v>
      </c>
      <c r="J4" s="1" t="b">
        <f t="shared" ref="J4:J27" si="3">(F4&gt;0)</f>
        <v>0</v>
      </c>
      <c r="K4" s="1" t="b">
        <f t="shared" ref="K4:K27" si="4">AND(I4,(E4=F4))</f>
        <v>0</v>
      </c>
    </row>
    <row r="5" spans="1:11" ht="15.75" customHeight="1">
      <c r="A5" s="1" t="s">
        <v>371</v>
      </c>
      <c r="B5" s="1"/>
      <c r="C5" s="1">
        <v>3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372</v>
      </c>
      <c r="B6" s="1"/>
      <c r="C6" s="1">
        <v>4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373</v>
      </c>
      <c r="B7" s="1"/>
      <c r="C7" s="1">
        <v>6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374</v>
      </c>
      <c r="B8" s="1"/>
      <c r="C8" s="1">
        <v>0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375</v>
      </c>
      <c r="B9" s="1"/>
      <c r="C9" s="1">
        <v>5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376</v>
      </c>
      <c r="B10" s="1"/>
      <c r="C10" s="1">
        <v>4</v>
      </c>
      <c r="D10" s="1">
        <v>3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377</v>
      </c>
      <c r="B11" s="1"/>
      <c r="C11" s="1">
        <v>10</v>
      </c>
      <c r="D11" s="1">
        <v>1</v>
      </c>
      <c r="E11" s="1">
        <v>1</v>
      </c>
      <c r="F11" s="1">
        <v>1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378</v>
      </c>
      <c r="B12" s="1"/>
      <c r="C12" s="1">
        <v>7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379</v>
      </c>
      <c r="B13" s="1"/>
      <c r="C13" s="1">
        <v>6</v>
      </c>
      <c r="D13" s="1">
        <v>2</v>
      </c>
      <c r="E13" s="1">
        <v>2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0</v>
      </c>
    </row>
    <row r="14" spans="1:11" ht="15.75" customHeight="1">
      <c r="A14" s="1" t="s">
        <v>380</v>
      </c>
      <c r="B14" s="1"/>
      <c r="C14" s="1">
        <v>5</v>
      </c>
      <c r="D14" s="1">
        <v>1</v>
      </c>
      <c r="E14" s="1">
        <v>1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381</v>
      </c>
      <c r="B15" s="1"/>
      <c r="C15" s="1">
        <v>7</v>
      </c>
      <c r="D15" s="1">
        <v>6</v>
      </c>
      <c r="E15" s="1">
        <v>6</v>
      </c>
      <c r="F15" s="1">
        <v>6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1" t="s">
        <v>382</v>
      </c>
      <c r="B16" s="1"/>
      <c r="C16" s="1">
        <v>4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383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384</v>
      </c>
      <c r="B18" s="1"/>
      <c r="C18" s="1">
        <v>6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385</v>
      </c>
      <c r="B19" s="1"/>
      <c r="C19" s="1">
        <v>6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386</v>
      </c>
      <c r="B20" s="1"/>
      <c r="C20" s="1">
        <v>7</v>
      </c>
      <c r="D20" s="1">
        <v>1</v>
      </c>
      <c r="E20" s="1">
        <v>1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387</v>
      </c>
      <c r="B21" s="1"/>
      <c r="C21" s="1">
        <v>6</v>
      </c>
      <c r="D21" s="1">
        <v>4</v>
      </c>
      <c r="E21" s="1">
        <v>2</v>
      </c>
      <c r="F21" s="1">
        <v>2</v>
      </c>
      <c r="G21" s="1" t="b">
        <f t="shared" si="0"/>
        <v>1</v>
      </c>
      <c r="H21" s="1" t="b">
        <f t="shared" si="1"/>
        <v>1</v>
      </c>
      <c r="I21" s="1" t="b">
        <f t="shared" si="2"/>
        <v>0</v>
      </c>
      <c r="J21" s="1" t="b">
        <f t="shared" si="3"/>
        <v>1</v>
      </c>
      <c r="K21" s="1" t="b">
        <f t="shared" si="4"/>
        <v>0</v>
      </c>
    </row>
    <row r="22" spans="1:12" ht="15.75" customHeight="1">
      <c r="A22" s="1" t="s">
        <v>388</v>
      </c>
      <c r="B22" s="1"/>
      <c r="C22" s="1">
        <v>9</v>
      </c>
      <c r="D22" s="1">
        <v>6</v>
      </c>
      <c r="E22" s="1">
        <v>6</v>
      </c>
      <c r="F22" s="1">
        <v>0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389</v>
      </c>
      <c r="B23" s="1"/>
      <c r="C23" s="1">
        <v>6</v>
      </c>
      <c r="D23" s="1">
        <v>2</v>
      </c>
      <c r="E23" s="1">
        <v>2</v>
      </c>
      <c r="F23" s="1">
        <v>2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1</v>
      </c>
    </row>
    <row r="24" spans="1:12" ht="15.75" customHeight="1">
      <c r="A24" s="1" t="s">
        <v>390</v>
      </c>
      <c r="B24" s="1"/>
      <c r="C24" s="1">
        <v>3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391</v>
      </c>
      <c r="B25" s="1"/>
      <c r="C25" s="1">
        <v>2</v>
      </c>
      <c r="D25" s="1">
        <v>1</v>
      </c>
      <c r="E25" s="1">
        <v>1</v>
      </c>
      <c r="F25" s="1">
        <v>1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1</v>
      </c>
    </row>
    <row r="26" spans="1:12" ht="15.75" customHeight="1">
      <c r="A26" s="1" t="s">
        <v>392</v>
      </c>
      <c r="B26" s="1"/>
      <c r="C26" s="1">
        <v>2</v>
      </c>
      <c r="D26" s="1">
        <v>2</v>
      </c>
      <c r="E26" s="1">
        <v>2</v>
      </c>
      <c r="F26" s="1">
        <v>2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1</v>
      </c>
    </row>
    <row r="27" spans="1:12" ht="15.75" customHeight="1">
      <c r="A27" s="1" t="s">
        <v>393</v>
      </c>
      <c r="B27" s="1"/>
      <c r="C27" s="1">
        <v>3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B28" s="1" t="s">
        <v>75</v>
      </c>
      <c r="C28" s="1">
        <f t="shared" ref="C28:F28" si="5">SUM(C2:C27)</f>
        <v>123</v>
      </c>
      <c r="D28" s="1">
        <f t="shared" si="5"/>
        <v>31</v>
      </c>
      <c r="E28" s="1">
        <f t="shared" si="5"/>
        <v>26</v>
      </c>
      <c r="F28" s="1">
        <f t="shared" si="5"/>
        <v>16</v>
      </c>
      <c r="G28" s="1">
        <f t="shared" ref="G28:K28" si="6">COUNTIF(G3:G27,"TRUE")</f>
        <v>13</v>
      </c>
      <c r="H28" s="1">
        <f t="shared" si="6"/>
        <v>12</v>
      </c>
      <c r="I28" s="1">
        <f t="shared" si="6"/>
        <v>11</v>
      </c>
      <c r="J28" s="1">
        <f t="shared" si="6"/>
        <v>8</v>
      </c>
      <c r="K28" s="1">
        <f t="shared" si="6"/>
        <v>6</v>
      </c>
      <c r="L28" s="7">
        <f>COUNTA(E3:E27)</f>
        <v>25</v>
      </c>
    </row>
    <row r="29" spans="1:12" ht="15.75" customHeight="1">
      <c r="E29" s="1" t="s">
        <v>3</v>
      </c>
      <c r="F29" s="2"/>
      <c r="G29" s="2">
        <f>G28/L28</f>
        <v>0.52</v>
      </c>
      <c r="H29" s="2">
        <f>H28/L28</f>
        <v>0.48</v>
      </c>
      <c r="I29" s="2">
        <f>I28/L28</f>
        <v>0.44</v>
      </c>
      <c r="J29" s="2">
        <f>J28/L28</f>
        <v>0.32</v>
      </c>
      <c r="K29" s="2">
        <f>K28/L28</f>
        <v>0.24</v>
      </c>
    </row>
    <row r="30" spans="1:12" ht="15.75" customHeight="1">
      <c r="E30" s="1" t="s">
        <v>76</v>
      </c>
      <c r="F30" s="2"/>
      <c r="G30" s="2"/>
      <c r="H30" s="2">
        <f>H28/G28</f>
        <v>0.92307692307692313</v>
      </c>
      <c r="I30" s="2">
        <f>I28/G28</f>
        <v>0.84615384615384615</v>
      </c>
      <c r="J30" s="2">
        <f>J28/G28</f>
        <v>0.61538461538461542</v>
      </c>
      <c r="K30" s="2">
        <f>K28/G28</f>
        <v>0.46153846153846156</v>
      </c>
    </row>
    <row r="31" spans="1:12" ht="15.75" customHeight="1">
      <c r="E31" s="1" t="s">
        <v>77</v>
      </c>
      <c r="F31" s="2"/>
      <c r="G31" s="2">
        <f>E28/C28</f>
        <v>0.21138211382113822</v>
      </c>
      <c r="H31" s="2">
        <f>E28/D28</f>
        <v>0.83870967741935487</v>
      </c>
    </row>
  </sheetData>
  <hyperlinks>
    <hyperlink ref="E1" r:id="rId1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Vaidyanathan</cp:lastModifiedBy>
  <dcterms:modified xsi:type="dcterms:W3CDTF">2025-06-11T21:10:14Z</dcterms:modified>
</cp:coreProperties>
</file>