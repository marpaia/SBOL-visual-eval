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ash/work_misc/acs_sbol10years/FinalSubmission/ACS Supplemental Information/"/>
    </mc:Choice>
  </mc:AlternateContent>
  <xr:revisionPtr revIDLastSave="0" documentId="13_ncr:1_{0854354E-38DE-C045-8CBA-937AC7F87286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/>
  <c r="H4" i="13"/>
  <c r="I4" i="13"/>
  <c r="J4" i="13"/>
  <c r="K4" i="13"/>
  <c r="G5" i="13"/>
  <c r="H5" i="13"/>
  <c r="I5" i="13"/>
  <c r="J5" i="13"/>
  <c r="K5" i="13"/>
  <c r="G6" i="13"/>
  <c r="H6" i="13"/>
  <c r="I6" i="13"/>
  <c r="J6" i="13"/>
  <c r="K6" i="13"/>
  <c r="G7" i="13"/>
  <c r="H7" i="13"/>
  <c r="I7" i="13"/>
  <c r="J7" i="13"/>
  <c r="K7" i="13"/>
  <c r="G8" i="13"/>
  <c r="H8" i="13"/>
  <c r="I8" i="13"/>
  <c r="J8" i="13"/>
  <c r="K8" i="13"/>
  <c r="G9" i="13"/>
  <c r="H9" i="13"/>
  <c r="I9" i="13"/>
  <c r="J9" i="13"/>
  <c r="K9" i="13"/>
  <c r="G10" i="13"/>
  <c r="H10" i="13"/>
  <c r="I10" i="13"/>
  <c r="J10" i="13"/>
  <c r="K10" i="13"/>
  <c r="G11" i="13"/>
  <c r="H11" i="13"/>
  <c r="I11" i="13"/>
  <c r="J11" i="13"/>
  <c r="K11" i="13"/>
  <c r="G12" i="13"/>
  <c r="H12" i="13"/>
  <c r="I12" i="13"/>
  <c r="J12" i="13"/>
  <c r="K12" i="13"/>
  <c r="G13" i="13"/>
  <c r="H13" i="13"/>
  <c r="I13" i="13"/>
  <c r="J13" i="13"/>
  <c r="K13" i="13"/>
  <c r="G14" i="13"/>
  <c r="H14" i="13"/>
  <c r="I14" i="13"/>
  <c r="J14" i="13"/>
  <c r="K14" i="13"/>
  <c r="G15" i="13"/>
  <c r="H15" i="13"/>
  <c r="I15" i="13"/>
  <c r="J15" i="13"/>
  <c r="K15" i="13"/>
  <c r="G16" i="13"/>
  <c r="H16" i="13"/>
  <c r="I16" i="13"/>
  <c r="J16" i="13"/>
  <c r="K16" i="13"/>
  <c r="G17" i="13"/>
  <c r="H17" i="13"/>
  <c r="I17" i="13"/>
  <c r="J17" i="13"/>
  <c r="K17" i="13"/>
  <c r="G18" i="13"/>
  <c r="H18" i="13"/>
  <c r="I18" i="13"/>
  <c r="J18" i="13"/>
  <c r="K18" i="13"/>
  <c r="G19" i="13"/>
  <c r="H19" i="13"/>
  <c r="I19" i="13"/>
  <c r="J19" i="13"/>
  <c r="K19" i="13"/>
  <c r="G20" i="13"/>
  <c r="H20" i="13"/>
  <c r="I20" i="13"/>
  <c r="J20" i="13"/>
  <c r="K20" i="13"/>
  <c r="G21" i="13"/>
  <c r="H21" i="13"/>
  <c r="I21" i="13"/>
  <c r="J21" i="13"/>
  <c r="K21" i="13"/>
  <c r="G22" i="13"/>
  <c r="H22" i="13"/>
  <c r="I22" i="13"/>
  <c r="J22" i="13"/>
  <c r="K22" i="13"/>
  <c r="G23" i="13"/>
  <c r="H23" i="13"/>
  <c r="I23" i="13"/>
  <c r="J23" i="13"/>
  <c r="K23" i="13"/>
  <c r="G24" i="13"/>
  <c r="H24" i="13"/>
  <c r="I24" i="13"/>
  <c r="J24" i="13"/>
  <c r="K24" i="13"/>
  <c r="G25" i="13"/>
  <c r="H25" i="13"/>
  <c r="I25" i="13"/>
  <c r="J25" i="13"/>
  <c r="K25" i="13"/>
  <c r="G26" i="13"/>
  <c r="H26" i="13"/>
  <c r="I26" i="13"/>
  <c r="J26" i="13"/>
  <c r="K26" i="13"/>
  <c r="G4" i="12"/>
  <c r="H4" i="12"/>
  <c r="I4" i="12"/>
  <c r="J4" i="12"/>
  <c r="K4" i="12"/>
  <c r="G5" i="12"/>
  <c r="H5" i="12"/>
  <c r="I5" i="12"/>
  <c r="K5" i="12" s="1"/>
  <c r="J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9" i="12"/>
  <c r="H9" i="12"/>
  <c r="I9" i="12"/>
  <c r="K9" i="12" s="1"/>
  <c r="J9" i="12"/>
  <c r="G10" i="12"/>
  <c r="H10" i="12"/>
  <c r="I10" i="12"/>
  <c r="J10" i="12"/>
  <c r="K10" i="12"/>
  <c r="G11" i="12"/>
  <c r="H11" i="12"/>
  <c r="I11" i="12"/>
  <c r="J11" i="12"/>
  <c r="K11" i="12"/>
  <c r="G12" i="12"/>
  <c r="H12" i="12"/>
  <c r="I12" i="12"/>
  <c r="J12" i="12"/>
  <c r="K12" i="12"/>
  <c r="G13" i="12"/>
  <c r="H13" i="12"/>
  <c r="I13" i="12"/>
  <c r="J13" i="12"/>
  <c r="K13" i="12"/>
  <c r="G14" i="12"/>
  <c r="H14" i="12"/>
  <c r="I14" i="12"/>
  <c r="J14" i="12"/>
  <c r="K14" i="12"/>
  <c r="G15" i="12"/>
  <c r="H15" i="12"/>
  <c r="I15" i="12"/>
  <c r="J15" i="12"/>
  <c r="K15" i="12"/>
  <c r="G16" i="12"/>
  <c r="H16" i="12"/>
  <c r="I16" i="12"/>
  <c r="J16" i="12"/>
  <c r="K16" i="12"/>
  <c r="G17" i="12"/>
  <c r="H17" i="12"/>
  <c r="I17" i="12"/>
  <c r="J17" i="12"/>
  <c r="K17" i="12"/>
  <c r="G18" i="12"/>
  <c r="H18" i="12"/>
  <c r="I18" i="12"/>
  <c r="J18" i="12"/>
  <c r="K18" i="12"/>
  <c r="G19" i="12"/>
  <c r="H19" i="12"/>
  <c r="I19" i="12"/>
  <c r="J19" i="12"/>
  <c r="K19" i="12"/>
  <c r="G20" i="12"/>
  <c r="H20" i="12"/>
  <c r="I20" i="12"/>
  <c r="J20" i="12"/>
  <c r="K20" i="12"/>
  <c r="G21" i="12"/>
  <c r="H21" i="12"/>
  <c r="I21" i="12"/>
  <c r="J21" i="12"/>
  <c r="K21" i="12"/>
  <c r="G22" i="12"/>
  <c r="H22" i="12"/>
  <c r="I22" i="12"/>
  <c r="J22" i="12"/>
  <c r="K22" i="12"/>
  <c r="G23" i="12"/>
  <c r="H23" i="12"/>
  <c r="I23" i="12"/>
  <c r="J23" i="12"/>
  <c r="K23" i="12"/>
  <c r="G24" i="12"/>
  <c r="H24" i="12"/>
  <c r="I24" i="12"/>
  <c r="J24" i="12"/>
  <c r="K24" i="12"/>
  <c r="G25" i="12"/>
  <c r="H25" i="12"/>
  <c r="I25" i="12"/>
  <c r="J25" i="12"/>
  <c r="K25" i="12"/>
  <c r="G26" i="12"/>
  <c r="H26" i="12"/>
  <c r="I26" i="12"/>
  <c r="J26" i="12"/>
  <c r="K26" i="12"/>
  <c r="G27" i="12"/>
  <c r="H27" i="12"/>
  <c r="I27" i="12"/>
  <c r="J27" i="12"/>
  <c r="K27" i="12"/>
  <c r="G28" i="12"/>
  <c r="H28" i="12"/>
  <c r="I28" i="12"/>
  <c r="J28" i="12"/>
  <c r="K28" i="12"/>
  <c r="G29" i="12"/>
  <c r="H29" i="12"/>
  <c r="I29" i="12"/>
  <c r="J29" i="12"/>
  <c r="K29" i="12"/>
  <c r="G30" i="12"/>
  <c r="H30" i="12"/>
  <c r="I30" i="12"/>
  <c r="J30" i="12"/>
  <c r="K30" i="12"/>
  <c r="G31" i="12"/>
  <c r="H31" i="12"/>
  <c r="I31" i="12"/>
  <c r="J31" i="12"/>
  <c r="K31" i="12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15" i="1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G18" i="11"/>
  <c r="H18" i="11"/>
  <c r="I18" i="11"/>
  <c r="J18" i="11"/>
  <c r="K18" i="11"/>
  <c r="G19" i="11"/>
  <c r="H19" i="11"/>
  <c r="I19" i="11"/>
  <c r="J19" i="11"/>
  <c r="K19" i="11"/>
  <c r="G20" i="11"/>
  <c r="H20" i="11"/>
  <c r="I20" i="11"/>
  <c r="J20" i="11"/>
  <c r="K20" i="11"/>
  <c r="G21" i="11"/>
  <c r="H21" i="11"/>
  <c r="I21" i="11"/>
  <c r="J21" i="11"/>
  <c r="K21" i="11"/>
  <c r="G22" i="11"/>
  <c r="H22" i="11"/>
  <c r="I22" i="11"/>
  <c r="J22" i="11"/>
  <c r="K22" i="11"/>
  <c r="G23" i="11"/>
  <c r="H23" i="11"/>
  <c r="I23" i="11"/>
  <c r="J23" i="11"/>
  <c r="K23" i="11"/>
  <c r="G24" i="11"/>
  <c r="H24" i="11"/>
  <c r="I24" i="11"/>
  <c r="J24" i="11"/>
  <c r="K24" i="11"/>
  <c r="G25" i="11"/>
  <c r="H25" i="11"/>
  <c r="I25" i="11"/>
  <c r="J25" i="11"/>
  <c r="K25" i="11"/>
  <c r="G4" i="10"/>
  <c r="H4" i="10"/>
  <c r="I4" i="10"/>
  <c r="J4" i="10"/>
  <c r="K4" i="10"/>
  <c r="G5" i="10"/>
  <c r="H5" i="10"/>
  <c r="I5" i="10"/>
  <c r="J5" i="10"/>
  <c r="K5" i="10"/>
  <c r="G6" i="10"/>
  <c r="H6" i="10"/>
  <c r="I6" i="10"/>
  <c r="J6" i="10"/>
  <c r="K6" i="10"/>
  <c r="G7" i="10"/>
  <c r="H7" i="10"/>
  <c r="I7" i="10"/>
  <c r="J7" i="10"/>
  <c r="K7" i="10"/>
  <c r="G8" i="10"/>
  <c r="H8" i="10"/>
  <c r="I8" i="10"/>
  <c r="J8" i="10"/>
  <c r="K8" i="10"/>
  <c r="G9" i="10"/>
  <c r="H9" i="10"/>
  <c r="I9" i="10"/>
  <c r="J9" i="10"/>
  <c r="K9" i="10"/>
  <c r="G10" i="10"/>
  <c r="H10" i="10"/>
  <c r="I10" i="10"/>
  <c r="J10" i="10"/>
  <c r="K10" i="10"/>
  <c r="G11" i="10"/>
  <c r="H11" i="10"/>
  <c r="I11" i="10"/>
  <c r="J11" i="10"/>
  <c r="K11" i="10"/>
  <c r="G12" i="10"/>
  <c r="H12" i="10"/>
  <c r="I12" i="10"/>
  <c r="J12" i="10"/>
  <c r="K12" i="10"/>
  <c r="G13" i="10"/>
  <c r="H13" i="10"/>
  <c r="I13" i="10"/>
  <c r="J13" i="10"/>
  <c r="K13" i="10"/>
  <c r="G14" i="10"/>
  <c r="H14" i="10"/>
  <c r="I14" i="10"/>
  <c r="J14" i="10"/>
  <c r="K14" i="10"/>
  <c r="G15" i="10"/>
  <c r="H15" i="10"/>
  <c r="I15" i="10"/>
  <c r="J15" i="10"/>
  <c r="K15" i="10"/>
  <c r="G16" i="10"/>
  <c r="H16" i="10"/>
  <c r="I16" i="10"/>
  <c r="J16" i="10"/>
  <c r="K16" i="10"/>
  <c r="G17" i="10"/>
  <c r="H17" i="10"/>
  <c r="I17" i="10"/>
  <c r="J17" i="10"/>
  <c r="K17" i="10"/>
  <c r="G18" i="10"/>
  <c r="H18" i="10"/>
  <c r="I18" i="10"/>
  <c r="J18" i="10"/>
  <c r="K18" i="10"/>
  <c r="G19" i="10"/>
  <c r="H19" i="10"/>
  <c r="I19" i="10"/>
  <c r="J19" i="10"/>
  <c r="K19" i="10"/>
  <c r="G20" i="10"/>
  <c r="H20" i="10"/>
  <c r="I20" i="10"/>
  <c r="J20" i="10"/>
  <c r="K20" i="10"/>
  <c r="G21" i="10"/>
  <c r="H21" i="10"/>
  <c r="I21" i="10"/>
  <c r="J21" i="10"/>
  <c r="K21" i="10"/>
  <c r="G22" i="10"/>
  <c r="H22" i="10"/>
  <c r="I22" i="10"/>
  <c r="J22" i="10"/>
  <c r="K22" i="10"/>
  <c r="G23" i="10"/>
  <c r="H23" i="10"/>
  <c r="I23" i="10"/>
  <c r="J23" i="10"/>
  <c r="K23" i="10"/>
  <c r="G24" i="10"/>
  <c r="H24" i="10"/>
  <c r="I24" i="10"/>
  <c r="J24" i="10"/>
  <c r="K24" i="10"/>
  <c r="G25" i="10"/>
  <c r="H25" i="10"/>
  <c r="I25" i="10"/>
  <c r="J25" i="10"/>
  <c r="K25" i="10"/>
  <c r="G26" i="10"/>
  <c r="H26" i="10"/>
  <c r="I26" i="10"/>
  <c r="J26" i="10"/>
  <c r="K26" i="10"/>
  <c r="G27" i="10"/>
  <c r="H27" i="10"/>
  <c r="I27" i="10"/>
  <c r="J27" i="10"/>
  <c r="K27" i="10"/>
  <c r="G28" i="10"/>
  <c r="H28" i="10"/>
  <c r="I28" i="10"/>
  <c r="J28" i="10"/>
  <c r="K28" i="10"/>
  <c r="G29" i="10"/>
  <c r="H29" i="10"/>
  <c r="I29" i="10"/>
  <c r="J29" i="10"/>
  <c r="K29" i="10"/>
  <c r="G30" i="10"/>
  <c r="H30" i="10"/>
  <c r="I30" i="10"/>
  <c r="J30" i="10"/>
  <c r="K30" i="10"/>
  <c r="G31" i="10"/>
  <c r="H31" i="10"/>
  <c r="I31" i="10"/>
  <c r="J31" i="10"/>
  <c r="K31" i="10"/>
  <c r="G32" i="10"/>
  <c r="H32" i="10"/>
  <c r="I32" i="10"/>
  <c r="J32" i="10"/>
  <c r="K32" i="10"/>
  <c r="G33" i="10"/>
  <c r="H33" i="10"/>
  <c r="I33" i="10"/>
  <c r="J33" i="10"/>
  <c r="K33" i="10"/>
  <c r="G34" i="10"/>
  <c r="H34" i="10"/>
  <c r="I34" i="10"/>
  <c r="J34" i="10"/>
  <c r="K34" i="10"/>
  <c r="G35" i="10"/>
  <c r="H35" i="10"/>
  <c r="I35" i="10"/>
  <c r="J35" i="10"/>
  <c r="K35" i="10"/>
  <c r="G36" i="10"/>
  <c r="H36" i="10"/>
  <c r="I36" i="10"/>
  <c r="J36" i="10"/>
  <c r="K36" i="10"/>
  <c r="G37" i="10"/>
  <c r="H37" i="10"/>
  <c r="I37" i="10"/>
  <c r="J37" i="10"/>
  <c r="K37" i="10"/>
  <c r="G38" i="10"/>
  <c r="H38" i="10"/>
  <c r="I38" i="10"/>
  <c r="J38" i="10"/>
  <c r="K38" i="10"/>
  <c r="G39" i="10"/>
  <c r="H39" i="10"/>
  <c r="I39" i="10"/>
  <c r="J39" i="10"/>
  <c r="K39" i="10"/>
  <c r="G40" i="10"/>
  <c r="H40" i="10"/>
  <c r="I40" i="10"/>
  <c r="J40" i="10"/>
  <c r="K40" i="10"/>
  <c r="G4" i="9"/>
  <c r="H4" i="9"/>
  <c r="I4" i="9"/>
  <c r="J4" i="9"/>
  <c r="K4" i="9"/>
  <c r="G5" i="9"/>
  <c r="H5" i="9"/>
  <c r="I5" i="9"/>
  <c r="J5" i="9"/>
  <c r="K5" i="9"/>
  <c r="G6" i="9"/>
  <c r="H6" i="9"/>
  <c r="I6" i="9"/>
  <c r="J6" i="9"/>
  <c r="K6" i="9"/>
  <c r="G7" i="9"/>
  <c r="H7" i="9"/>
  <c r="I7" i="9"/>
  <c r="J7" i="9"/>
  <c r="K7" i="9"/>
  <c r="G8" i="9"/>
  <c r="H8" i="9"/>
  <c r="I8" i="9"/>
  <c r="J8" i="9"/>
  <c r="K8" i="9"/>
  <c r="G9" i="9"/>
  <c r="H9" i="9"/>
  <c r="I9" i="9"/>
  <c r="J9" i="9"/>
  <c r="K9" i="9"/>
  <c r="G10" i="9"/>
  <c r="H10" i="9"/>
  <c r="I10" i="9"/>
  <c r="J10" i="9"/>
  <c r="K10" i="9"/>
  <c r="G11" i="9"/>
  <c r="H11" i="9"/>
  <c r="I11" i="9"/>
  <c r="J11" i="9"/>
  <c r="K11" i="9"/>
  <c r="G12" i="9"/>
  <c r="H12" i="9"/>
  <c r="I12" i="9"/>
  <c r="J12" i="9"/>
  <c r="K12" i="9"/>
  <c r="G13" i="9"/>
  <c r="H13" i="9"/>
  <c r="I13" i="9"/>
  <c r="J13" i="9"/>
  <c r="K13" i="9"/>
  <c r="G14" i="9"/>
  <c r="H14" i="9"/>
  <c r="I14" i="9"/>
  <c r="J14" i="9"/>
  <c r="K14" i="9"/>
  <c r="G15" i="9"/>
  <c r="H15" i="9"/>
  <c r="I15" i="9"/>
  <c r="J15" i="9"/>
  <c r="K15" i="9"/>
  <c r="G16" i="9"/>
  <c r="H16" i="9"/>
  <c r="I16" i="9"/>
  <c r="J16" i="9"/>
  <c r="K16" i="9"/>
  <c r="G17" i="9"/>
  <c r="H17" i="9"/>
  <c r="I17" i="9"/>
  <c r="J17" i="9"/>
  <c r="K17" i="9"/>
  <c r="G18" i="9"/>
  <c r="H18" i="9"/>
  <c r="I18" i="9"/>
  <c r="J18" i="9"/>
  <c r="K18" i="9"/>
  <c r="G19" i="9"/>
  <c r="H19" i="9"/>
  <c r="I19" i="9"/>
  <c r="J19" i="9"/>
  <c r="K19" i="9"/>
  <c r="G20" i="9"/>
  <c r="H20" i="9"/>
  <c r="I20" i="9"/>
  <c r="J20" i="9"/>
  <c r="K20" i="9"/>
  <c r="G21" i="9"/>
  <c r="H21" i="9"/>
  <c r="I21" i="9"/>
  <c r="J21" i="9"/>
  <c r="K21" i="9"/>
  <c r="G22" i="9"/>
  <c r="H22" i="9"/>
  <c r="I22" i="9"/>
  <c r="J22" i="9"/>
  <c r="K22" i="9"/>
  <c r="G23" i="9"/>
  <c r="H23" i="9"/>
  <c r="I23" i="9"/>
  <c r="J23" i="9"/>
  <c r="K23" i="9"/>
  <c r="G24" i="9"/>
  <c r="H24" i="9"/>
  <c r="I24" i="9"/>
  <c r="J24" i="9"/>
  <c r="K24" i="9"/>
  <c r="G25" i="9"/>
  <c r="H25" i="9"/>
  <c r="I25" i="9"/>
  <c r="J25" i="9"/>
  <c r="K25" i="9"/>
  <c r="G26" i="9"/>
  <c r="H26" i="9"/>
  <c r="I26" i="9"/>
  <c r="J26" i="9"/>
  <c r="K26" i="9"/>
  <c r="G27" i="9"/>
  <c r="H27" i="9"/>
  <c r="I27" i="9"/>
  <c r="J27" i="9"/>
  <c r="K27" i="9"/>
  <c r="G28" i="9"/>
  <c r="H28" i="9"/>
  <c r="I28" i="9"/>
  <c r="J28" i="9"/>
  <c r="K28" i="9"/>
  <c r="G29" i="9"/>
  <c r="H29" i="9"/>
  <c r="I29" i="9"/>
  <c r="J29" i="9"/>
  <c r="K29" i="9"/>
  <c r="G4" i="8"/>
  <c r="H4" i="8"/>
  <c r="I4" i="8"/>
  <c r="J4" i="8"/>
  <c r="K4" i="8"/>
  <c r="G5" i="8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G8" i="8"/>
  <c r="H8" i="8"/>
  <c r="I8" i="8"/>
  <c r="J8" i="8"/>
  <c r="K8" i="8"/>
  <c r="G9" i="8"/>
  <c r="H9" i="8"/>
  <c r="I9" i="8"/>
  <c r="J9" i="8"/>
  <c r="K9" i="8"/>
  <c r="G10" i="8"/>
  <c r="H10" i="8"/>
  <c r="I10" i="8"/>
  <c r="J10" i="8"/>
  <c r="K10" i="8"/>
  <c r="G11" i="8"/>
  <c r="H11" i="8"/>
  <c r="I11" i="8"/>
  <c r="J11" i="8"/>
  <c r="K11" i="8"/>
  <c r="G12" i="8"/>
  <c r="H12" i="8"/>
  <c r="I12" i="8"/>
  <c r="J12" i="8"/>
  <c r="K12" i="8"/>
  <c r="G13" i="8"/>
  <c r="H13" i="8"/>
  <c r="I13" i="8"/>
  <c r="J13" i="8"/>
  <c r="K13" i="8"/>
  <c r="G14" i="8"/>
  <c r="H14" i="8"/>
  <c r="I14" i="8"/>
  <c r="J14" i="8"/>
  <c r="K14" i="8"/>
  <c r="G15" i="8"/>
  <c r="H15" i="8"/>
  <c r="I15" i="8"/>
  <c r="J15" i="8"/>
  <c r="K15" i="8"/>
  <c r="G16" i="8"/>
  <c r="H16" i="8"/>
  <c r="I16" i="8"/>
  <c r="J16" i="8"/>
  <c r="K16" i="8"/>
  <c r="G17" i="8"/>
  <c r="H17" i="8"/>
  <c r="I17" i="8"/>
  <c r="J17" i="8"/>
  <c r="K17" i="8"/>
  <c r="G18" i="8"/>
  <c r="H18" i="8"/>
  <c r="I18" i="8"/>
  <c r="J18" i="8"/>
  <c r="K18" i="8"/>
  <c r="G19" i="8"/>
  <c r="H19" i="8"/>
  <c r="I19" i="8"/>
  <c r="J19" i="8"/>
  <c r="K19" i="8"/>
  <c r="G20" i="8"/>
  <c r="H20" i="8"/>
  <c r="I20" i="8"/>
  <c r="J20" i="8"/>
  <c r="K20" i="8"/>
  <c r="G21" i="8"/>
  <c r="H21" i="8"/>
  <c r="I21" i="8"/>
  <c r="J21" i="8"/>
  <c r="K21" i="8"/>
  <c r="G22" i="8"/>
  <c r="H22" i="8"/>
  <c r="I22" i="8"/>
  <c r="J22" i="8"/>
  <c r="K22" i="8"/>
  <c r="G23" i="8"/>
  <c r="H23" i="8"/>
  <c r="I23" i="8"/>
  <c r="J23" i="8"/>
  <c r="K23" i="8"/>
  <c r="G24" i="8"/>
  <c r="H24" i="8"/>
  <c r="I24" i="8"/>
  <c r="J24" i="8"/>
  <c r="K24" i="8"/>
  <c r="G25" i="8"/>
  <c r="H25" i="8"/>
  <c r="I25" i="8"/>
  <c r="J25" i="8"/>
  <c r="K25" i="8"/>
  <c r="G26" i="8"/>
  <c r="H26" i="8"/>
  <c r="I26" i="8"/>
  <c r="J26" i="8"/>
  <c r="K26" i="8"/>
  <c r="G27" i="8"/>
  <c r="H27" i="8"/>
  <c r="I27" i="8"/>
  <c r="J27" i="8"/>
  <c r="K27" i="8"/>
  <c r="G28" i="8"/>
  <c r="H28" i="8"/>
  <c r="I28" i="8"/>
  <c r="J28" i="8"/>
  <c r="K28" i="8"/>
  <c r="G29" i="8"/>
  <c r="H29" i="8"/>
  <c r="I29" i="8"/>
  <c r="J29" i="8"/>
  <c r="K29" i="8"/>
  <c r="G30" i="8"/>
  <c r="H30" i="8"/>
  <c r="I30" i="8"/>
  <c r="J30" i="8"/>
  <c r="K30" i="8"/>
  <c r="G31" i="8"/>
  <c r="H31" i="8"/>
  <c r="I31" i="8"/>
  <c r="J31" i="8"/>
  <c r="K31" i="8"/>
  <c r="G32" i="8"/>
  <c r="H32" i="8"/>
  <c r="I32" i="8"/>
  <c r="J32" i="8"/>
  <c r="K32" i="8"/>
  <c r="G33" i="8"/>
  <c r="H33" i="8"/>
  <c r="I33" i="8"/>
  <c r="J33" i="8"/>
  <c r="K33" i="8"/>
  <c r="G34" i="8"/>
  <c r="H34" i="8"/>
  <c r="I34" i="8"/>
  <c r="J34" i="8"/>
  <c r="K34" i="8"/>
  <c r="G35" i="8"/>
  <c r="H35" i="8"/>
  <c r="I35" i="8"/>
  <c r="J35" i="8"/>
  <c r="K35" i="8"/>
  <c r="G36" i="8"/>
  <c r="H36" i="8"/>
  <c r="I36" i="8"/>
  <c r="J36" i="8"/>
  <c r="K36" i="8"/>
  <c r="G37" i="8"/>
  <c r="H37" i="8"/>
  <c r="I37" i="8"/>
  <c r="J37" i="8"/>
  <c r="K37" i="8"/>
  <c r="G38" i="8"/>
  <c r="H38" i="8"/>
  <c r="I38" i="8"/>
  <c r="J38" i="8"/>
  <c r="K38" i="8"/>
  <c r="G39" i="8"/>
  <c r="H39" i="8"/>
  <c r="I39" i="8"/>
  <c r="J39" i="8"/>
  <c r="K39" i="8"/>
  <c r="G40" i="8"/>
  <c r="H40" i="8"/>
  <c r="I40" i="8"/>
  <c r="J40" i="8"/>
  <c r="K40" i="8"/>
  <c r="G41" i="8"/>
  <c r="H41" i="8"/>
  <c r="I41" i="8"/>
  <c r="J41" i="8"/>
  <c r="K41" i="8"/>
  <c r="G42" i="8"/>
  <c r="H42" i="8"/>
  <c r="I42" i="8"/>
  <c r="J42" i="8"/>
  <c r="K42" i="8"/>
  <c r="G4" i="7"/>
  <c r="H4" i="7"/>
  <c r="I4" i="7"/>
  <c r="J4" i="7"/>
  <c r="K4" i="7"/>
  <c r="G5" i="7"/>
  <c r="H5" i="7"/>
  <c r="I5" i="7"/>
  <c r="K5" i="7" s="1"/>
  <c r="J5" i="7"/>
  <c r="G6" i="7"/>
  <c r="I6" i="7" s="1"/>
  <c r="K6" i="7" s="1"/>
  <c r="H6" i="7"/>
  <c r="J6" i="7"/>
  <c r="G7" i="7"/>
  <c r="H7" i="7"/>
  <c r="I7" i="7"/>
  <c r="K7" i="7" s="1"/>
  <c r="J7" i="7"/>
  <c r="G8" i="7"/>
  <c r="I8" i="7" s="1"/>
  <c r="K8" i="7" s="1"/>
  <c r="H8" i="7"/>
  <c r="J8" i="7"/>
  <c r="G9" i="7"/>
  <c r="H9" i="7"/>
  <c r="I9" i="7"/>
  <c r="K9" i="7" s="1"/>
  <c r="J9" i="7"/>
  <c r="G10" i="7"/>
  <c r="H10" i="7"/>
  <c r="I10" i="7"/>
  <c r="K10" i="7" s="1"/>
  <c r="J10" i="7"/>
  <c r="G11" i="7"/>
  <c r="H11" i="7"/>
  <c r="I11" i="7"/>
  <c r="K11" i="7" s="1"/>
  <c r="J11" i="7"/>
  <c r="G12" i="7"/>
  <c r="H12" i="7"/>
  <c r="I12" i="7"/>
  <c r="K12" i="7" s="1"/>
  <c r="J12" i="7"/>
  <c r="G13" i="7"/>
  <c r="H13" i="7"/>
  <c r="I13" i="7"/>
  <c r="K13" i="7" s="1"/>
  <c r="J13" i="7"/>
  <c r="G14" i="7"/>
  <c r="H14" i="7"/>
  <c r="I14" i="7"/>
  <c r="J14" i="7"/>
  <c r="K14" i="7"/>
  <c r="G15" i="7"/>
  <c r="H15" i="7"/>
  <c r="I15" i="7"/>
  <c r="K15" i="7" s="1"/>
  <c r="J15" i="7"/>
  <c r="G16" i="7"/>
  <c r="H16" i="7"/>
  <c r="I16" i="7"/>
  <c r="J16" i="7"/>
  <c r="K16" i="7"/>
  <c r="G17" i="7"/>
  <c r="I17" i="7" s="1"/>
  <c r="K17" i="7" s="1"/>
  <c r="H17" i="7"/>
  <c r="J17" i="7"/>
  <c r="G18" i="7"/>
  <c r="H18" i="7"/>
  <c r="I18" i="7"/>
  <c r="J18" i="7"/>
  <c r="K18" i="7"/>
  <c r="G19" i="7"/>
  <c r="I19" i="7" s="1"/>
  <c r="K19" i="7" s="1"/>
  <c r="H19" i="7"/>
  <c r="J19" i="7"/>
  <c r="G20" i="7"/>
  <c r="H20" i="7"/>
  <c r="I20" i="7"/>
  <c r="J20" i="7"/>
  <c r="K20" i="7"/>
  <c r="G21" i="7"/>
  <c r="H21" i="7"/>
  <c r="I21" i="7"/>
  <c r="K21" i="7" s="1"/>
  <c r="J21" i="7"/>
  <c r="G22" i="7"/>
  <c r="H22" i="7"/>
  <c r="I22" i="7"/>
  <c r="J22" i="7"/>
  <c r="K22" i="7"/>
  <c r="G23" i="7"/>
  <c r="H23" i="7"/>
  <c r="I23" i="7"/>
  <c r="K23" i="7" s="1"/>
  <c r="J23" i="7"/>
  <c r="G24" i="7"/>
  <c r="H24" i="7"/>
  <c r="I24" i="7"/>
  <c r="J24" i="7"/>
  <c r="K24" i="7"/>
  <c r="G25" i="7"/>
  <c r="H25" i="7"/>
  <c r="I25" i="7"/>
  <c r="K25" i="7" s="1"/>
  <c r="J25" i="7"/>
  <c r="G26" i="7"/>
  <c r="I26" i="7" s="1"/>
  <c r="K26" i="7" s="1"/>
  <c r="H26" i="7"/>
  <c r="J26" i="7"/>
  <c r="G27" i="7"/>
  <c r="H27" i="7"/>
  <c r="I27" i="7"/>
  <c r="K27" i="7" s="1"/>
  <c r="J27" i="7"/>
  <c r="G28" i="7"/>
  <c r="I28" i="7" s="1"/>
  <c r="K28" i="7" s="1"/>
  <c r="H28" i="7"/>
  <c r="J28" i="7"/>
  <c r="G29" i="7"/>
  <c r="H29" i="7"/>
  <c r="I29" i="7"/>
  <c r="K29" i="7" s="1"/>
  <c r="J29" i="7"/>
  <c r="G30" i="7"/>
  <c r="H30" i="7"/>
  <c r="I30" i="7"/>
  <c r="K30" i="7" s="1"/>
  <c r="J30" i="7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G7" i="6"/>
  <c r="H7" i="6"/>
  <c r="I7" i="6"/>
  <c r="J7" i="6"/>
  <c r="K7" i="6"/>
  <c r="G8" i="6"/>
  <c r="H8" i="6"/>
  <c r="I8" i="6"/>
  <c r="J8" i="6"/>
  <c r="K8" i="6"/>
  <c r="G9" i="6"/>
  <c r="H9" i="6"/>
  <c r="I9" i="6"/>
  <c r="J9" i="6"/>
  <c r="K9" i="6"/>
  <c r="G10" i="6"/>
  <c r="H10" i="6"/>
  <c r="I10" i="6"/>
  <c r="J10" i="6"/>
  <c r="K10" i="6"/>
  <c r="G11" i="6"/>
  <c r="H11" i="6"/>
  <c r="I11" i="6"/>
  <c r="J11" i="6"/>
  <c r="K11" i="6"/>
  <c r="G12" i="6"/>
  <c r="H12" i="6"/>
  <c r="I12" i="6"/>
  <c r="J12" i="6"/>
  <c r="K12" i="6"/>
  <c r="G13" i="6"/>
  <c r="H13" i="6"/>
  <c r="I13" i="6"/>
  <c r="J13" i="6"/>
  <c r="K13" i="6"/>
  <c r="G14" i="6"/>
  <c r="H14" i="6"/>
  <c r="I14" i="6"/>
  <c r="J14" i="6"/>
  <c r="K14" i="6"/>
  <c r="G15" i="6"/>
  <c r="H15" i="6"/>
  <c r="I15" i="6"/>
  <c r="J15" i="6"/>
  <c r="K15" i="6"/>
  <c r="G16" i="6"/>
  <c r="H16" i="6"/>
  <c r="I16" i="6"/>
  <c r="J16" i="6"/>
  <c r="K16" i="6"/>
  <c r="G17" i="6"/>
  <c r="H17" i="6"/>
  <c r="I17" i="6"/>
  <c r="J17" i="6"/>
  <c r="K17" i="6"/>
  <c r="G18" i="6"/>
  <c r="H18" i="6"/>
  <c r="I18" i="6"/>
  <c r="J18" i="6"/>
  <c r="K18" i="6"/>
  <c r="G19" i="6"/>
  <c r="H19" i="6"/>
  <c r="I19" i="6"/>
  <c r="J19" i="6"/>
  <c r="K19" i="6"/>
  <c r="G20" i="6"/>
  <c r="H20" i="6"/>
  <c r="I20" i="6"/>
  <c r="J20" i="6"/>
  <c r="K20" i="6"/>
  <c r="G21" i="6"/>
  <c r="H21" i="6"/>
  <c r="I21" i="6"/>
  <c r="J21" i="6"/>
  <c r="K21" i="6"/>
  <c r="G22" i="6"/>
  <c r="H22" i="6"/>
  <c r="I22" i="6"/>
  <c r="J22" i="6"/>
  <c r="K22" i="6"/>
  <c r="G23" i="6"/>
  <c r="H23" i="6"/>
  <c r="I23" i="6"/>
  <c r="J23" i="6"/>
  <c r="K23" i="6"/>
  <c r="G24" i="6"/>
  <c r="H24" i="6"/>
  <c r="I24" i="6"/>
  <c r="J24" i="6"/>
  <c r="K24" i="6"/>
  <c r="G25" i="6"/>
  <c r="H25" i="6"/>
  <c r="I25" i="6"/>
  <c r="J25" i="6"/>
  <c r="K25" i="6"/>
  <c r="G26" i="6"/>
  <c r="H26" i="6"/>
  <c r="I26" i="6"/>
  <c r="J26" i="6"/>
  <c r="K26" i="6"/>
  <c r="G4" i="5"/>
  <c r="H4" i="5"/>
  <c r="I4" i="5"/>
  <c r="J4" i="5"/>
  <c r="K4" i="5"/>
  <c r="G5" i="5"/>
  <c r="H5" i="5"/>
  <c r="I5" i="5"/>
  <c r="J5" i="5"/>
  <c r="K5" i="5"/>
  <c r="G6" i="5"/>
  <c r="H6" i="5"/>
  <c r="I6" i="5"/>
  <c r="J6" i="5"/>
  <c r="K6" i="5"/>
  <c r="G7" i="5"/>
  <c r="H7" i="5"/>
  <c r="I7" i="5"/>
  <c r="J7" i="5"/>
  <c r="K7" i="5"/>
  <c r="G8" i="5"/>
  <c r="H8" i="5"/>
  <c r="I8" i="5"/>
  <c r="J8" i="5"/>
  <c r="K8" i="5"/>
  <c r="G9" i="5"/>
  <c r="H9" i="5"/>
  <c r="I9" i="5"/>
  <c r="J9" i="5"/>
  <c r="K9" i="5"/>
  <c r="G10" i="5"/>
  <c r="H10" i="5"/>
  <c r="I10" i="5"/>
  <c r="J10" i="5"/>
  <c r="K10" i="5"/>
  <c r="G11" i="5"/>
  <c r="H11" i="5"/>
  <c r="I11" i="5"/>
  <c r="J11" i="5"/>
  <c r="K11" i="5"/>
  <c r="G12" i="5"/>
  <c r="H12" i="5"/>
  <c r="I12" i="5"/>
  <c r="J12" i="5"/>
  <c r="K12" i="5"/>
  <c r="G13" i="5"/>
  <c r="H13" i="5"/>
  <c r="I13" i="5"/>
  <c r="J13" i="5"/>
  <c r="K13" i="5"/>
  <c r="G14" i="5"/>
  <c r="H14" i="5"/>
  <c r="I14" i="5"/>
  <c r="J14" i="5"/>
  <c r="K14" i="5"/>
  <c r="G15" i="5"/>
  <c r="H15" i="5"/>
  <c r="I15" i="5"/>
  <c r="J15" i="5"/>
  <c r="K15" i="5"/>
  <c r="G16" i="5"/>
  <c r="H16" i="5"/>
  <c r="I16" i="5"/>
  <c r="J16" i="5"/>
  <c r="K16" i="5"/>
  <c r="G17" i="5"/>
  <c r="H17" i="5"/>
  <c r="I17" i="5"/>
  <c r="J17" i="5"/>
  <c r="K17" i="5"/>
  <c r="G18" i="5"/>
  <c r="H18" i="5"/>
  <c r="I18" i="5"/>
  <c r="J18" i="5"/>
  <c r="K18" i="5"/>
  <c r="G19" i="5"/>
  <c r="H19" i="5"/>
  <c r="I19" i="5"/>
  <c r="J19" i="5"/>
  <c r="K19" i="5"/>
  <c r="G20" i="5"/>
  <c r="H20" i="5"/>
  <c r="I20" i="5"/>
  <c r="J20" i="5"/>
  <c r="K20" i="5"/>
  <c r="G21" i="5"/>
  <c r="H21" i="5"/>
  <c r="I21" i="5"/>
  <c r="J21" i="5"/>
  <c r="K21" i="5"/>
  <c r="G22" i="5"/>
  <c r="H22" i="5"/>
  <c r="I22" i="5"/>
  <c r="J22" i="5"/>
  <c r="K22" i="5"/>
  <c r="G23" i="5"/>
  <c r="H23" i="5"/>
  <c r="I23" i="5"/>
  <c r="J23" i="5"/>
  <c r="K23" i="5"/>
  <c r="G24" i="5"/>
  <c r="H24" i="5"/>
  <c r="I24" i="5"/>
  <c r="J24" i="5"/>
  <c r="K24" i="5"/>
  <c r="G25" i="5"/>
  <c r="H25" i="5"/>
  <c r="I25" i="5"/>
  <c r="J25" i="5"/>
  <c r="K25" i="5"/>
  <c r="G26" i="5"/>
  <c r="H26" i="5"/>
  <c r="I26" i="5"/>
  <c r="J26" i="5"/>
  <c r="K26" i="5"/>
  <c r="G27" i="5"/>
  <c r="H27" i="5"/>
  <c r="I27" i="5"/>
  <c r="J27" i="5"/>
  <c r="K27" i="5"/>
  <c r="G28" i="5"/>
  <c r="H28" i="5"/>
  <c r="I28" i="5"/>
  <c r="J28" i="5"/>
  <c r="K28" i="5"/>
  <c r="G4" i="4"/>
  <c r="H4" i="4"/>
  <c r="I4" i="4"/>
  <c r="J4" i="4"/>
  <c r="K4" i="4"/>
  <c r="G5" i="4"/>
  <c r="H5" i="4"/>
  <c r="I5" i="4"/>
  <c r="J5" i="4"/>
  <c r="K5" i="4"/>
  <c r="G6" i="4"/>
  <c r="H6" i="4"/>
  <c r="I6" i="4"/>
  <c r="J6" i="4"/>
  <c r="K6" i="4"/>
  <c r="G7" i="4"/>
  <c r="H7" i="4"/>
  <c r="I7" i="4"/>
  <c r="J7" i="4"/>
  <c r="K7" i="4"/>
  <c r="G8" i="4"/>
  <c r="H8" i="4"/>
  <c r="I8" i="4"/>
  <c r="J8" i="4"/>
  <c r="K8" i="4"/>
  <c r="G9" i="4"/>
  <c r="H9" i="4"/>
  <c r="I9" i="4"/>
  <c r="J9" i="4"/>
  <c r="K9" i="4"/>
  <c r="G10" i="4"/>
  <c r="H10" i="4"/>
  <c r="I10" i="4"/>
  <c r="J10" i="4"/>
  <c r="K10" i="4"/>
  <c r="G11" i="4"/>
  <c r="H11" i="4"/>
  <c r="I11" i="4"/>
  <c r="J11" i="4"/>
  <c r="K11" i="4"/>
  <c r="G12" i="4"/>
  <c r="H12" i="4"/>
  <c r="I12" i="4"/>
  <c r="J12" i="4"/>
  <c r="K12" i="4"/>
  <c r="G13" i="4"/>
  <c r="H13" i="4"/>
  <c r="I13" i="4"/>
  <c r="J13" i="4"/>
  <c r="K13" i="4"/>
  <c r="G14" i="4"/>
  <c r="H14" i="4"/>
  <c r="I14" i="4"/>
  <c r="J14" i="4"/>
  <c r="K14" i="4"/>
  <c r="G15" i="4"/>
  <c r="H15" i="4"/>
  <c r="I15" i="4"/>
  <c r="J15" i="4"/>
  <c r="K15" i="4"/>
  <c r="G16" i="4"/>
  <c r="H16" i="4"/>
  <c r="I16" i="4"/>
  <c r="J16" i="4"/>
  <c r="K16" i="4"/>
  <c r="G17" i="4"/>
  <c r="H17" i="4"/>
  <c r="I17" i="4"/>
  <c r="J17" i="4"/>
  <c r="K17" i="4"/>
  <c r="G18" i="4"/>
  <c r="H18" i="4"/>
  <c r="I18" i="4"/>
  <c r="J18" i="4"/>
  <c r="K18" i="4"/>
  <c r="G19" i="4"/>
  <c r="H19" i="4"/>
  <c r="I19" i="4"/>
  <c r="J19" i="4"/>
  <c r="K19" i="4"/>
  <c r="G20" i="4"/>
  <c r="H20" i="4"/>
  <c r="I20" i="4"/>
  <c r="J20" i="4"/>
  <c r="K20" i="4"/>
  <c r="G21" i="4"/>
  <c r="H21" i="4"/>
  <c r="I21" i="4"/>
  <c r="J21" i="4"/>
  <c r="K21" i="4"/>
  <c r="G22" i="4"/>
  <c r="H22" i="4"/>
  <c r="I22" i="4"/>
  <c r="J22" i="4"/>
  <c r="K22" i="4"/>
  <c r="G23" i="4"/>
  <c r="H23" i="4"/>
  <c r="I23" i="4"/>
  <c r="J23" i="4"/>
  <c r="K23" i="4"/>
  <c r="G24" i="4"/>
  <c r="H24" i="4"/>
  <c r="I24" i="4"/>
  <c r="J24" i="4"/>
  <c r="K24" i="4"/>
  <c r="G25" i="4"/>
  <c r="H25" i="4"/>
  <c r="I25" i="4"/>
  <c r="J25" i="4"/>
  <c r="K25" i="4"/>
  <c r="G4" i="3"/>
  <c r="H4" i="3"/>
  <c r="I4" i="3"/>
  <c r="J4" i="3"/>
  <c r="K4" i="3"/>
  <c r="G5" i="3"/>
  <c r="H5" i="3"/>
  <c r="I5" i="3"/>
  <c r="K5" i="3" s="1"/>
  <c r="J5" i="3"/>
  <c r="G6" i="3"/>
  <c r="I6" i="3" s="1"/>
  <c r="K6" i="3" s="1"/>
  <c r="H6" i="3"/>
  <c r="J6" i="3"/>
  <c r="G7" i="3"/>
  <c r="H7" i="3"/>
  <c r="I7" i="3"/>
  <c r="K7" i="3" s="1"/>
  <c r="J7" i="3"/>
  <c r="G8" i="3"/>
  <c r="I8" i="3" s="1"/>
  <c r="K8" i="3" s="1"/>
  <c r="H8" i="3"/>
  <c r="J8" i="3"/>
  <c r="G9" i="3"/>
  <c r="H9" i="3"/>
  <c r="I9" i="3"/>
  <c r="K9" i="3" s="1"/>
  <c r="J9" i="3"/>
  <c r="G10" i="3"/>
  <c r="H10" i="3"/>
  <c r="I10" i="3"/>
  <c r="K10" i="3" s="1"/>
  <c r="J10" i="3"/>
  <c r="G11" i="3"/>
  <c r="H11" i="3"/>
  <c r="I11" i="3"/>
  <c r="K11" i="3" s="1"/>
  <c r="J11" i="3"/>
  <c r="G12" i="3"/>
  <c r="H12" i="3"/>
  <c r="I12" i="3"/>
  <c r="K12" i="3" s="1"/>
  <c r="J12" i="3"/>
  <c r="G13" i="3"/>
  <c r="H13" i="3"/>
  <c r="I13" i="3"/>
  <c r="K13" i="3" s="1"/>
  <c r="J13" i="3"/>
  <c r="G14" i="3"/>
  <c r="H14" i="3"/>
  <c r="I14" i="3"/>
  <c r="J14" i="3"/>
  <c r="K14" i="3"/>
  <c r="G15" i="3"/>
  <c r="H15" i="3"/>
  <c r="I15" i="3"/>
  <c r="K15" i="3" s="1"/>
  <c r="J15" i="3"/>
  <c r="G16" i="3"/>
  <c r="H16" i="3"/>
  <c r="I16" i="3"/>
  <c r="J16" i="3"/>
  <c r="K16" i="3"/>
  <c r="G17" i="3"/>
  <c r="I17" i="3" s="1"/>
  <c r="K17" i="3" s="1"/>
  <c r="H17" i="3"/>
  <c r="J17" i="3"/>
  <c r="G18" i="3"/>
  <c r="H18" i="3"/>
  <c r="I18" i="3"/>
  <c r="J18" i="3"/>
  <c r="K18" i="3"/>
  <c r="G19" i="3"/>
  <c r="I19" i="3" s="1"/>
  <c r="K19" i="3" s="1"/>
  <c r="H19" i="3"/>
  <c r="J19" i="3"/>
  <c r="G20" i="3"/>
  <c r="H20" i="3"/>
  <c r="I20" i="3"/>
  <c r="J20" i="3"/>
  <c r="K20" i="3"/>
  <c r="G21" i="3"/>
  <c r="H21" i="3"/>
  <c r="I21" i="3"/>
  <c r="K21" i="3" s="1"/>
  <c r="J21" i="3"/>
  <c r="G22" i="3"/>
  <c r="H22" i="3"/>
  <c r="I22" i="3"/>
  <c r="J22" i="3"/>
  <c r="K22" i="3"/>
  <c r="G23" i="3"/>
  <c r="H23" i="3"/>
  <c r="I23" i="3"/>
  <c r="K23" i="3" s="1"/>
  <c r="J23" i="3"/>
  <c r="G24" i="3"/>
  <c r="H24" i="3"/>
  <c r="I24" i="3"/>
  <c r="J24" i="3"/>
  <c r="K24" i="3"/>
  <c r="G25" i="3"/>
  <c r="H25" i="3"/>
  <c r="I25" i="3"/>
  <c r="K25" i="3" s="1"/>
  <c r="J25" i="3"/>
  <c r="G26" i="3"/>
  <c r="I26" i="3" s="1"/>
  <c r="K26" i="3" s="1"/>
  <c r="H26" i="3"/>
  <c r="J26" i="3"/>
  <c r="G27" i="3"/>
  <c r="H27" i="3"/>
  <c r="I27" i="3"/>
  <c r="K27" i="3" s="1"/>
  <c r="J27" i="3"/>
  <c r="G28" i="3"/>
  <c r="I28" i="3" s="1"/>
  <c r="K28" i="3" s="1"/>
  <c r="H28" i="3"/>
  <c r="J28" i="3"/>
  <c r="G29" i="3"/>
  <c r="H29" i="3"/>
  <c r="I29" i="3"/>
  <c r="K29" i="3" s="1"/>
  <c r="J29" i="3"/>
  <c r="G30" i="3"/>
  <c r="H30" i="3"/>
  <c r="I30" i="3"/>
  <c r="K30" i="3" s="1"/>
  <c r="J30" i="3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H19" i="2"/>
  <c r="I19" i="2"/>
  <c r="J19" i="2"/>
  <c r="K19" i="2"/>
  <c r="G20" i="2"/>
  <c r="H20" i="2"/>
  <c r="I20" i="2"/>
  <c r="J20" i="2"/>
  <c r="K20" i="2"/>
  <c r="G21" i="2"/>
  <c r="H21" i="2"/>
  <c r="I21" i="2"/>
  <c r="J21" i="2"/>
  <c r="K21" i="2"/>
  <c r="J3" i="13"/>
  <c r="H3" i="13"/>
  <c r="G3" i="13"/>
  <c r="I3" i="13" s="1"/>
  <c r="K3" i="13" s="1"/>
  <c r="J3" i="12"/>
  <c r="H3" i="12"/>
  <c r="G3" i="12"/>
  <c r="I3" i="12" s="1"/>
  <c r="K3" i="12" s="1"/>
  <c r="J3" i="11"/>
  <c r="H3" i="11"/>
  <c r="G3" i="11"/>
  <c r="I3" i="11" s="1"/>
  <c r="K3" i="11" s="1"/>
  <c r="J3" i="10"/>
  <c r="H3" i="10"/>
  <c r="G3" i="10"/>
  <c r="I3" i="10" s="1"/>
  <c r="K3" i="10" s="1"/>
  <c r="J3" i="9"/>
  <c r="H3" i="9"/>
  <c r="G3" i="9"/>
  <c r="I3" i="9" s="1"/>
  <c r="K3" i="9" s="1"/>
  <c r="J3" i="8"/>
  <c r="H3" i="8"/>
  <c r="G3" i="8"/>
  <c r="I3" i="8" s="1"/>
  <c r="K3" i="8" s="1"/>
  <c r="J3" i="7"/>
  <c r="H3" i="7"/>
  <c r="G3" i="7"/>
  <c r="I3" i="7" s="1"/>
  <c r="K3" i="7" s="1"/>
  <c r="J3" i="6"/>
  <c r="H3" i="6"/>
  <c r="G3" i="6"/>
  <c r="I3" i="6" s="1"/>
  <c r="K3" i="6" s="1"/>
  <c r="J3" i="5"/>
  <c r="H3" i="5"/>
  <c r="G3" i="5"/>
  <c r="I3" i="5" s="1"/>
  <c r="K3" i="5" s="1"/>
  <c r="J3" i="4"/>
  <c r="H3" i="4"/>
  <c r="G3" i="4"/>
  <c r="I3" i="4" s="1"/>
  <c r="K3" i="4" s="1"/>
  <c r="J3" i="3"/>
  <c r="H3" i="3"/>
  <c r="G3" i="3"/>
  <c r="I3" i="3" s="1"/>
  <c r="K3" i="3" s="1"/>
  <c r="J3" i="2"/>
  <c r="H3" i="2"/>
  <c r="G3" i="2"/>
  <c r="I3" i="2" s="1"/>
  <c r="K3" i="2" s="1"/>
  <c r="L27" i="13"/>
  <c r="F27" i="13"/>
  <c r="E27" i="13"/>
  <c r="H30" i="13" s="1"/>
  <c r="D27" i="13"/>
  <c r="C14" i="1" s="1"/>
  <c r="C27" i="13"/>
  <c r="L32" i="12"/>
  <c r="F32" i="12"/>
  <c r="E32" i="12"/>
  <c r="D32" i="12"/>
  <c r="C32" i="12"/>
  <c r="L26" i="11"/>
  <c r="K12" i="1" s="1"/>
  <c r="F26" i="11"/>
  <c r="E26" i="11"/>
  <c r="D12" i="1" s="1"/>
  <c r="U12" i="1" s="1"/>
  <c r="D26" i="11"/>
  <c r="C12" i="1" s="1"/>
  <c r="C26" i="11"/>
  <c r="G29" i="11" s="1"/>
  <c r="G44" i="10"/>
  <c r="L41" i="10"/>
  <c r="F41" i="10"/>
  <c r="E41" i="10"/>
  <c r="D11" i="1" s="1"/>
  <c r="U11" i="1" s="1"/>
  <c r="D41" i="10"/>
  <c r="C11" i="1" s="1"/>
  <c r="C41" i="10"/>
  <c r="B11" i="1" s="1"/>
  <c r="H33" i="9"/>
  <c r="L30" i="9"/>
  <c r="F30" i="9"/>
  <c r="E30" i="9"/>
  <c r="G33" i="9" s="1"/>
  <c r="D30" i="9"/>
  <c r="C10" i="1" s="1"/>
  <c r="C30" i="9"/>
  <c r="B10" i="1" s="1"/>
  <c r="G46" i="8"/>
  <c r="L43" i="8"/>
  <c r="F43" i="8"/>
  <c r="E43" i="8"/>
  <c r="D9" i="1" s="1"/>
  <c r="D43" i="8"/>
  <c r="C43" i="8"/>
  <c r="B9" i="1" s="1"/>
  <c r="L31" i="7"/>
  <c r="F31" i="7"/>
  <c r="E31" i="7"/>
  <c r="D31" i="7"/>
  <c r="C8" i="1" s="1"/>
  <c r="C31" i="7"/>
  <c r="B8" i="1" s="1"/>
  <c r="L27" i="6"/>
  <c r="F27" i="6"/>
  <c r="E7" i="1" s="1"/>
  <c r="E27" i="6"/>
  <c r="D7" i="1" s="1"/>
  <c r="D27" i="6"/>
  <c r="C27" i="6"/>
  <c r="B7" i="1" s="1"/>
  <c r="T7" i="1" s="1"/>
  <c r="L29" i="5"/>
  <c r="K6" i="1" s="1"/>
  <c r="F29" i="5"/>
  <c r="E6" i="1" s="1"/>
  <c r="V6" i="1" s="1"/>
  <c r="E29" i="5"/>
  <c r="G32" i="5" s="1"/>
  <c r="D29" i="5"/>
  <c r="C6" i="1" s="1"/>
  <c r="C29" i="5"/>
  <c r="B6" i="1" s="1"/>
  <c r="H29" i="4"/>
  <c r="L26" i="4"/>
  <c r="F26" i="4"/>
  <c r="E26" i="4"/>
  <c r="D26" i="4"/>
  <c r="C5" i="1" s="1"/>
  <c r="C26" i="4"/>
  <c r="B5" i="1" s="1"/>
  <c r="L31" i="3"/>
  <c r="K4" i="1" s="1"/>
  <c r="F31" i="3"/>
  <c r="E31" i="3"/>
  <c r="D31" i="3"/>
  <c r="C4" i="1" s="1"/>
  <c r="C31" i="3"/>
  <c r="B4" i="1" s="1"/>
  <c r="L22" i="2"/>
  <c r="K3" i="1" s="1"/>
  <c r="F22" i="2"/>
  <c r="E3" i="1" s="1"/>
  <c r="E22" i="2"/>
  <c r="D22" i="2"/>
  <c r="C3" i="1" s="1"/>
  <c r="C22" i="2"/>
  <c r="K14" i="1"/>
  <c r="E14" i="1"/>
  <c r="V14" i="1" s="1"/>
  <c r="B14" i="1"/>
  <c r="K13" i="1"/>
  <c r="E13" i="1"/>
  <c r="V13" i="1" s="1"/>
  <c r="C13" i="1"/>
  <c r="B13" i="1"/>
  <c r="E12" i="1"/>
  <c r="V12" i="1" s="1"/>
  <c r="B12" i="1"/>
  <c r="T12" i="1" s="1"/>
  <c r="K11" i="1"/>
  <c r="E11" i="1"/>
  <c r="V11" i="1" s="1"/>
  <c r="V10" i="1"/>
  <c r="K10" i="1"/>
  <c r="E10" i="1"/>
  <c r="K9" i="1"/>
  <c r="E9" i="1"/>
  <c r="K8" i="1"/>
  <c r="E8" i="1"/>
  <c r="V8" i="1" s="1"/>
  <c r="K7" i="1"/>
  <c r="K5" i="1"/>
  <c r="E5" i="1"/>
  <c r="V5" i="1" s="1"/>
  <c r="E4" i="1"/>
  <c r="B3" i="1"/>
  <c r="T11" i="1" l="1"/>
  <c r="V4" i="1"/>
  <c r="K26" i="11"/>
  <c r="K27" i="11" s="1"/>
  <c r="J32" i="12"/>
  <c r="I13" i="1" s="1"/>
  <c r="G41" i="10"/>
  <c r="F11" i="1" s="1"/>
  <c r="M11" i="1" s="1"/>
  <c r="H32" i="12"/>
  <c r="H33" i="12" s="1"/>
  <c r="I31" i="3"/>
  <c r="I32" i="3" s="1"/>
  <c r="K27" i="6"/>
  <c r="K28" i="6" s="1"/>
  <c r="G31" i="3"/>
  <c r="G32" i="3" s="1"/>
  <c r="I29" i="5"/>
  <c r="H6" i="1" s="1"/>
  <c r="O6" i="1" s="1"/>
  <c r="J43" i="8"/>
  <c r="I9" i="1" s="1"/>
  <c r="I30" i="9"/>
  <c r="H10" i="1" s="1"/>
  <c r="O10" i="1" s="1"/>
  <c r="H41" i="10"/>
  <c r="G11" i="1" s="1"/>
  <c r="N11" i="1" s="1"/>
  <c r="G32" i="12"/>
  <c r="G22" i="2"/>
  <c r="G23" i="2" s="1"/>
  <c r="J22" i="2"/>
  <c r="I3" i="1" s="1"/>
  <c r="H31" i="3"/>
  <c r="G4" i="1" s="1"/>
  <c r="G29" i="5"/>
  <c r="F6" i="1" s="1"/>
  <c r="K43" i="8"/>
  <c r="J9" i="1" s="1"/>
  <c r="I41" i="10"/>
  <c r="G27" i="13"/>
  <c r="G28" i="13" s="1"/>
  <c r="K22" i="2"/>
  <c r="K23" i="2" s="1"/>
  <c r="G43" i="8"/>
  <c r="G44" i="8" s="1"/>
  <c r="K30" i="9"/>
  <c r="J10" i="1" s="1"/>
  <c r="J41" i="10"/>
  <c r="I11" i="1" s="1"/>
  <c r="H22" i="2"/>
  <c r="H23" i="2" s="1"/>
  <c r="H27" i="6"/>
  <c r="G7" i="1" s="1"/>
  <c r="N7" i="1" s="1"/>
  <c r="H43" i="8"/>
  <c r="G9" i="1" s="1"/>
  <c r="N9" i="1" s="1"/>
  <c r="K41" i="10"/>
  <c r="J11" i="1" s="1"/>
  <c r="I27" i="6"/>
  <c r="H7" i="1" s="1"/>
  <c r="O7" i="1" s="1"/>
  <c r="I43" i="8"/>
  <c r="I44" i="8" s="1"/>
  <c r="J27" i="6"/>
  <c r="I7" i="1" s="1"/>
  <c r="J31" i="7"/>
  <c r="J32" i="7" s="1"/>
  <c r="J29" i="5"/>
  <c r="I6" i="1" s="1"/>
  <c r="H29" i="5"/>
  <c r="H26" i="4"/>
  <c r="H27" i="4" s="1"/>
  <c r="K31" i="7"/>
  <c r="J8" i="1" s="1"/>
  <c r="H30" i="9"/>
  <c r="G10" i="1" s="1"/>
  <c r="N10" i="1" s="1"/>
  <c r="I32" i="12"/>
  <c r="H27" i="13"/>
  <c r="G14" i="1" s="1"/>
  <c r="G31" i="7"/>
  <c r="G32" i="7" s="1"/>
  <c r="G26" i="11"/>
  <c r="I27" i="13"/>
  <c r="H14" i="1" s="1"/>
  <c r="O14" i="1" s="1"/>
  <c r="H26" i="11"/>
  <c r="G12" i="1" s="1"/>
  <c r="N12" i="1" s="1"/>
  <c r="K32" i="12"/>
  <c r="J13" i="1" s="1"/>
  <c r="J27" i="13"/>
  <c r="I14" i="1" s="1"/>
  <c r="J26" i="4"/>
  <c r="J30" i="9"/>
  <c r="I10" i="1" s="1"/>
  <c r="I31" i="7"/>
  <c r="I32" i="7" s="1"/>
  <c r="I26" i="11"/>
  <c r="H12" i="1" s="1"/>
  <c r="O12" i="1" s="1"/>
  <c r="K27" i="13"/>
  <c r="J14" i="1" s="1"/>
  <c r="H31" i="7"/>
  <c r="G8" i="1" s="1"/>
  <c r="N8" i="1" s="1"/>
  <c r="I22" i="2"/>
  <c r="H3" i="1" s="1"/>
  <c r="J31" i="3"/>
  <c r="G27" i="6"/>
  <c r="G28" i="6" s="1"/>
  <c r="U9" i="1"/>
  <c r="E15" i="1"/>
  <c r="V3" i="1"/>
  <c r="V9" i="1"/>
  <c r="C9" i="1"/>
  <c r="H46" i="8"/>
  <c r="G29" i="4"/>
  <c r="D5" i="1"/>
  <c r="C7" i="1"/>
  <c r="U7" i="1" s="1"/>
  <c r="H30" i="6"/>
  <c r="D8" i="1"/>
  <c r="G34" i="7"/>
  <c r="I26" i="4"/>
  <c r="D3" i="1"/>
  <c r="H25" i="2"/>
  <c r="G25" i="2"/>
  <c r="D6" i="1"/>
  <c r="H32" i="5"/>
  <c r="H32" i="3"/>
  <c r="K26" i="4"/>
  <c r="K29" i="5"/>
  <c r="K15" i="1"/>
  <c r="T9" i="1"/>
  <c r="B15" i="1"/>
  <c r="K31" i="3"/>
  <c r="G26" i="4"/>
  <c r="G30" i="9"/>
  <c r="H34" i="3"/>
  <c r="D4" i="1"/>
  <c r="G34" i="3"/>
  <c r="H34" i="7"/>
  <c r="J26" i="11"/>
  <c r="G42" i="10"/>
  <c r="D13" i="1"/>
  <c r="H35" i="12"/>
  <c r="G35" i="12"/>
  <c r="G30" i="6"/>
  <c r="H44" i="10"/>
  <c r="H29" i="11"/>
  <c r="G30" i="13"/>
  <c r="D10" i="1"/>
  <c r="D14" i="1"/>
  <c r="R11" i="1" l="1"/>
  <c r="C15" i="1"/>
  <c r="J12" i="1"/>
  <c r="K28" i="11"/>
  <c r="H28" i="6"/>
  <c r="G13" i="1"/>
  <c r="N13" i="1" s="1"/>
  <c r="I43" i="10"/>
  <c r="J33" i="12"/>
  <c r="H4" i="1"/>
  <c r="O4" i="1" s="1"/>
  <c r="J44" i="8"/>
  <c r="S11" i="1"/>
  <c r="H34" i="12"/>
  <c r="I31" i="9"/>
  <c r="H42" i="10"/>
  <c r="P11" i="1"/>
  <c r="H44" i="8"/>
  <c r="J7" i="1"/>
  <c r="J34" i="12"/>
  <c r="K45" i="8"/>
  <c r="K44" i="8"/>
  <c r="F4" i="1"/>
  <c r="M4" i="1" s="1"/>
  <c r="J45" i="8"/>
  <c r="I31" i="5"/>
  <c r="K32" i="7"/>
  <c r="K42" i="10"/>
  <c r="K43" i="10"/>
  <c r="I33" i="3"/>
  <c r="I30" i="5"/>
  <c r="H33" i="3"/>
  <c r="G30" i="5"/>
  <c r="I42" i="10"/>
  <c r="H43" i="10"/>
  <c r="H31" i="5"/>
  <c r="H45" i="8"/>
  <c r="F3" i="1"/>
  <c r="M3" i="1" s="1"/>
  <c r="J24" i="2"/>
  <c r="I29" i="13"/>
  <c r="I28" i="13"/>
  <c r="H11" i="1"/>
  <c r="Q11" i="1" s="1"/>
  <c r="H27" i="11"/>
  <c r="H33" i="7"/>
  <c r="J23" i="2"/>
  <c r="G5" i="1"/>
  <c r="N5" i="1" s="1"/>
  <c r="K32" i="9"/>
  <c r="I28" i="6"/>
  <c r="I8" i="1"/>
  <c r="H28" i="4"/>
  <c r="H28" i="13"/>
  <c r="K31" i="9"/>
  <c r="J31" i="9"/>
  <c r="H32" i="7"/>
  <c r="H30" i="5"/>
  <c r="J42" i="10"/>
  <c r="I27" i="11"/>
  <c r="K33" i="12"/>
  <c r="J43" i="10"/>
  <c r="I28" i="11"/>
  <c r="K34" i="12"/>
  <c r="J32" i="9"/>
  <c r="G3" i="1"/>
  <c r="N3" i="1" s="1"/>
  <c r="H24" i="2"/>
  <c r="J28" i="4"/>
  <c r="G33" i="12"/>
  <c r="F13" i="1"/>
  <c r="S13" i="1" s="1"/>
  <c r="G6" i="1"/>
  <c r="J28" i="6"/>
  <c r="Q6" i="1"/>
  <c r="M6" i="1"/>
  <c r="H29" i="13"/>
  <c r="R6" i="1"/>
  <c r="K24" i="2"/>
  <c r="J3" i="1"/>
  <c r="I45" i="8"/>
  <c r="I32" i="9"/>
  <c r="F9" i="1"/>
  <c r="H9" i="1"/>
  <c r="O9" i="1" s="1"/>
  <c r="J28" i="13"/>
  <c r="F14" i="1"/>
  <c r="M14" i="1" s="1"/>
  <c r="J29" i="13"/>
  <c r="I34" i="12"/>
  <c r="H13" i="1"/>
  <c r="J32" i="3"/>
  <c r="I4" i="1"/>
  <c r="K28" i="13"/>
  <c r="F7" i="1"/>
  <c r="Q7" i="1" s="1"/>
  <c r="H31" i="9"/>
  <c r="I29" i="6"/>
  <c r="I23" i="2"/>
  <c r="K29" i="13"/>
  <c r="H32" i="9"/>
  <c r="I24" i="2"/>
  <c r="G27" i="11"/>
  <c r="F12" i="1"/>
  <c r="S12" i="1" s="1"/>
  <c r="J30" i="5"/>
  <c r="H28" i="11"/>
  <c r="J31" i="5"/>
  <c r="J33" i="7"/>
  <c r="F8" i="1"/>
  <c r="M8" i="1" s="1"/>
  <c r="I33" i="12"/>
  <c r="J33" i="3"/>
  <c r="H29" i="6"/>
  <c r="J27" i="4"/>
  <c r="I5" i="1"/>
  <c r="K29" i="6"/>
  <c r="J29" i="6"/>
  <c r="I33" i="7"/>
  <c r="H8" i="1"/>
  <c r="K33" i="7"/>
  <c r="N14" i="1"/>
  <c r="U6" i="1"/>
  <c r="T6" i="1"/>
  <c r="O3" i="1"/>
  <c r="U13" i="1"/>
  <c r="T13" i="1"/>
  <c r="N4" i="1"/>
  <c r="U4" i="1"/>
  <c r="T4" i="1"/>
  <c r="T10" i="1"/>
  <c r="U10" i="1"/>
  <c r="F5" i="1"/>
  <c r="G27" i="4"/>
  <c r="K28" i="4"/>
  <c r="K27" i="4"/>
  <c r="J5" i="1"/>
  <c r="V15" i="1"/>
  <c r="K33" i="3"/>
  <c r="J4" i="1"/>
  <c r="K32" i="3"/>
  <c r="U14" i="1"/>
  <c r="T14" i="1"/>
  <c r="F10" i="1"/>
  <c r="G31" i="9"/>
  <c r="V7" i="1"/>
  <c r="K31" i="5"/>
  <c r="K30" i="5"/>
  <c r="J6" i="1"/>
  <c r="S6" i="1" s="1"/>
  <c r="D15" i="1"/>
  <c r="T3" i="1"/>
  <c r="U3" i="1"/>
  <c r="U8" i="1"/>
  <c r="T8" i="1"/>
  <c r="J28" i="11"/>
  <c r="J27" i="11"/>
  <c r="I12" i="1"/>
  <c r="I28" i="4"/>
  <c r="I27" i="4"/>
  <c r="H5" i="1"/>
  <c r="T5" i="1"/>
  <c r="U5" i="1"/>
  <c r="R4" i="1" l="1"/>
  <c r="P4" i="1"/>
  <c r="Q4" i="1"/>
  <c r="Q3" i="1"/>
  <c r="P5" i="1"/>
  <c r="S3" i="1"/>
  <c r="G15" i="1"/>
  <c r="N15" i="1" s="1"/>
  <c r="O11" i="1"/>
  <c r="P13" i="1"/>
  <c r="R3" i="1"/>
  <c r="M7" i="1"/>
  <c r="P3" i="1"/>
  <c r="Q9" i="1"/>
  <c r="H15" i="1"/>
  <c r="O15" i="1" s="1"/>
  <c r="Q14" i="1"/>
  <c r="N6" i="1"/>
  <c r="M13" i="1"/>
  <c r="R13" i="1"/>
  <c r="P6" i="1"/>
  <c r="S9" i="1"/>
  <c r="P9" i="1"/>
  <c r="M9" i="1"/>
  <c r="R9" i="1"/>
  <c r="R8" i="1"/>
  <c r="S14" i="1"/>
  <c r="P14" i="1"/>
  <c r="R14" i="1"/>
  <c r="P7" i="1"/>
  <c r="R7" i="1"/>
  <c r="S7" i="1"/>
  <c r="P12" i="1"/>
  <c r="M12" i="1"/>
  <c r="S8" i="1"/>
  <c r="O8" i="1"/>
  <c r="Q8" i="1"/>
  <c r="Q12" i="1"/>
  <c r="O13" i="1"/>
  <c r="Q13" i="1"/>
  <c r="R12" i="1"/>
  <c r="S5" i="1"/>
  <c r="P8" i="1"/>
  <c r="I15" i="1"/>
  <c r="O5" i="1"/>
  <c r="Q5" i="1"/>
  <c r="U15" i="1"/>
  <c r="T15" i="1"/>
  <c r="M10" i="1"/>
  <c r="S10" i="1"/>
  <c r="Q10" i="1"/>
  <c r="P10" i="1"/>
  <c r="R10" i="1"/>
  <c r="M5" i="1"/>
  <c r="F15" i="1"/>
  <c r="M15" i="1" s="1"/>
  <c r="R5" i="1"/>
  <c r="S4" i="1"/>
  <c r="J15" i="1"/>
  <c r="S15" i="1" l="1"/>
  <c r="P15" i="1"/>
  <c r="R15" i="1"/>
  <c r="Q15" i="1"/>
</calcChain>
</file>

<file path=xl/sharedStrings.xml><?xml version="1.0" encoding="utf-8"?>
<sst xmlns="http://schemas.openxmlformats.org/spreadsheetml/2006/main" count="561" uniqueCount="376">
  <si>
    <t>Year: 2020</t>
  </si>
  <si>
    <t>Figures</t>
  </si>
  <si>
    <t>Papers</t>
  </si>
  <si>
    <t>% of all papers</t>
  </si>
  <si>
    <t>% of SBOL possible papers</t>
  </si>
  <si>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</si>
  <si>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</si>
  <si>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</si>
  <si>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</si>
  <si>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</si>
  <si>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</si>
  <si>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</si>
  <si>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</si>
  <si>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</si>
  <si>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Part Best</t>
  </si>
  <si>
    <t>Full Best</t>
  </si>
  <si>
    <t>% of Figures</t>
  </si>
  <si>
    <t>% Possible Figures</t>
  </si>
  <si>
    <t>% Best Practices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</si>
  <si>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</si>
  <si>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</si>
  <si>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</si>
  <si>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</si>
  <si>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</si>
  <si>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</si>
  <si>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</si>
  <si>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</si>
  <si>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</si>
  <si>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</si>
  <si>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</si>
  <si>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</si>
  <si>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Analyzed</t>
  </si>
  <si>
    <t xml:space="preserve">Compliance rubric: </t>
  </si>
  <si>
    <t>https://docs.google.com/document/d/1vK8DdeN5QbFqKy0h2uLIuuB89hU_Zlj_o41NX1BVtAY/edit?usp=sharing</t>
  </si>
  <si>
    <t>Article</t>
  </si>
  <si>
    <t># Figures</t>
  </si>
  <si>
    <t># Appropriate for SBOL Visual</t>
  </si>
  <si>
    <t># Compliant with SBOL Visual</t>
  </si>
  <si>
    <t>SBOL Possible</t>
  </si>
  <si>
    <t>SBOL Used</t>
  </si>
  <si>
    <t>SBOL Uniformly Used</t>
  </si>
  <si>
    <t>Best Practices Used</t>
  </si>
  <si>
    <t>Best Practices Uniformly Used</t>
  </si>
  <si>
    <t>Engineered BRET-Based Biologic Light Sources Enable Spatiotemporal Control over Diverse Optogenetic Systems</t>
  </si>
  <si>
    <t>Point-of-Use Detection of Environmental Fluoride via a Cell-Free Riboswitch-Based Biosensor</t>
  </si>
  <si>
    <t>Design of Mammalian ON-Riboswitches Based on Tandemly Fused Aptamer and Ribozyme</t>
  </si>
  <si>
    <t>Host-Informed Expression of CRISPR Guide RNA for Genomic Engineering in Komagataella phaffii</t>
  </si>
  <si>
    <t>A Bifunctional Polyphosphate Kinase Driving the Regeneration of Nucleoside Triphosphate and Reconstituted Cell-Free Protein Synthesis</t>
  </si>
  <si>
    <t>Evolutionary Outcomes of Diversely Functionalized Aptamers Isolated from in Vitro Evolution</t>
  </si>
  <si>
    <t>Identification, Characterization, and Application of a Highly Sensitive Lactam Biosensor from Pseudomonas putida</t>
  </si>
  <si>
    <t>Expanding the Natural Products Heterologous Expression Repertoire in the Model Cyanobacterium Anabaena sp. Strain PCC 7120: Production of Pendolmycin and Teleocidin B-4</t>
  </si>
  <si>
    <t>Artificial Cells Capable of Long-Lived Protein Synthesis by Using Aptamer Grafted Polymer Hydrogel</t>
  </si>
  <si>
    <t>Design of a Transcriptional Biosensor for the Portable, On-Demand Detection of Cyanuric Acid</t>
  </si>
  <si>
    <t>Proteolytic Queues at ClpXP Increase Antibiotic Tolerance</t>
  </si>
  <si>
    <t>Multiple-Site Diversification of Regulatory Sequences Enables Interspecies Operability of Genetic Devices</t>
  </si>
  <si>
    <t>Modifying Cytochrome c Maturation Can Increase the Bioelectronic Performance of Engineered Escherichia coli</t>
  </si>
  <si>
    <t>Saturation Mutagenesis Genome Engineering of Infective ΦX174 Bacteriophage via Unamplified Oligo Pools and Golden Gate Assembly</t>
  </si>
  <si>
    <t>Tunable Repression of Key Photosynthetic Processes Using Cas12a CRISPR Interference in the Fast-Growing Cyanobacterium Synechococcus sp. UTEX 2973</t>
  </si>
  <si>
    <t>Cell-Free Protein Synthesis as a Prototyping Platform for Mammalian Synthetic Biology</t>
  </si>
  <si>
    <t>Reinforcement Learning for Bioretrosynthesis</t>
  </si>
  <si>
    <t>Orthogonal Protein-Responsive mRNA Switches for Mammalian Synthetic Biology</t>
  </si>
  <si>
    <t>mpCRISTAR: Multiple Plasmid Approach for CRISPR/Cas9 and TAR-Mediated Multiplexed Refactoring of Natural Product Biosynthetic Gene Clusters</t>
  </si>
  <si>
    <t># Papers</t>
  </si>
  <si>
    <t>Totals:</t>
  </si>
  <si>
    <t>% of SBOL-possible papers</t>
  </si>
  <si>
    <t>% of all / possible figures</t>
  </si>
  <si>
    <t>In Vitro Selection of Peptides and Proteins—Advantages of mRNA Display</t>
  </si>
  <si>
    <t>Rational Design of a Bifunctional AND-Gate Ligand To Modulate Cell–Cell Interactions</t>
  </si>
  <si>
    <t>Mathematical Models of Protease-Based Enzymatic Biosensors</t>
  </si>
  <si>
    <t>Quorum Sensing-Based Dual-Function Switch and Its Application in Solving Two Key Metabolic Engineering Problems</t>
  </si>
  <si>
    <t>High-Resolution Scanning of Optimal Biosensor Reporter Promoters in Yeast</t>
  </si>
  <si>
    <t>Light-Inducible Recombinases for Bacterial Optogenetics</t>
  </si>
  <si>
    <t>Engineering a DNAzyme-Based Operon System for the Production of DNA Nanoscaffolds in Living Bacteria</t>
  </si>
  <si>
    <t>Heterologous Production of Lasso Peptide Capistruin in a Burkholderia Host</t>
  </si>
  <si>
    <t>Single-Molecule Kinetics Show DNA Pyrimidine Content Strongly Affects RNA:DNA and TNA:DNA Heteroduplex Dissociation Rates</t>
  </si>
  <si>
    <t>Hyperstable De Novo Protein with a Dimeric Bisecting Topology</t>
  </si>
  <si>
    <t>Malic Enzyme Facilitates d-Lactate Production through Increased Pyruvate Supply during Anoxic Dark Fermentation in Synechocystis sp. PCC 6803</t>
  </si>
  <si>
    <t>Daisy Chain Topology Based Mammalian Synthetic Circuits for RNA-Only Delivery</t>
  </si>
  <si>
    <t>Enzymatic Synthesis of Designer DNA Using Cyclic Reversible Termination and a Universal Template</t>
  </si>
  <si>
    <t>A Validamycin Shunt Pathway for Valienamine Synthesis in Engineered Streptomyces hygroscopicus 5008</t>
  </si>
  <si>
    <t>Metabolic Engineering of Clostridium cellulovorans to Improve Butanol Production by Consolidated Bioprocessing</t>
  </si>
  <si>
    <t>Design of Protein Logic Gate System Operating on Lipid Membranes</t>
  </si>
  <si>
    <t>Codon Selection Affects Recruitment of Ribosome-Associating Factors during Translation</t>
  </si>
  <si>
    <t>A Multifunction Lipid-Based CRISPR-Cas13a Genetic Circuit Delivery System for Bladder Cancer Gene Therapy</t>
  </si>
  <si>
    <t>Quantifying and Engineering Mucus Adhesion of Probiotics</t>
  </si>
  <si>
    <t>Synthetic Derivatives of (+)-epi-α-Bisabolol Are Formed by Mammalian Cytochromes P450 Expressed in a Yeast Reconstituted Pathway</t>
  </si>
  <si>
    <t>Designed Protein Cages as Scaffolds for Building Multienzyme Materials</t>
  </si>
  <si>
    <t>Genetic Encoding of Targeted Magnetic Resonance Imaging Contrast Agents for Tumor Imaging</t>
  </si>
  <si>
    <t>Active Analyte Import Improves the Dynamic Range and Sensitivity of a Vitamin B12 Biosensor</t>
  </si>
  <si>
    <t>Engineered Recombinant Escherichia coli Probiotic Strains Integrated with F4 and F18 Fimbriae Cluster Genes in the Chromosome and Their Assessment of Immunogenic Efficacy in Vivo</t>
  </si>
  <si>
    <t>De Novo Designed Protein-Interaction Modules for In-Cell Applications</t>
  </si>
  <si>
    <t>Engineering Tropane Alkaloid Production Based on Metabolic Characterization of Ornithine Decarboxylase in Atropa belladonna</t>
  </si>
  <si>
    <t>Reconstruction of the Biosynthetic Pathway of Santalols under Control of the GAL Regulatory System in Yeast</t>
  </si>
  <si>
    <t>Promoter Screening Facilitates Heterologous Production of Complex Secondary Metabolites in Burkholderiales Strains</t>
  </si>
  <si>
    <t>Site-Specific Post-translational Surface Modification of Adeno-Associated Virus Vectors Using Leucine Zippers</t>
  </si>
  <si>
    <t>Adenosine Triphosphate and Carbon Efficient Route to Second Generation Biofuel Isopentanol</t>
  </si>
  <si>
    <t>Engineered Living Materials Based on Adhesin-Mediated Trapping of Programmable Cells</t>
  </si>
  <si>
    <t>Genetic Code Expansion, Protein Expression, and Protein Functionalization in Bacillus subtilis</t>
  </si>
  <si>
    <t>Directed Metabolic Pathway Evolution Enables Functional Pterin-Dependent Aromatic-Amino-Acid Hydroxylation in Escherichia coli</t>
  </si>
  <si>
    <t>SPLIT: Stable Protein Coacervation Using a Light Induced Transition</t>
  </si>
  <si>
    <t>Yeast Surface Display System for Facilitated Production and Application of Phage Endolysin</t>
  </si>
  <si>
    <t>Design and Characterization of an Icosahedral Protein Cage Formed by a Double-Fusion Protein Containing Three Distinct Symmetry Elements</t>
  </si>
  <si>
    <t>Highly Efficient Biosynthesis of Hypoxanthine in Escherichia coli and Transcriptome-Based Analysis of the Purine Metabolism</t>
  </si>
  <si>
    <t>Linking Engineered Cells to Their Digital Twins: A Version Control System for Strain Engineering</t>
  </si>
  <si>
    <t>Mitochondrial Compartmentalization Confers Specificity to the 2-Ketoacid Recursive Pathway: Increasing Isopentanol Production in Saccharomyces cerevisiae</t>
  </si>
  <si>
    <t>MEMO: A Method for Computing Metabolic Modules for Cell-Free Production Systems</t>
  </si>
  <si>
    <t>Directed Evolution of the Stringency of the LuxR Vibrio fischeri Quorum Sensor without OFF-State Selection</t>
  </si>
  <si>
    <t>Development of High-Performance Whole Cell Biosensors Aided by Statistical Modeling</t>
  </si>
  <si>
    <t>Development of a Quorum-Sensing Based Circuit for Control of Coculture Population Composition in a Naringenin Production System</t>
  </si>
  <si>
    <t>Extrachromosomal Genetic Engineering of the Marine Diatom Phaeodactylum tricornutum Enables the Heterologous Production of Monoterpenoids</t>
  </si>
  <si>
    <t>New Insight into Plasmid-Driven T7 RNA Polymerase in Escherichia coli and Use as a Genetic Amplifier for a Biosensor</t>
  </si>
  <si>
    <t>Refactoring Ehrlich Pathway for High-Yield 2-Phenylethanol Production in Yarrowia lipolytica</t>
  </si>
  <si>
    <t>Improvement of cis,cis-Muconic Acid Production in Saccharomyces cerevisiae through Biosensor-Aided Genome Engineering</t>
  </si>
  <si>
    <t>An Escherichia coli Chassis for Production of Electrically Conductive Protein Nanowires</t>
  </si>
  <si>
    <t>Cofactor Engineering Redirects Secondary Metabolism and Enhances Erythromycin Production in Saccharopolyspora erythraea</t>
  </si>
  <si>
    <t>Design and Optimization of a Cell-Free Atrazine Biosensor</t>
  </si>
  <si>
    <t>Expanding the CRISPR Toolbox in Culicine Mosquitoes: In Vitro Validation of Pol III Promoters</t>
  </si>
  <si>
    <t>The Theophylline Aptamer: 25 Years as an Important Tool in Cellular Engineering Research</t>
  </si>
  <si>
    <t>A New Biosensor for Stilbenes and a Cannabinoid Enabled by Genome Mining of a Transcriptional Regulator</t>
  </si>
  <si>
    <t>Modulating Pathway Performance by Perturbing Local Genetic Context</t>
  </si>
  <si>
    <t>Fully Productive Cell-Free Genetic Code Expansion by Structure-Based Engineering of Methanomethylophilus alvus Pyrrolysyl-tRNA Synthetase</t>
  </si>
  <si>
    <t>Mutations in a Single Signaling Pathway Allow Cell Growth in Heavy Water</t>
  </si>
  <si>
    <t>Programming the Sequential Release of DNA</t>
  </si>
  <si>
    <t>De Novo Biosynthesis of Caffeic Acid from Glucose by Engineered Saccharomyces cerevisiae</t>
  </si>
  <si>
    <t>Unlocking Applications of Cell-Free Biotechnology through Enhanced Shelf Life and Productivity of E. coli Extracts</t>
  </si>
  <si>
    <t>Population Dynamics of Underdominance Gene Drive Systems in Continuous Space</t>
  </si>
  <si>
    <t>Balancing Cell Populations Endowed with a Synthetic Toggle Switch via Adaptive Pulsatile Feedback Control</t>
  </si>
  <si>
    <t>A Self-Replicating Linear DNA</t>
  </si>
  <si>
    <t>Automatic Redirection of Carbon Flux between Glycolysis and Pentose Phosphate Pathway Using an Oxygen-Responsive Metabolic Switch in Corynebacterium glutamicum</t>
  </si>
  <si>
    <t>Adjustable Bioorthogonal Conjugation Platform for Protein Studies in Live Cells Based on Artificial Compartments</t>
  </si>
  <si>
    <t>Comparative Dose–Response Analysis of Inducible Promoters in Cyanobacteria</t>
  </si>
  <si>
    <t>The Protection Role of Magnesium Ions on Coupled Transcription and Translation in Lyophilized Cell-Free System</t>
  </si>
  <si>
    <t>Systematic Tools for Reprogramming Plant Gene Expression in a Simple Model, Marchantia polymorpha</t>
  </si>
  <si>
    <t>Designing an Artificial Pathway for the Biosynthesis of a Novel Phenazine N-Oxide in Pseudomonas chlororaphis HT66</t>
  </si>
  <si>
    <t>Light-Inducible Generation of Membrane Curvature in Live Cells with Engineered BAR Domain Proteins</t>
  </si>
  <si>
    <t>SRRF-Stream Imaging of Optogenetically Controlled Furrow Formation Shows Localized and Coordinated Endocytosis and Exocytosis Mediating Membrane Remodeling</t>
  </si>
  <si>
    <t>Molecular Dynamics Analysis of a Rationally Designed Aldehyde Dehydrogenase Gives Insights into Improved Activity for the Non-Native Cofactor NAD+</t>
  </si>
  <si>
    <t>Multiplexed Gene Expression Tuning with Orthogonal Synthetic Gene Circuits</t>
  </si>
  <si>
    <t>Efficient and Low-Cost Error Removal in DNA Synthesis by a High-Durability MutS</t>
  </si>
  <si>
    <t>Toolkit Development for Cyanogenic and Gold Biorecovery Chassis Chromobacterium violaceum</t>
  </si>
  <si>
    <t>ShortBOL: A Language for Scripting Designs for Engineered Biological Systems Using Synthetic Biology Open Language (SBOL)</t>
  </si>
  <si>
    <t>Guide RNA Engineering Enables Dual Purpose CRISPR-Cpf1 for Simultaneous Gene Editing and Gene Regulation in Yarrowia lipolytica</t>
  </si>
  <si>
    <t>SBOL Visual 2 Ontology</t>
  </si>
  <si>
    <t>Analyzing and Engineering the Product Selectivity of a 2-Methylenebornane Synthase</t>
  </si>
  <si>
    <t>A Chemical Switch System to Modulate Chimeric Antigen Receptor T Cell Activity through Proteolysis-Targeting Chimaera Technology</t>
  </si>
  <si>
    <t>A Modular Method for Directing Protein Self-Assembly</t>
  </si>
  <si>
    <t>Multiplex Generation, Tracking, and Functional Screening of Substitution Mutants Using a CRISPR/Retron System</t>
  </si>
  <si>
    <t>Transcript Barcoding Illuminates the Expression Level of Synthetic Constructs in E. coli Nissle Residing in the Mammalian Gut</t>
  </si>
  <si>
    <t>Engineering Prokaryotic Transcriptional Activator XylR as a Xylose-Inducible Biosensor for Transcription Activation in Yeast</t>
  </si>
  <si>
    <t>Genome-Wide CRISPRi-Based Identification of Targets for Decoupling Growth from Production</t>
  </si>
  <si>
    <t>A Synthetic Genetic Circuit Enables Precise Quantification of Direct Repeat Deletion in Bacteria</t>
  </si>
  <si>
    <t>Facilitating Protein Expression with Portable 5′-UTR Secondary Structures in Bacillus licheniformis</t>
  </si>
  <si>
    <t>A Synthetic Malonyl-CoA Metabolic Oscillator in Komagataella phaffii</t>
  </si>
  <si>
    <t>MAPPS: A Web-Based Tool for Metabolic Pathway Prediction and Network Analysis in the Postgenomic Era</t>
  </si>
  <si>
    <t>Determinants for Efficient Editing with Cas9-Mediated Recombineering in Escherichia coli</t>
  </si>
  <si>
    <t>Efficient and Reproducible Multigene Expression after Single-Step Transfection Using Improved BAC Transgenesis and Engineering Toolkit</t>
  </si>
  <si>
    <t>A Coculture Based Tyrosine-Tyrosinase Electrochemical Gene Circuit for Connecting Cellular Communication with Electronic Networks</t>
  </si>
  <si>
    <t>One-Day Construction of Multiplex Arrays to Harness Natural CRISPR-Cas Systems</t>
  </si>
  <si>
    <t>Engineering Stable Pseudomonas putida S12 by CRISPR for 2,5-Furandicarboxylic Acid (FDCA) Production</t>
  </si>
  <si>
    <t>A Novel Biosynthetic Pathway for the Production of Acrylic Acid through β-Alanine Route in Escherichia coli</t>
  </si>
  <si>
    <t>In Vivo Production of Five Crocins in the Engineered Escherichia coli</t>
  </si>
  <si>
    <t>Blue-Light-Switchable Bacterial Cell–Cell Adhesions Enable the Control of Multicellular Bacterial Communities</t>
  </si>
  <si>
    <t>SCRaMbLEing of a Synthetic Yeast Chromosome with Clustered Essential Genes Reveals Synthetic Lethal Interactions</t>
  </si>
  <si>
    <t>Introduction of the Menaquinone Biosynthetic Pathway into Rhodobacter sphaeroides and de Novo Synthesis of Menaquinone for Incorporation into Heterologously Expressed Integral Membrane Proteins</t>
  </si>
  <si>
    <t>Truncating the Structure of Lipopolysaccharide in Escherichia coli Can Effectively Improve Poly-3-hydroxybutyrate Production</t>
  </si>
  <si>
    <t>Extending SynBioHub’s Functionality with Plugins</t>
  </si>
  <si>
    <t>Translation Related Factors Improve the Productivity of a Streptomyces-Based Cell-Free Protein Synthesis System</t>
  </si>
  <si>
    <t>Nucleic Acid Detection Using CRISPR/Cas Biosensing Technologies</t>
  </si>
  <si>
    <t>Smart Microbial Cells Couple Catalysis and Sensing to Provide High-Throughput Selection of an Organophosphate Hydrolase</t>
  </si>
  <si>
    <t>Microbial Synthesis of Human-Hormone Melatonin at Gram Scales</t>
  </si>
  <si>
    <t>Functional Identification of Two Types of Carotene Hydroxylases from the Green Alga Dunaliella bardawil Rich in Lutein</t>
  </si>
  <si>
    <t>Turning the Screw: Engineering Extreme pH Resistance in Escherichia coli through Combinatorial Synthetic Operons</t>
  </si>
  <si>
    <t>Comprehensive Analysis of Genomic Safe Harbors as Target Sites for Stable Expression of the Heterologous Gene in HEK293 Cells</t>
  </si>
  <si>
    <t>Automated Continuous Evolution of Proteins in Vivo</t>
  </si>
  <si>
    <t>Pattern Engineering of Living Bacterial Colonies Using Meniscus-Driven Fluidic Channels</t>
  </si>
  <si>
    <t>Dynamic Cell Programming with Quorum Sensing-Controlled CRISPRi Circuit</t>
  </si>
  <si>
    <t>A Small-Molecule-Responsive Riboswitch Enables Conditional Induction of Viral Vector-Mediated Gene Expression in Mice</t>
  </si>
  <si>
    <t>Caged Activators of Artificial Allosteric Protein Biosensors</t>
  </si>
  <si>
    <t>Overcoming the Challenges of Megabase-Sized Plasmid Construction in Escherichia coli</t>
  </si>
  <si>
    <t>Two-Component Biosensors: Unveiling the Mechanisms of Predictable Tunability</t>
  </si>
  <si>
    <t>Bacteriophage Inspired Growth-Decoupled Recombinant Protein Production in Escherichia coli</t>
  </si>
  <si>
    <t>Multicomponent Microscale Biosynthesis of Unnatural Cyanobacterial Indole Alkaloids</t>
  </si>
  <si>
    <t>Design and Experimental Evaluation of a Minimal, Innocuous Watermarking Strategy to Distinguish Near-Identical DNA and RNA Sequences</t>
  </si>
  <si>
    <t>Cell-Free Bacteriophage Genome Synthesis Using Low-Cost Sequence-Verified Array-Synthesized Oligonucleotides</t>
  </si>
  <si>
    <t>sRNA-Based Screening Chromosomal Gene Targets and Modular Designing Escherichia coli for High-Titer Production of Aglycosylated Immunoglobulin G</t>
  </si>
  <si>
    <t>Efficient Biosynthesis of Low-Molecular-Weight Poly-γ-glutamic Acid Based on Stereochemistry Regulation in Bacillus amyloliquefaciens</t>
  </si>
  <si>
    <t>Development of Novel Riboswitches for Synthetic Biology in the Green Alga Chlamydomonas</t>
  </si>
  <si>
    <t>Improved Production of Malic Acid in Aspergillus niger by Abolishing Citric Acid Accumulation and Enhancing Glycolytic Flux</t>
  </si>
  <si>
    <t>Genetic Engineering of Oligotropha carboxidovorans Strain OM5—A Promising Candidate for the Aerobic Utilization of Synthesis Gas</t>
  </si>
  <si>
    <t>A Reversibly Induced CRISPRi System Targeting Photosystem II in the Cyanobacterium Synechocystis sp. PCC 6803</t>
  </si>
  <si>
    <t>Bottom-Up Construction of a Minimal System for Cellular Respiration and Energy Regeneration</t>
  </si>
  <si>
    <t>Construction of Inducible Genetic Switch for the Global Regulator WblA To Sustain Both Overproduction of Tiancimycins and On-Demand Sporulation in Streptomyces sp. CB03234</t>
  </si>
  <si>
    <t>High-Throughput Screening for Substrate Specificity-Adapted Mutants of the Nisin Dehydratase NisB</t>
  </si>
  <si>
    <t>Updated ATLAS of Biochemistry with New Metabolites and Improved Enzyme Prediction Power</t>
  </si>
  <si>
    <t>Media Robustness and Scalability of Phosphate Regulated Promoters Useful for Two-Stage Autoinduction in E. coli</t>
  </si>
  <si>
    <t>Processing DNA-Based Molecular Signals into Graphical Displays</t>
  </si>
  <si>
    <t>Domain-Specific Programming Languages for Computational Nucleic Acid Systems</t>
  </si>
  <si>
    <t>Biosystems Design by Machine Learning</t>
  </si>
  <si>
    <t>Synthetic Glycobiology: Parts, Systems, and Applications</t>
  </si>
  <si>
    <t>Synthesis Success Calculator: Predicting the Rapid Synthesis of DNA Fragments with Machine Learning</t>
  </si>
  <si>
    <t>Endogenous p21-Dependent Transgene Control for CHO Cell Engineering</t>
  </si>
  <si>
    <t>Assessment of Robustness to Temperature in a Negative Feedback Loop and a Feedforward Loop</t>
  </si>
  <si>
    <t>Purification of an Intact Human Protein Overexpressed from Its Endogenous Locus via Direct Genome Engineering</t>
  </si>
  <si>
    <t>Rational Design and Self-Assembly of Coiled-Coil Linked SasG Protein Fibrils</t>
  </si>
  <si>
    <t>Preparation of a Millimeter-Sized Supergiant Liposome That Allows for Efficient, Eukaryotic Cell-Free Translation in the Interior by Spontaneous Emulsion Transfer</t>
  </si>
  <si>
    <t>Optimal Ratio of Carbon Flux between Glycolysis and the Pentose Phosphate Pathway for Amino Acid Accumulation in Corynebacterium glutamicum</t>
  </si>
  <si>
    <t>Artificial Protein-Responsive Riboswitches Upregulate Non-AUG Translation Initiation in Yeast</t>
  </si>
  <si>
    <t>Engineering Carboxylic Acid Reductase (CAR) through a Whole-Cell Growth-Coupled NADPH Recycling Strategy</t>
  </si>
  <si>
    <t>Controlled Functional Zonation of Hepatocytes In Vitro by Engineering of Wnt Signaling</t>
  </si>
  <si>
    <t>Universal Actuator for Efficient Silencing of Escherichia coli Genes Based on Convergent Transcription Resistant to Rho-Dependent Termination</t>
  </si>
  <si>
    <t>Harnessing Natural Modularity of Metabolism with Goal Attainment Optimization to Design a Modular Chassis Cell for Production of Diverse Chemicals</t>
  </si>
  <si>
    <t>Cotranscriptional Folding of a Bio-orthogonal Fluorescent Scaffolded RNA Origami</t>
  </si>
  <si>
    <t>Mycoplasma pneumoniae Genome Editing Based on Oligo Recombineering and Cas9-Mediated Counterselection</t>
  </si>
  <si>
    <t>Synthetic Control of Signal Flow Within a Bacterial Multi-Kinase Network</t>
  </si>
  <si>
    <t>From Electronic Sequence to Purified Protein Using Automated Gene Synthesis and In Vitro Transcription/Translation</t>
  </si>
  <si>
    <t>Evolving a Thermostable Terminal Deoxynucleotidyl Transferase</t>
  </si>
  <si>
    <t>Leveraging the Hermes Transposon to Accelerate the Development of Nonconventional Yeast-based Microbial Cell Factories</t>
  </si>
  <si>
    <t>Exploring Catalysis Specificity of Phytoene Dehydrogenase CrtI in Carotenoid Synthesis</t>
  </si>
  <si>
    <t>Functional Integration of Two CYP450 Genes Involved in Biosynthesis of Tanshinones for Improved Diterpenoid Production by Synthetic Biology</t>
  </si>
  <si>
    <t>Minimization of Elements for Isothermal DNA Replication by an Evolutionary Approach</t>
  </si>
  <si>
    <t>CRISPR-dCas9 Mediated Cytosine Deaminase Base Editing in Bacillus subtilis</t>
  </si>
  <si>
    <t>A Library of Tunable, Portable, and Inducer-Free Promoters Derived from Cyanobacteria</t>
  </si>
  <si>
    <t>Identification of a Strong Quorum Sensing- and Thermo-Regulated Promoter for the Biosynthesis of a New Metabolite Pesticide Phenazine-1-carboxamide in Pseudomonas strain PA1201</t>
  </si>
  <si>
    <t>Highly Efficient Production of l-Histidine from Glucose by Metabolically Engineered Escherichia coli</t>
  </si>
  <si>
    <t>Rational Design of Flavonoid Production Routes Using Combinatorial and Precursor-Directed Biosynthesis</t>
  </si>
  <si>
    <t>MiniBacillus PG10 as a Convenient and Effective Production Host for Lantibiotics</t>
  </si>
  <si>
    <t>CRISPR-Mediated Activation of Biosynthetic Gene Clusters for Bioactive Molecule Discovery in Filamentous Fungi</t>
  </si>
  <si>
    <t>Directed Evolution of Ornithine Cyclodeaminase Using an EvolvR-Based Growth-Coupling Strategy for Efficient Biosynthesis of l-Proline</t>
  </si>
  <si>
    <t>Development of a Proline-Based Selection System for Reliable Genetic Engineering in Chinese Hamster Ovary Cells</t>
  </si>
  <si>
    <t>Programmed Allelic Mutagenesis of a DNA Polymerase with Single Amino Acid Resolution</t>
  </si>
  <si>
    <t>Mapping Protein–Protein Interaction Interface Peptides with Jun-Fos Assisted Phage Display and Deep Sequencing</t>
  </si>
  <si>
    <t>De Novo Engineering of Corynebacterium glutamicum for l-Proline Production</t>
  </si>
  <si>
    <t>Robust Heterochiral Strand Displacement Using Leakless Translators</t>
  </si>
  <si>
    <t>Targeted Diversification in the S. cerevisiae Genome with CRISPR-Guided DNA Polymerase I</t>
  </si>
  <si>
    <t>Site-Directed Mutagenesis of Large Biosynthetic Gene Clusters via Oligonucleotide Recombineering and CRISPR/Cas9 Targeting</t>
  </si>
  <si>
    <t>Robotic DNA Nanostructures</t>
  </si>
  <si>
    <t>Thermal Control of Engineered T-cells</t>
  </si>
  <si>
    <t>Lyophilized Cell-Free Systems Display Tolerance to Organic Solvent Exposure</t>
  </si>
  <si>
    <t>Activation of Protein Expression in Electroactive Biofilms</t>
  </si>
  <si>
    <t>CRISPR/Cas9-Based Genome Editing in the Filamentous Fungus Glarea lozoyensis and Its Application in Manipulating gloF</t>
  </si>
  <si>
    <t>Metabolic Engineering of Saccharomyces cerevisiae for Rosmarinic Acid Production</t>
  </si>
  <si>
    <t>Identification of the Biosynthetic Gene Cluster for the anti-MRSA Lysocins through Gene Cluster Activation Using Strong Promoters of Housekeeping Genes and Production of New Analogs in Lysobacter sp. 3655</t>
  </si>
  <si>
    <t>Multicopy Chromosomal Integration Using CRISPR-Associated Transposases</t>
  </si>
  <si>
    <t>Reassembly of the Biosynthetic Gene Cluster Enables High Epothilone Yield in Engineered Schlegelella brevitalea</t>
  </si>
  <si>
    <t>Inducible Expression Systems Based on Xenogeneic Silencing and Counter-Silencing and Design of a Metabolic Toggle Switch</t>
  </si>
  <si>
    <t>Engineering REST-Specific Synthetic PUF Proteins to Control Neuronal Gene Expression: A Combined Experimental and Computational Study</t>
  </si>
  <si>
    <t>Engineering and Rewiring of a Calcium-Dependent Signaling Pathway</t>
  </si>
  <si>
    <t>Reconstitution of the Ornithine Cycle with Arginine:Glycine Amidinotransferase to Engineer Escherichia coli into an Efficient Whole-Cell Catalyst of Guanidinoacetate</t>
  </si>
  <si>
    <t>Orthogonal Blue and Red Light Controlled Cell–Cell Adhesions Enable Sorting-out in Multicellular Structures</t>
  </si>
  <si>
    <t>A Dual-Plasmid CRISPR/Cas System for Mycotoxin Elimination in Polykaryotic Industrial Fungi</t>
  </si>
  <si>
    <t>Engineering Yarrowia lipolytica as a Chassis for De Novo Synthesis of Five Aromatic-Derived Natural Products and Chemicals</t>
  </si>
  <si>
    <t>Rational Design of Novel Fluorescent Enzyme Biosensors for Direct Detection of Strigolactones</t>
  </si>
  <si>
    <t>Yeast Intracellular Staining (yICS): Enabling High-Throughput, Quantitative Detection of Intracellular Proteins via Flow Cytometry for Pathway Engineering</t>
  </si>
  <si>
    <t>Design of Tunable Protein Interfaces Controlled by Post-Translational Modifications</t>
  </si>
  <si>
    <t>Bringing Light into Cell-Free Expression</t>
  </si>
  <si>
    <t>Signal Peptides Generated by Attention-Based Neural Networks</t>
  </si>
  <si>
    <t>Reprogramming Acetogenic Bacteria with CRISPR-Targeted Base Editing via Deamination</t>
  </si>
  <si>
    <t>Distributed Implementation of Boolean Functions by Transcriptional Synthetic Circuits</t>
  </si>
  <si>
    <t>A Cell-Free Protein Expression System Derived from Human Primary Peripheral Blood Mononuclear Cells</t>
  </si>
  <si>
    <t>Multiplex Evolution of Antibody Fragments Utilizing a Yeast Surface Display Platform</t>
  </si>
  <si>
    <t>Fast, Simultaneous Tagging and Mutagenesis of Genes on Bacterial Chromosomes</t>
  </si>
  <si>
    <t>Expanding Toolbox for Genes Expression of Yarrowia lipolytica to Include Novel Inducible, Repressible, and Hybrid Promoters</t>
  </si>
  <si>
    <t>Engineering Critical Enzymes and Pathways for Improved Triterpenoid Biosynthesis in Yeast</t>
  </si>
  <si>
    <t>Applications of CRISPR in a Microbial Cell Factory: From Genome Reconstruction to Metabolic Network Reprogramming</t>
  </si>
  <si>
    <t>Engineering Isoprenoid Quinone Production in Yeast</t>
  </si>
  <si>
    <t>Display of Self-Peptide on Adeno-Associated Virus Capsid Decreases Phagocytic Uptake in Vitro</t>
  </si>
  <si>
    <t>A Single Cas9-VPR Nuclease for Simultaneous Gene Activation, Repression, and Editing in Saccharomyces cerevisiae</t>
  </si>
  <si>
    <t>FlopR: An Open Source Software Package for Calibration and Normalization of Plate Reader and Flow Cytometry Data</t>
  </si>
  <si>
    <t>Rapid Fabrication of Protein Microarrays via Autogeneration and on-Chip Purification of Biotinylated Probes</t>
  </si>
  <si>
    <t>CL6mN: Rationally Designed Optogenetic Photoswitches with Tunable Dissociation Dynamics</t>
  </si>
  <si>
    <t>Constructing Microbial Hosts for the Production of Benzoheterocyclic Derivatives</t>
  </si>
  <si>
    <t>Optogenetic Control of Heterologous Metabolism in E. coli</t>
  </si>
  <si>
    <t>Tuning Extracellular Electron Transfer by Shewanella oneidensis Using Transcriptional Logic Gates</t>
  </si>
  <si>
    <t>Conditional Recruitment to a DNA-Bound CRISPR–Cas Complex Using a Colocalization-Dependent Protein Switch</t>
  </si>
  <si>
    <t>Genetic Circuit Dynamics: Hazard and Glitch Analysis</t>
  </si>
  <si>
    <t>Application of CRISPR-Cas12a Enhanced Fluorescence Assay Coupled with Nucleic Acid Amplification for the Sensitive Detection of African Swine Fever Virus</t>
  </si>
  <si>
    <t>CRISPRi-dCas12a: A dCas12a-Mediated CRISPR Interference for Repression of Multiple Genes and Metabolic Engineering in Cyanobacteria</t>
  </si>
  <si>
    <t>Chemical Controllable Gene Drive in Drosophila</t>
  </si>
  <si>
    <t>Dynamic Control of 4-Hydroxyisoleucine Biosynthesis by Modified l-Isoleucine Biosensor in Recombinant Corynebacterium glutamicum</t>
  </si>
  <si>
    <t>Improved Butanol Production Using FASII Pathway in E. coli</t>
  </si>
  <si>
    <t>Design and Reconstruction of Regulatory Parts for Fast-Growing Vibrio natriegens Synthetic Biology</t>
  </si>
  <si>
    <t>Capturing Multicellular System Designs Using Synthetic Biology Open Language (SBOL)</t>
  </si>
  <si>
    <t>Cell-Free Synthesis of Natural Compounds from Genomic DNA of Biosynthetic Gene Clusters</t>
  </si>
  <si>
    <t>Downhill (Un)Folding Coupled to Binding as a Mechanism for Engineering Broadband Protein Conformational Transducers</t>
  </si>
  <si>
    <t>Long-Term Rewritable Report and Recording of Environmental Stimuli in Engineered Bacterial Populations</t>
  </si>
  <si>
    <t>CRISPRi-Based Dynamic Regulation of Hydrolase for the Synthesis of Poly-γ-Glutamic Acid with Variable Molecular Weights</t>
  </si>
  <si>
    <t>Development of a Biosensor for Crotonobetaine-CoA Ligase Screening Based on the Elucidation of Escherichia coli Carnitine Metabolism</t>
  </si>
  <si>
    <t>One-Pot Synthesis of Adipic Acid from Guaiacol in Escherichia coli</t>
  </si>
  <si>
    <t>Naked Bacterium: Emerging Properties of a Surfome-Streamlined Pseudomonas putida Strain</t>
  </si>
  <si>
    <t>Component Optimization of Neomycin Biosynthesis via the Reconstitution of a Combinatorial Mini-Gene-Cluster in Streptomyces fradiae</t>
  </si>
  <si>
    <t>Two-Color Imaging of Nonrepetitive Endogenous Loci in Human Cells</t>
  </si>
  <si>
    <t>Identifying Improved Sites for Heterologous Gene Integration Using ATAC-seq</t>
  </si>
  <si>
    <t>Synthesis and Characterization of Heterodimers and Fluorescent Nisin Species by Incorporation of Methionine Analogues and Subsequent Click Chemistry</t>
  </si>
  <si>
    <t>Recruiting a Phosphite Dehydrogenase/Formamidase-Driven Antimicrobial Contamination System in Bacillus subtilis for Nonsterilized Fermentation of Acetoin</t>
  </si>
  <si>
    <t>Multicopy Targeted Integration for Accelerated Development of High-Producing Chinese Hamster Ovary Cells</t>
  </si>
  <si>
    <t>Developing Methods to Circumvent the Conundrum of Chromosomal Rearrangements Occurring in Multiplex Gene Edition</t>
  </si>
  <si>
    <t>Accelerated Green Process of 2,5-Dimethylpyrazine Production from Glucose by Genetically Modified Escherichia coli</t>
  </si>
  <si>
    <t>Two Completely Orthogonal Quorum Sensing Systems with Self-Produced Autoinducers Enable Automatic Delayed Cascade Control</t>
  </si>
  <si>
    <t>Constructing a Novel Biosynthetic Pathway for the Production of Glycolate from Glycerol in Escherichia coli</t>
  </si>
  <si>
    <t>CRAGE-Duet Facilitates Modular Assembly of Biological Systems for Studying Plant–Microbe Interactions</t>
  </si>
  <si>
    <t>In Vivo Feedback Control of an Antithetic Molecular-Titration Motif in Escherichia coli Using Microfluidics</t>
  </si>
  <si>
    <t>Engineering a Synthesis-Friendly Constitutive Promoter for Mammalian Cell Expression</t>
  </si>
  <si>
    <t>Construction of Fully Segregated Genomic Libraries in Polyploid Organisms Such as Synechocystis sp. PCC 6803</t>
  </si>
  <si>
    <t>Conditional Protein Rescue by Binding-Induced Protective Shielding</t>
  </si>
  <si>
    <t>In Vitro Selection of RNA Aptamers Binding to Nanosized DNA for Constructing Artificial Riboswitches</t>
  </si>
  <si>
    <t>Securing the Exchange of Synthetic Genetic Constructs Using Digital Signatures</t>
  </si>
  <si>
    <t>A Unified Dynamic Programming Framework for the Analysis of Interacting Nucleic Acid Strands: Enhanced Models, Scalability, and Speed</t>
  </si>
  <si>
    <t>Meganuclease-Based Artificial Transcription Factors</t>
  </si>
  <si>
    <t>Homologous Quorum Sensing Regulatory Circuit: A Dual-Input Genetic Controller for Modulating Quorum Sensing-Mediated Protein Expression in E. coli</t>
  </si>
  <si>
    <t>An Amino Acid-Swapped Genetic Code</t>
  </si>
  <si>
    <t>Design, Evolution, and Characterization of a Xylose Biosensor in Escherichia coli Using the XylR/xylO System with an Expanded Operating Range</t>
  </si>
  <si>
    <t>Thermophilic Pyrrolysyl-tRNA Synthetase Mutants for Enhanced Mammalian Genetic Code Expansion</t>
  </si>
  <si>
    <t>A RAGE Based Strategy for the Genome Engineering of the Human Respiratory Pathogen Mycoplasma pneumoniae</t>
  </si>
  <si>
    <t>Surface Display of Designer Protein Scaffolds on Genome-Reduced Strains of Pseudomonas putida</t>
  </si>
  <si>
    <t>Activation of Energy Metabolism through Growth Media Reformulation Enables a 24-Hour Workflow for Cell-Free Expression</t>
  </si>
  <si>
    <t>Exploration of Acetylation as a Base-Labile Protecting Group in Escherichia coli for an Indigo Precursor</t>
  </si>
  <si>
    <t>High-Titer De Novo Biosynthesis of the Predominant Human Milk Oligosaccharide 2′-Fucosyllactose from Sucrose in Escherichia coli</t>
  </si>
  <si>
    <t>Transcription and Translation in Cytomimetic Protocells Perform Most Efficiently at Distinct Macromolecular Crowding Conditions</t>
  </si>
  <si>
    <t>CRISPR-Cas13d for Gene Knockdown and Engineering of CHO Cells</t>
  </si>
  <si>
    <t>Elucidating the Membrane Dynamics and Encapsulation Mechanism of Large DNA Molecules Under Molecular Crowding Conditions Using Giant Unilamellar Vesicles</t>
  </si>
  <si>
    <t>Exploiting Single Domain Antibodies as Regulatory Parts to Modulate Monoterpenoid Production in E. coli</t>
  </si>
  <si>
    <t>Cell Synchronization Enhances Nuclear Transformation and Genome Editing via Cas9 Enabling Homologous Recombination in Chlamydomonas reinhardtii</t>
  </si>
  <si>
    <t>Protecting Linear DNA Templates in Cell-Free Expression Systems from Diverse Bacteria</t>
  </si>
  <si>
    <t>Isothermal SARS-CoV-2 Diagnostics: Tools for Enabling Distributed Pandemic Testing as a Means of Supporting Safe Reopenings</t>
  </si>
  <si>
    <t>Compartmentalizing Cell-Free Systems: Toward Creating Life-Like Artificial Cells and Beyond</t>
  </si>
  <si>
    <t>Synthesis of Ligustrazine from Acetaldehyde by a Combined Biological–Chemical Approach</t>
  </si>
  <si>
    <t>Artificial ER-Derived Vesicles as Synthetic Organelles for in Vivo Compartmentalization of Biochemical Pathways</t>
  </si>
  <si>
    <t>Multidimensional Characterization of Parts Enhances Modeling Accuracy in Genetic Circuits</t>
  </si>
  <si>
    <t>Discovery of Novel Gain-of-Function Mutations Guided by Structure-Based Deep Learning</t>
  </si>
  <si>
    <t>Reading and Writing Digital Information in TNA</t>
  </si>
  <si>
    <t>Integrative Biosynthetic Gene Cluster Mining to Optimize a Metabolic Pathway to Efficiently Produce l-Homophenylalanine in Escherichia coli</t>
  </si>
  <si>
    <t>Genetically Encoded Fluorescent Biosensor for Rapid Detection of Protein Expression</t>
  </si>
  <si>
    <t>Design of Multipartite Transcription Factors for Multiplexed Logic Genome Integration Control in Mammalian Cells</t>
  </si>
  <si>
    <t>Microcompartmentalized Cell-Free Protein Synthesis in Hydrogel μ-Channels</t>
  </si>
  <si>
    <t>Biosynthesis of the Calorie-Free Sweetener Precursor ent-Kaurenoic Acid from CO2 Using Engineered Cyanobacteria</t>
  </si>
  <si>
    <t>Targeted Growth Medium Dropouts Promote Aromatic Compound Synthesis in Crude E. coli Cell-Free Systems</t>
  </si>
  <si>
    <t>Tunable Gene Expression System Independent of Downstream Coding Sequence</t>
  </si>
  <si>
    <t>Aptamer-Mediated Control of Polyadenylation for Gene Expression Regulation in Mammalian Cells</t>
  </si>
  <si>
    <t>Enhanced Production of Active Ecumicin Component with Higher Antituberculosis Activity by the Rare Actinomycete Nonomuraea sp. MJM5123 Using a Novel Promoter-Engineering Strategy</t>
  </si>
  <si>
    <t>Engineering E. coli for Magnetic Control and the Spatial Localization of Functions</t>
  </si>
  <si>
    <t>De Novo Biosynthesis of Multiple Pinocembrin Derivatives in Saccharomyces cerevisiae</t>
  </si>
  <si>
    <t>Decoupling Protein Production from Cell Growth Enhances the Site-Specific Incorporation of Noncanonical Amino Acids in E. coli</t>
  </si>
  <si>
    <t>Optogenetic Control of the BMP Signaling Pathway</t>
  </si>
  <si>
    <t>Genome Modularization Reveals Overlapped Gene Topology Is Necessary for Efficient Viral Reproduction</t>
  </si>
  <si>
    <t>Assembly of Plant Enzymes in E. coli for the Production of the Valuable (−)-Podophyllotoxin Precursor (−)-Pluviatolide</t>
  </si>
  <si>
    <t>A Split Methyl Halide Transferase AND Gate That Reports by Synthesizing an Indicator Gas</t>
  </si>
  <si>
    <t>CRISPR-Cas12a-Assisted Multicolor Biosensor for Semiquantitative Point-of-Use Testing of the Nopaline Synthase Terminator in Genetically Modified Crops by Unaided Eyes</t>
  </si>
  <si>
    <t>Leveraging Oxidative Stress to Regulate Redox Balance-Based, In Vivo Growth Selections for Oxygenase Engineering</t>
  </si>
  <si>
    <t>Optimally Designed Model Selection for Synthetic Biology</t>
  </si>
  <si>
    <t>An Automated Model Test System for Systematic Development and Improvement of Gene Expression Models</t>
  </si>
  <si>
    <t>Engineering of Phytosterol-Producing Yeast Platforms for Functional Reconstitution of Downstream Biosynthetic Pathways</t>
  </si>
  <si>
    <t>A Lambda Red and FLP/FRT-Mediated Site-Specific Recombination System in Komagataeibacter xylinus and Its Application to Enhance the Productivity of Bacterial Cellulose</t>
  </si>
  <si>
    <t>Engineering Microbiomes—Looking Ahead</t>
  </si>
  <si>
    <t>Living Therapeutics: The Next Frontier of Precision Medicine</t>
  </si>
  <si>
    <t>Fine-Tuning of Transcription in Pichia pastoris Using dCas9 and RNA Scaffolds</t>
  </si>
  <si>
    <t>A Logic NAND Gate for Controlling Gene Expression in a Circadian Rhythm in Cyanobacteria</t>
  </si>
  <si>
    <t>PATHcre8: A Tool That Facilitates the Searching for Heterologous Biosynthetic Routes</t>
  </si>
  <si>
    <t>Automating Cloning by Natural Transformation</t>
  </si>
  <si>
    <t>Rewiring Central Carbon Metabolism Ensures Increased Provision of Acetyl-CoA and NADPH Required for 3-OH-Propionic Acid Production</t>
  </si>
  <si>
    <t>Recombination of 2Fe-2S Ferredoxins Reveals Differences in the Inheritance of Thermostability and Midpoint Potential</t>
  </si>
  <si>
    <t>Design and Characterization of Rapid Optogenetic Circuits for Dynamic Control in Yeast Metabolic Engineering</t>
  </si>
  <si>
    <t>Analysis of Complex DNA Rearrangements during Early Stages of HAC Formation</t>
  </si>
  <si>
    <t>Efficient Biosynthesis of (2S)-Eriodictyol from (2S)-Naringenin in Saccharomyces cerevisiae through a Combination of Promoter Adjustment and Directed Evolution</t>
  </si>
  <si>
    <t>Synthetic Virus-like Particles for Glutathione Biosynthesis</t>
  </si>
  <si>
    <t>Random Chromosomal Integration and Screening Yields E. coli K-12 Derivatives Capable of Efficient Sucrose Utilization</t>
  </si>
  <si>
    <t>Creating Red Light-Switchable Protein Dimerization Systems as Genetically Encoded Actuators with High Specificity</t>
  </si>
  <si>
    <t>Curli-Mediated Self-Assembly of a Fibrous Protein Scaffold for Hydroxyapatite Mineralization</t>
  </si>
  <si>
    <t>Low-Bias Manipulation of DNA Oligo Pool for Robust Data Storage</t>
  </si>
  <si>
    <t>Novel Prokaryotic CRISPR-Cas12a-Based Tool for Programmable Transcriptional Activation and Repression</t>
  </si>
  <si>
    <t>Heterologous Expression of Cryptomaldamide in a Cyanobacterial Host</t>
  </si>
  <si>
    <t>Single Cell Characterization of a Synthetic Bacterial Clock with a Hybrid Feedback Loop Containing dCas9-sgRNA</t>
  </si>
  <si>
    <t>Characterizing and Controlling Nanoscale Self-Assembly of Suckerin-12</t>
  </si>
  <si>
    <t>In Vivo Biogenesis of a De Novo Designed Iron–Sulfur Protein</t>
  </si>
  <si>
    <t>Dietary Change Enables Robust Growth-Coupling of Heterologous Methyltransferase Activity in Yeast</t>
  </si>
  <si>
    <t>DNAr: An R Package to Simulate and Analyze CRN and DSD Networks</t>
  </si>
  <si>
    <t>A Parallel Approach to Perform Threshold Value and Propagation Delay Analyses of Genetic Logic Circuit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</si>
</sst>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9"/>
      <color rgb="FF000000"/>
      <name val="&quot;Google Sans Mono&quot;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"/>
  <sheetViews>
    <sheetView tabSelected="1" topLeftCell="F1" workbookViewId="0">
      <selection activeCell="B17" sqref="B17"/>
    </sheetView>
  </sheetViews>
  <sheetFormatPr baseColWidth="10" defaultColWidth="12.6640625" defaultRowHeight="15.75" customHeight="1"/>
  <cols>
    <col min="2" max="2" width="8.83203125" customWidth="1"/>
    <col min="3" max="3" width="15" customWidth="1"/>
    <col min="4" max="4" width="12.6640625" customWidth="1"/>
    <col min="5" max="5" width="13" customWidth="1"/>
    <col min="6" max="6" width="14.6640625" customWidth="1"/>
    <col min="7" max="7" width="17.6640625" customWidth="1"/>
    <col min="8" max="8" width="17.1640625" customWidth="1"/>
    <col min="9" max="9" width="15.33203125" customWidth="1"/>
    <col min="10" max="10" width="14.83203125" customWidth="1"/>
    <col min="11" max="11" width="8.83203125" customWidth="1"/>
    <col min="12" max="12" width="5.6640625" customWidth="1"/>
    <col min="13" max="13" width="15.83203125" customWidth="1"/>
    <col min="14" max="14" width="15.6640625" customWidth="1"/>
    <col min="15" max="15" width="18.83203125" customWidth="1"/>
    <col min="16" max="16" width="15.83203125" customWidth="1"/>
    <col min="17" max="17" width="12.6640625" customWidth="1"/>
    <col min="18" max="18" width="13.1640625" customWidth="1"/>
    <col min="19" max="19" width="10.33203125" customWidth="1"/>
    <col min="20" max="20" width="10.6640625" customWidth="1"/>
    <col min="21" max="21" width="14.6640625" customWidth="1"/>
    <col min="22" max="22" width="9" customWidth="1"/>
  </cols>
  <sheetData>
    <row r="1" spans="1:22" ht="15.75" customHeight="1">
      <c r="A1" s="1" t="s">
        <v>0</v>
      </c>
      <c r="B1" s="8" t="s">
        <v>1</v>
      </c>
      <c r="C1" s="9"/>
      <c r="D1" s="9"/>
      <c r="E1" s="9"/>
      <c r="F1" s="8" t="s">
        <v>2</v>
      </c>
      <c r="G1" s="9"/>
      <c r="H1" s="9"/>
      <c r="I1" s="9"/>
      <c r="J1" s="9"/>
      <c r="K1" s="9"/>
      <c r="M1" s="8" t="s">
        <v>3</v>
      </c>
      <c r="N1" s="9"/>
      <c r="O1" s="9"/>
      <c r="P1" s="8" t="s">
        <v>4</v>
      </c>
      <c r="Q1" s="9"/>
    </row>
    <row r="2" spans="1:2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6</v>
      </c>
      <c r="M2" s="1" t="s">
        <v>7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15.75" customHeight="1">
      <c r="A3" s="1" t="s">
        <v>19</v>
      </c>
      <c r="B3" s="1">
        <f>January!C22</f>
        <v>89</v>
      </c>
      <c r="C3" s="1">
        <f>January!D22</f>
        <v>31</v>
      </c>
      <c r="D3" s="1">
        <f>January!E22</f>
        <v>25</v>
      </c>
      <c r="E3" s="1">
        <f>January!F22</f>
        <v>14</v>
      </c>
      <c r="F3" s="1">
        <f>January!G22</f>
        <v>14</v>
      </c>
      <c r="G3" s="1">
        <f>January!H22</f>
        <v>10</v>
      </c>
      <c r="H3" s="1">
        <f>January!I22</f>
        <v>10</v>
      </c>
      <c r="I3" s="1">
        <f>January!J22</f>
        <v>5</v>
      </c>
      <c r="J3" s="1">
        <f>January!K22</f>
        <v>4</v>
      </c>
      <c r="K3" s="1">
        <f>January!L22</f>
        <v>19</v>
      </c>
      <c r="M3" s="2">
        <f t="shared" ref="M3:O3" si="0">F3/$K3</f>
        <v>0.73684210526315785</v>
      </c>
      <c r="N3" s="2">
        <f t="shared" si="0"/>
        <v>0.52631578947368418</v>
      </c>
      <c r="O3" s="2">
        <f t="shared" si="0"/>
        <v>0.52631578947368418</v>
      </c>
      <c r="P3" s="2">
        <f t="shared" ref="P3:Q3" si="1">G3/$F3</f>
        <v>0.7142857142857143</v>
      </c>
      <c r="Q3" s="2">
        <f t="shared" si="1"/>
        <v>0.7142857142857143</v>
      </c>
      <c r="R3" s="2">
        <f t="shared" ref="R3:R15" si="2">I3/F3</f>
        <v>0.35714285714285715</v>
      </c>
      <c r="S3" s="2">
        <f t="shared" ref="S3:S15" si="3">J3/F3</f>
        <v>0.2857142857142857</v>
      </c>
      <c r="T3" s="3">
        <f t="shared" ref="T3:T15" si="4">D3/$B3</f>
        <v>0.2808988764044944</v>
      </c>
      <c r="U3" s="3">
        <f t="shared" ref="U3:U15" si="5">D3/C3</f>
        <v>0.80645161290322576</v>
      </c>
      <c r="V3" s="2">
        <f t="shared" ref="V3:V15" si="6">E3/C3</f>
        <v>0.45161290322580644</v>
      </c>
    </row>
    <row r="4" spans="1:22" ht="15.75" customHeight="1">
      <c r="A4" s="1" t="s">
        <v>20</v>
      </c>
      <c r="B4" s="1">
        <f>February!C31</f>
        <v>152</v>
      </c>
      <c r="C4" s="1">
        <f>February!D31</f>
        <v>37</v>
      </c>
      <c r="D4" s="1">
        <f>February!E31</f>
        <v>34</v>
      </c>
      <c r="E4" s="1">
        <f>February!F31</f>
        <v>25</v>
      </c>
      <c r="F4" s="1">
        <f>February!G31</f>
        <v>15</v>
      </c>
      <c r="G4" s="1">
        <f>February!H31</f>
        <v>14</v>
      </c>
      <c r="H4" s="1">
        <f>February!I31</f>
        <v>13</v>
      </c>
      <c r="I4" s="1">
        <f>February!J31</f>
        <v>11</v>
      </c>
      <c r="J4" s="1">
        <f>February!K31</f>
        <v>7</v>
      </c>
      <c r="K4" s="1">
        <f>February!L31</f>
        <v>28</v>
      </c>
      <c r="M4" s="2">
        <f t="shared" ref="M4:O4" si="7">F4/$K4</f>
        <v>0.5357142857142857</v>
      </c>
      <c r="N4" s="2">
        <f t="shared" si="7"/>
        <v>0.5</v>
      </c>
      <c r="O4" s="2">
        <f t="shared" si="7"/>
        <v>0.4642857142857143</v>
      </c>
      <c r="P4" s="2">
        <f t="shared" ref="P4:Q4" si="8">G4/$F4</f>
        <v>0.93333333333333335</v>
      </c>
      <c r="Q4" s="2">
        <f t="shared" si="8"/>
        <v>0.8666666666666667</v>
      </c>
      <c r="R4" s="2">
        <f t="shared" si="2"/>
        <v>0.73333333333333328</v>
      </c>
      <c r="S4" s="2">
        <f t="shared" si="3"/>
        <v>0.46666666666666667</v>
      </c>
      <c r="T4" s="3">
        <f t="shared" si="4"/>
        <v>0.22368421052631579</v>
      </c>
      <c r="U4" s="3">
        <f t="shared" si="5"/>
        <v>0.91891891891891897</v>
      </c>
      <c r="V4" s="2">
        <f t="shared" si="6"/>
        <v>0.67567567567567566</v>
      </c>
    </row>
    <row r="5" spans="1:22" ht="15.75" customHeight="1">
      <c r="A5" s="1" t="s">
        <v>21</v>
      </c>
      <c r="B5" s="1">
        <f>March!C26</f>
        <v>120</v>
      </c>
      <c r="C5" s="1">
        <f>March!D26</f>
        <v>23</v>
      </c>
      <c r="D5" s="1">
        <f>March!E26</f>
        <v>21</v>
      </c>
      <c r="E5" s="1">
        <f>March!F26</f>
        <v>7</v>
      </c>
      <c r="F5" s="1">
        <f>March!G26</f>
        <v>12</v>
      </c>
      <c r="G5" s="1">
        <f>March!H26</f>
        <v>10</v>
      </c>
      <c r="H5" s="1">
        <f>March!I26</f>
        <v>10</v>
      </c>
      <c r="I5" s="1">
        <f>March!J26</f>
        <v>5</v>
      </c>
      <c r="J5" s="1">
        <f>March!K26</f>
        <v>4</v>
      </c>
      <c r="K5" s="1">
        <f>March!L26</f>
        <v>23</v>
      </c>
      <c r="M5" s="2">
        <f t="shared" ref="M5:O5" si="9">F5/$K5</f>
        <v>0.52173913043478259</v>
      </c>
      <c r="N5" s="2">
        <f t="shared" si="9"/>
        <v>0.43478260869565216</v>
      </c>
      <c r="O5" s="2">
        <f t="shared" si="9"/>
        <v>0.43478260869565216</v>
      </c>
      <c r="P5" s="2">
        <f t="shared" ref="P5:Q5" si="10">G5/$F5</f>
        <v>0.83333333333333337</v>
      </c>
      <c r="Q5" s="2">
        <f t="shared" si="10"/>
        <v>0.83333333333333337</v>
      </c>
      <c r="R5" s="2">
        <f t="shared" si="2"/>
        <v>0.41666666666666669</v>
      </c>
      <c r="S5" s="2">
        <f t="shared" si="3"/>
        <v>0.33333333333333331</v>
      </c>
      <c r="T5" s="3">
        <f t="shared" si="4"/>
        <v>0.17499999999999999</v>
      </c>
      <c r="U5" s="3">
        <f t="shared" si="5"/>
        <v>0.91304347826086951</v>
      </c>
      <c r="V5" s="2">
        <f t="shared" si="6"/>
        <v>0.30434782608695654</v>
      </c>
    </row>
    <row r="6" spans="1:22" ht="15.75" customHeight="1">
      <c r="A6" s="1" t="s">
        <v>22</v>
      </c>
      <c r="B6" s="1">
        <f>April!C29</f>
        <v>151</v>
      </c>
      <c r="C6" s="1">
        <f>April!D29</f>
        <v>28</v>
      </c>
      <c r="D6" s="1">
        <f>April!E29</f>
        <v>24</v>
      </c>
      <c r="E6" s="1">
        <f>April!F29</f>
        <v>13</v>
      </c>
      <c r="F6" s="1">
        <f>April!G29</f>
        <v>11</v>
      </c>
      <c r="G6" s="1">
        <f>April!H29</f>
        <v>9</v>
      </c>
      <c r="H6" s="1">
        <f>April!I29</f>
        <v>7</v>
      </c>
      <c r="I6" s="1">
        <f>April!J29</f>
        <v>5</v>
      </c>
      <c r="J6" s="1">
        <f>April!K29</f>
        <v>3</v>
      </c>
      <c r="K6" s="1">
        <f>April!L29</f>
        <v>26</v>
      </c>
      <c r="M6" s="2">
        <f t="shared" ref="M6:O6" si="11">F6/$K6</f>
        <v>0.42307692307692307</v>
      </c>
      <c r="N6" s="2">
        <f t="shared" si="11"/>
        <v>0.34615384615384615</v>
      </c>
      <c r="O6" s="2">
        <f t="shared" si="11"/>
        <v>0.26923076923076922</v>
      </c>
      <c r="P6" s="2">
        <f t="shared" ref="P6:Q6" si="12">G6/$F6</f>
        <v>0.81818181818181823</v>
      </c>
      <c r="Q6" s="2">
        <f t="shared" si="12"/>
        <v>0.63636363636363635</v>
      </c>
      <c r="R6" s="2">
        <f t="shared" si="2"/>
        <v>0.45454545454545453</v>
      </c>
      <c r="S6" s="2">
        <f t="shared" si="3"/>
        <v>0.27272727272727271</v>
      </c>
      <c r="T6" s="3">
        <f t="shared" si="4"/>
        <v>0.15894039735099338</v>
      </c>
      <c r="U6" s="3">
        <f t="shared" si="5"/>
        <v>0.8571428571428571</v>
      </c>
      <c r="V6" s="2">
        <f t="shared" si="6"/>
        <v>0.4642857142857143</v>
      </c>
    </row>
    <row r="7" spans="1:22" ht="15.75" customHeight="1">
      <c r="A7" s="1" t="s">
        <v>23</v>
      </c>
      <c r="B7" s="1">
        <f>May!C27</f>
        <v>125</v>
      </c>
      <c r="C7" s="1">
        <f>May!D27</f>
        <v>31</v>
      </c>
      <c r="D7" s="1">
        <f>May!E27</f>
        <v>22</v>
      </c>
      <c r="E7" s="1">
        <f>May!F27</f>
        <v>13</v>
      </c>
      <c r="F7" s="1">
        <f>May!G27</f>
        <v>14</v>
      </c>
      <c r="G7" s="1">
        <f>May!H27</f>
        <v>8</v>
      </c>
      <c r="H7" s="1">
        <f>May!I27</f>
        <v>8</v>
      </c>
      <c r="I7" s="1">
        <f>May!J27</f>
        <v>6</v>
      </c>
      <c r="J7" s="1">
        <f>May!K27</f>
        <v>3</v>
      </c>
      <c r="K7" s="1">
        <f>May!L27</f>
        <v>24</v>
      </c>
      <c r="M7" s="2">
        <f t="shared" ref="M7:O7" si="13">F7/$K7</f>
        <v>0.58333333333333337</v>
      </c>
      <c r="N7" s="2">
        <f t="shared" si="13"/>
        <v>0.33333333333333331</v>
      </c>
      <c r="O7" s="2">
        <f t="shared" si="13"/>
        <v>0.33333333333333331</v>
      </c>
      <c r="P7" s="2">
        <f t="shared" ref="P7:Q7" si="14">G7/$F7</f>
        <v>0.5714285714285714</v>
      </c>
      <c r="Q7" s="2">
        <f t="shared" si="14"/>
        <v>0.5714285714285714</v>
      </c>
      <c r="R7" s="2">
        <f t="shared" si="2"/>
        <v>0.42857142857142855</v>
      </c>
      <c r="S7" s="2">
        <f t="shared" si="3"/>
        <v>0.21428571428571427</v>
      </c>
      <c r="T7" s="3">
        <f t="shared" si="4"/>
        <v>0.17599999999999999</v>
      </c>
      <c r="U7" s="3">
        <f t="shared" si="5"/>
        <v>0.70967741935483875</v>
      </c>
      <c r="V7" s="2">
        <f t="shared" si="6"/>
        <v>0.41935483870967744</v>
      </c>
    </row>
    <row r="8" spans="1:22" ht="15.75" customHeight="1">
      <c r="A8" s="1" t="s">
        <v>24</v>
      </c>
      <c r="B8" s="1">
        <f>June!C31</f>
        <v>129</v>
      </c>
      <c r="C8" s="1">
        <f>June!D31</f>
        <v>37</v>
      </c>
      <c r="D8" s="1">
        <f>June!E31</f>
        <v>30</v>
      </c>
      <c r="E8" s="1">
        <f>June!F31</f>
        <v>8</v>
      </c>
      <c r="F8" s="1">
        <f>June!G31</f>
        <v>16</v>
      </c>
      <c r="G8" s="1">
        <f>June!H31</f>
        <v>13</v>
      </c>
      <c r="H8" s="1">
        <f>June!I31</f>
        <v>11</v>
      </c>
      <c r="I8" s="1">
        <f>June!J31</f>
        <v>4</v>
      </c>
      <c r="J8" s="1">
        <f>June!K31</f>
        <v>3</v>
      </c>
      <c r="K8" s="1">
        <f>June!L31</f>
        <v>28</v>
      </c>
      <c r="M8" s="2">
        <f t="shared" ref="M8:O8" si="15">F8/$K8</f>
        <v>0.5714285714285714</v>
      </c>
      <c r="N8" s="2">
        <f t="shared" si="15"/>
        <v>0.4642857142857143</v>
      </c>
      <c r="O8" s="2">
        <f t="shared" si="15"/>
        <v>0.39285714285714285</v>
      </c>
      <c r="P8" s="2">
        <f t="shared" ref="P8:Q8" si="16">G8/$F8</f>
        <v>0.8125</v>
      </c>
      <c r="Q8" s="2">
        <f t="shared" si="16"/>
        <v>0.6875</v>
      </c>
      <c r="R8" s="2">
        <f t="shared" si="2"/>
        <v>0.25</v>
      </c>
      <c r="S8" s="2">
        <f t="shared" si="3"/>
        <v>0.1875</v>
      </c>
      <c r="T8" s="3">
        <f t="shared" si="4"/>
        <v>0.23255813953488372</v>
      </c>
      <c r="U8" s="3">
        <f t="shared" si="5"/>
        <v>0.81081081081081086</v>
      </c>
      <c r="V8" s="2">
        <f t="shared" si="6"/>
        <v>0.21621621621621623</v>
      </c>
    </row>
    <row r="9" spans="1:22" ht="15.75" customHeight="1">
      <c r="A9" s="1" t="s">
        <v>25</v>
      </c>
      <c r="B9" s="1">
        <f>July!C43</f>
        <v>179</v>
      </c>
      <c r="C9" s="1">
        <f>July!D43</f>
        <v>21</v>
      </c>
      <c r="D9" s="1">
        <f>July!E43</f>
        <v>19</v>
      </c>
      <c r="E9" s="1">
        <f>July!F43</f>
        <v>6</v>
      </c>
      <c r="F9" s="1">
        <f>July!G43</f>
        <v>11</v>
      </c>
      <c r="G9" s="1">
        <f>July!H43</f>
        <v>10</v>
      </c>
      <c r="H9" s="1">
        <f>July!I43</f>
        <v>10</v>
      </c>
      <c r="I9" s="1">
        <f>July!J43</f>
        <v>4</v>
      </c>
      <c r="J9" s="1">
        <f>July!K43</f>
        <v>4</v>
      </c>
      <c r="K9" s="1">
        <f>July!L43</f>
        <v>30</v>
      </c>
      <c r="M9" s="2">
        <f t="shared" ref="M9:O9" si="17">F9/$K9</f>
        <v>0.36666666666666664</v>
      </c>
      <c r="N9" s="2">
        <f t="shared" si="17"/>
        <v>0.33333333333333331</v>
      </c>
      <c r="O9" s="2">
        <f t="shared" si="17"/>
        <v>0.33333333333333331</v>
      </c>
      <c r="P9" s="2">
        <f t="shared" ref="P9:Q9" si="18">G9/$F9</f>
        <v>0.90909090909090906</v>
      </c>
      <c r="Q9" s="2">
        <f t="shared" si="18"/>
        <v>0.90909090909090906</v>
      </c>
      <c r="R9" s="2">
        <f t="shared" si="2"/>
        <v>0.36363636363636365</v>
      </c>
      <c r="S9" s="2">
        <f t="shared" si="3"/>
        <v>0.36363636363636365</v>
      </c>
      <c r="T9" s="3">
        <f t="shared" si="4"/>
        <v>0.10614525139664804</v>
      </c>
      <c r="U9" s="3">
        <f t="shared" si="5"/>
        <v>0.90476190476190477</v>
      </c>
      <c r="V9" s="2">
        <f t="shared" si="6"/>
        <v>0.2857142857142857</v>
      </c>
    </row>
    <row r="10" spans="1:22" ht="15.75" customHeight="1">
      <c r="A10" s="1" t="s">
        <v>26</v>
      </c>
      <c r="B10" s="1">
        <f>August!C30</f>
        <v>139</v>
      </c>
      <c r="C10" s="1">
        <f>August!D30</f>
        <v>47</v>
      </c>
      <c r="D10" s="1">
        <f>August!E30</f>
        <v>28</v>
      </c>
      <c r="E10" s="1">
        <f>August!F30</f>
        <v>11</v>
      </c>
      <c r="F10" s="1">
        <f>August!G30</f>
        <v>18</v>
      </c>
      <c r="G10" s="1">
        <f>August!H30</f>
        <v>13</v>
      </c>
      <c r="H10" s="1">
        <f>August!I30</f>
        <v>11</v>
      </c>
      <c r="I10" s="1">
        <f>August!J30</f>
        <v>7</v>
      </c>
      <c r="J10" s="1">
        <f>August!K30</f>
        <v>5</v>
      </c>
      <c r="K10" s="1">
        <f>August!L30</f>
        <v>27</v>
      </c>
      <c r="M10" s="2">
        <f t="shared" ref="M10:O10" si="19">F10/$K10</f>
        <v>0.66666666666666663</v>
      </c>
      <c r="N10" s="2">
        <f t="shared" si="19"/>
        <v>0.48148148148148145</v>
      </c>
      <c r="O10" s="2">
        <f t="shared" si="19"/>
        <v>0.40740740740740738</v>
      </c>
      <c r="P10" s="2">
        <f t="shared" ref="P10:Q10" si="20">G10/$F10</f>
        <v>0.72222222222222221</v>
      </c>
      <c r="Q10" s="2">
        <f t="shared" si="20"/>
        <v>0.61111111111111116</v>
      </c>
      <c r="R10" s="2">
        <f t="shared" si="2"/>
        <v>0.3888888888888889</v>
      </c>
      <c r="S10" s="2">
        <f t="shared" si="3"/>
        <v>0.27777777777777779</v>
      </c>
      <c r="T10" s="3">
        <f t="shared" si="4"/>
        <v>0.20143884892086331</v>
      </c>
      <c r="U10" s="3">
        <f t="shared" si="5"/>
        <v>0.5957446808510638</v>
      </c>
      <c r="V10" s="2">
        <f t="shared" si="6"/>
        <v>0.23404255319148937</v>
      </c>
    </row>
    <row r="11" spans="1:22" ht="15.75" customHeight="1">
      <c r="A11" s="1" t="s">
        <v>27</v>
      </c>
      <c r="B11" s="1">
        <f>September!C41</f>
        <v>181</v>
      </c>
      <c r="C11" s="1">
        <f>September!D41</f>
        <v>51</v>
      </c>
      <c r="D11" s="1">
        <f>September!E41</f>
        <v>37</v>
      </c>
      <c r="E11" s="1">
        <f>September!F41</f>
        <v>16</v>
      </c>
      <c r="F11" s="1">
        <f>September!G41</f>
        <v>20</v>
      </c>
      <c r="G11" s="1">
        <f>September!H41</f>
        <v>14</v>
      </c>
      <c r="H11" s="1">
        <f>September!I41</f>
        <v>14</v>
      </c>
      <c r="I11" s="1">
        <f>September!J41</f>
        <v>6</v>
      </c>
      <c r="J11" s="1">
        <f>September!K41</f>
        <v>6</v>
      </c>
      <c r="K11" s="1">
        <f>September!L41</f>
        <v>30</v>
      </c>
      <c r="M11" s="2">
        <f t="shared" ref="M11:O11" si="21">F11/$K11</f>
        <v>0.66666666666666663</v>
      </c>
      <c r="N11" s="2">
        <f t="shared" si="21"/>
        <v>0.46666666666666667</v>
      </c>
      <c r="O11" s="2">
        <f t="shared" si="21"/>
        <v>0.46666666666666667</v>
      </c>
      <c r="P11" s="2">
        <f t="shared" ref="P11:Q11" si="22">G11/$F11</f>
        <v>0.7</v>
      </c>
      <c r="Q11" s="2">
        <f t="shared" si="22"/>
        <v>0.7</v>
      </c>
      <c r="R11" s="2">
        <f t="shared" si="2"/>
        <v>0.3</v>
      </c>
      <c r="S11" s="2">
        <f t="shared" si="3"/>
        <v>0.3</v>
      </c>
      <c r="T11" s="3">
        <f t="shared" si="4"/>
        <v>0.20441988950276244</v>
      </c>
      <c r="U11" s="3">
        <f t="shared" si="5"/>
        <v>0.72549019607843135</v>
      </c>
      <c r="V11" s="2">
        <f t="shared" si="6"/>
        <v>0.31372549019607843</v>
      </c>
    </row>
    <row r="12" spans="1:22" ht="15.75" customHeight="1">
      <c r="A12" s="1" t="s">
        <v>28</v>
      </c>
      <c r="B12" s="1">
        <f>October!C26</f>
        <v>125</v>
      </c>
      <c r="C12" s="1">
        <f>October!D26</f>
        <v>28</v>
      </c>
      <c r="D12" s="1">
        <f>October!E26</f>
        <v>14</v>
      </c>
      <c r="E12" s="1">
        <f>October!F26</f>
        <v>6</v>
      </c>
      <c r="F12" s="1">
        <f>October!G26</f>
        <v>14</v>
      </c>
      <c r="G12" s="1">
        <f>October!H26</f>
        <v>10</v>
      </c>
      <c r="H12" s="1">
        <f>October!I26</f>
        <v>9</v>
      </c>
      <c r="I12" s="1">
        <f>October!J26</f>
        <v>4</v>
      </c>
      <c r="J12" s="1">
        <f>October!K26</f>
        <v>4</v>
      </c>
      <c r="K12" s="1">
        <f>October!L26</f>
        <v>23</v>
      </c>
      <c r="M12" s="2">
        <f t="shared" ref="M12:O12" si="23">F12/$K12</f>
        <v>0.60869565217391308</v>
      </c>
      <c r="N12" s="2">
        <f t="shared" si="23"/>
        <v>0.43478260869565216</v>
      </c>
      <c r="O12" s="2">
        <f t="shared" si="23"/>
        <v>0.39130434782608697</v>
      </c>
      <c r="P12" s="2">
        <f t="shared" ref="P12:Q12" si="24">G12/$F12</f>
        <v>0.7142857142857143</v>
      </c>
      <c r="Q12" s="2">
        <f t="shared" si="24"/>
        <v>0.6428571428571429</v>
      </c>
      <c r="R12" s="2">
        <f t="shared" si="2"/>
        <v>0.2857142857142857</v>
      </c>
      <c r="S12" s="2">
        <f t="shared" si="3"/>
        <v>0.2857142857142857</v>
      </c>
      <c r="T12" s="3">
        <f t="shared" si="4"/>
        <v>0.112</v>
      </c>
      <c r="U12" s="3">
        <f t="shared" si="5"/>
        <v>0.5</v>
      </c>
      <c r="V12" s="2">
        <f t="shared" si="6"/>
        <v>0.21428571428571427</v>
      </c>
    </row>
    <row r="13" spans="1:22" ht="15.75" customHeight="1">
      <c r="A13" s="1" t="s">
        <v>29</v>
      </c>
      <c r="B13" s="1">
        <f>November!C32</f>
        <v>145</v>
      </c>
      <c r="C13" s="1">
        <f>November!D32</f>
        <v>32</v>
      </c>
      <c r="D13" s="1">
        <f>November!E32</f>
        <v>25</v>
      </c>
      <c r="E13" s="1">
        <f>November!F32</f>
        <v>9</v>
      </c>
      <c r="F13" s="1">
        <f>November!G32</f>
        <v>15</v>
      </c>
      <c r="G13" s="1">
        <f>November!H32</f>
        <v>13</v>
      </c>
      <c r="H13" s="1">
        <f>November!I32</f>
        <v>11</v>
      </c>
      <c r="I13" s="1">
        <f>November!J32</f>
        <v>6</v>
      </c>
      <c r="J13" s="1">
        <f>November!K32</f>
        <v>5</v>
      </c>
      <c r="K13" s="1">
        <f>November!L32</f>
        <v>29</v>
      </c>
      <c r="M13" s="2">
        <f t="shared" ref="M13:O13" si="25">F13/$K13</f>
        <v>0.51724137931034486</v>
      </c>
      <c r="N13" s="2">
        <f t="shared" si="25"/>
        <v>0.44827586206896552</v>
      </c>
      <c r="O13" s="2">
        <f t="shared" si="25"/>
        <v>0.37931034482758619</v>
      </c>
      <c r="P13" s="2">
        <f t="shared" ref="P13:Q13" si="26">G13/$F13</f>
        <v>0.8666666666666667</v>
      </c>
      <c r="Q13" s="2">
        <f t="shared" si="26"/>
        <v>0.73333333333333328</v>
      </c>
      <c r="R13" s="2">
        <f t="shared" si="2"/>
        <v>0.4</v>
      </c>
      <c r="S13" s="2">
        <f t="shared" si="3"/>
        <v>0.33333333333333331</v>
      </c>
      <c r="T13" s="3">
        <f t="shared" si="4"/>
        <v>0.17241379310344829</v>
      </c>
      <c r="U13" s="3">
        <f t="shared" si="5"/>
        <v>0.78125</v>
      </c>
      <c r="V13" s="2">
        <f t="shared" si="6"/>
        <v>0.28125</v>
      </c>
    </row>
    <row r="14" spans="1:22" ht="15.75" customHeight="1">
      <c r="A14" s="1" t="s">
        <v>30</v>
      </c>
      <c r="B14" s="1">
        <f>December!C27</f>
        <v>114</v>
      </c>
      <c r="C14" s="1">
        <f>December!D27</f>
        <v>39</v>
      </c>
      <c r="D14" s="1">
        <f>December!E27</f>
        <v>29</v>
      </c>
      <c r="E14" s="1">
        <f>December!F27</f>
        <v>11</v>
      </c>
      <c r="F14" s="1">
        <f>December!G27</f>
        <v>17</v>
      </c>
      <c r="G14" s="1">
        <f>December!H27</f>
        <v>13</v>
      </c>
      <c r="H14" s="1">
        <f>December!I27</f>
        <v>12</v>
      </c>
      <c r="I14" s="1">
        <f>December!J27</f>
        <v>5</v>
      </c>
      <c r="J14" s="1">
        <f>December!K27</f>
        <v>4</v>
      </c>
      <c r="K14" s="1">
        <f>December!L27</f>
        <v>24</v>
      </c>
      <c r="M14" s="2">
        <f t="shared" ref="M14:O14" si="27">F14/$K14</f>
        <v>0.70833333333333337</v>
      </c>
      <c r="N14" s="2">
        <f t="shared" si="27"/>
        <v>0.54166666666666663</v>
      </c>
      <c r="O14" s="2">
        <f t="shared" si="27"/>
        <v>0.5</v>
      </c>
      <c r="P14" s="2">
        <f t="shared" ref="P14:Q14" si="28">G14/$F14</f>
        <v>0.76470588235294112</v>
      </c>
      <c r="Q14" s="2">
        <f t="shared" si="28"/>
        <v>0.70588235294117652</v>
      </c>
      <c r="R14" s="2">
        <f t="shared" si="2"/>
        <v>0.29411764705882354</v>
      </c>
      <c r="S14" s="2">
        <f t="shared" si="3"/>
        <v>0.23529411764705882</v>
      </c>
      <c r="T14" s="3">
        <f t="shared" si="4"/>
        <v>0.25438596491228072</v>
      </c>
      <c r="U14" s="3">
        <f t="shared" si="5"/>
        <v>0.74358974358974361</v>
      </c>
      <c r="V14" s="2">
        <f t="shared" si="6"/>
        <v>0.28205128205128205</v>
      </c>
    </row>
    <row r="15" spans="1:22" ht="15.75" customHeight="1">
      <c r="A15" s="1" t="s">
        <v>31</v>
      </c>
      <c r="B15" s="1">
        <f t="shared" ref="B15:K15" si="29">SUM(B3:B14)</f>
        <v>1649</v>
      </c>
      <c r="C15" s="1">
        <f t="shared" si="29"/>
        <v>405</v>
      </c>
      <c r="D15" s="1">
        <f t="shared" si="29"/>
        <v>308</v>
      </c>
      <c r="E15" s="1">
        <f t="shared" si="29"/>
        <v>139</v>
      </c>
      <c r="F15" s="1">
        <f t="shared" si="29"/>
        <v>177</v>
      </c>
      <c r="G15" s="1">
        <f t="shared" si="29"/>
        <v>137</v>
      </c>
      <c r="H15" s="1">
        <f t="shared" si="29"/>
        <v>126</v>
      </c>
      <c r="I15" s="1">
        <f t="shared" si="29"/>
        <v>68</v>
      </c>
      <c r="J15" s="1">
        <f t="shared" si="29"/>
        <v>52</v>
      </c>
      <c r="K15" s="1">
        <f t="shared" si="29"/>
        <v>311</v>
      </c>
      <c r="M15" s="2">
        <f t="shared" ref="M15:O15" si="30">F15/$K15</f>
        <v>0.56913183279742763</v>
      </c>
      <c r="N15" s="2">
        <f t="shared" si="30"/>
        <v>0.44051446945337619</v>
      </c>
      <c r="O15" s="2">
        <f t="shared" si="30"/>
        <v>0.40514469453376206</v>
      </c>
      <c r="P15" s="2">
        <f t="shared" ref="P15:Q15" si="31">G15/$F15</f>
        <v>0.77401129943502822</v>
      </c>
      <c r="Q15" s="2">
        <f t="shared" si="31"/>
        <v>0.71186440677966101</v>
      </c>
      <c r="R15" s="2">
        <f t="shared" si="2"/>
        <v>0.38418079096045199</v>
      </c>
      <c r="S15" s="2">
        <f t="shared" si="3"/>
        <v>0.29378531073446329</v>
      </c>
      <c r="T15" s="3">
        <f t="shared" si="4"/>
        <v>0.18677986658580958</v>
      </c>
      <c r="U15" s="3">
        <f t="shared" si="5"/>
        <v>0.76049382716049385</v>
      </c>
      <c r="V15" s="2">
        <f t="shared" si="6"/>
        <v>0.34320987654320989</v>
      </c>
    </row>
    <row r="17" spans="2:2" ht="15.75" customHeight="1">
      <c r="B17" s="1"/>
    </row>
  </sheetData>
  <mergeCells count="4">
    <mergeCell ref="B1:E1"/>
    <mergeCell ref="F1:K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5"/>
  <sheetViews>
    <sheetView workbookViewId="0">
      <pane xSplit="1" topLeftCell="B1" activePane="topRight" state="frozen"/>
      <selection pane="topRight" activeCell="A22" sqref="A22:XFD32"/>
    </sheetView>
  </sheetViews>
  <sheetFormatPr baseColWidth="10" defaultColWidth="12.6640625" defaultRowHeight="15.75" customHeight="1"/>
  <cols>
    <col min="1" max="1" width="70.832031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43</v>
      </c>
      <c r="B3" s="1"/>
      <c r="C3" s="1">
        <v>4</v>
      </c>
      <c r="D3" s="1">
        <v>1</v>
      </c>
      <c r="E3" s="1">
        <v>0</v>
      </c>
      <c r="F3" s="1">
        <v>0</v>
      </c>
      <c r="G3" s="1" t="b">
        <f>D3&gt;0</f>
        <v>1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44</v>
      </c>
      <c r="B4" s="1"/>
      <c r="C4" s="1">
        <v>4</v>
      </c>
      <c r="D4" s="1">
        <v>3</v>
      </c>
      <c r="E4" s="1">
        <v>3</v>
      </c>
      <c r="F4" s="1">
        <v>0</v>
      </c>
      <c r="G4" s="1" t="b">
        <f t="shared" ref="G4:G21" si="0">D4&gt;0</f>
        <v>1</v>
      </c>
      <c r="H4" s="1" t="b">
        <f t="shared" ref="H4:H21" si="1">E4&gt;0</f>
        <v>1</v>
      </c>
      <c r="I4" s="1" t="b">
        <f t="shared" ref="I4:I21" si="2">AND(G4,(D4=E4))</f>
        <v>1</v>
      </c>
      <c r="J4" s="1" t="b">
        <f t="shared" ref="J4:J21" si="3">(F4&gt;0)</f>
        <v>0</v>
      </c>
      <c r="K4" s="1" t="b">
        <f t="shared" ref="K4:K21" si="4">AND(I4,(E4=F4))</f>
        <v>0</v>
      </c>
    </row>
    <row r="5" spans="1:11" ht="15.75" customHeight="1">
      <c r="A5" s="1" t="s">
        <v>45</v>
      </c>
      <c r="B5" s="1"/>
      <c r="C5" s="1">
        <v>4</v>
      </c>
      <c r="D5" s="1">
        <v>1</v>
      </c>
      <c r="E5" s="1">
        <v>1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1" ht="15.75" customHeight="1">
      <c r="A6" s="1" t="s">
        <v>46</v>
      </c>
      <c r="B6" s="1"/>
      <c r="C6" s="1">
        <v>4</v>
      </c>
      <c r="D6" s="1">
        <v>2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47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48</v>
      </c>
      <c r="B8" s="1"/>
      <c r="C8" s="1">
        <v>8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49</v>
      </c>
      <c r="B9" s="1"/>
      <c r="C9" s="1">
        <v>5</v>
      </c>
      <c r="D9" s="1">
        <v>3</v>
      </c>
      <c r="E9" s="1">
        <v>3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50</v>
      </c>
      <c r="B10" s="1"/>
      <c r="C10" s="1">
        <v>5</v>
      </c>
      <c r="D10" s="1">
        <v>2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51</v>
      </c>
      <c r="B11" s="1"/>
      <c r="C11" s="1">
        <v>5</v>
      </c>
      <c r="D11" s="1">
        <v>1</v>
      </c>
      <c r="E11" s="1">
        <v>1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52</v>
      </c>
      <c r="B12" s="1"/>
      <c r="C12" s="1">
        <v>4</v>
      </c>
      <c r="D12" s="1">
        <v>3</v>
      </c>
      <c r="E12" s="1">
        <v>3</v>
      </c>
      <c r="F12" s="1">
        <v>3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1" ht="15.75" customHeight="1">
      <c r="A13" s="1" t="s">
        <v>53</v>
      </c>
      <c r="B13" s="1"/>
      <c r="C13" s="1">
        <v>5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54</v>
      </c>
      <c r="B14" s="1"/>
      <c r="C14" s="1">
        <v>6</v>
      </c>
      <c r="D14" s="1">
        <v>3</v>
      </c>
      <c r="E14" s="1">
        <v>3</v>
      </c>
      <c r="F14" s="1">
        <v>3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1" t="s">
        <v>55</v>
      </c>
      <c r="B15" s="1"/>
      <c r="C15" s="1">
        <v>6</v>
      </c>
      <c r="D15" s="1">
        <v>1</v>
      </c>
      <c r="E15" s="1">
        <v>0</v>
      </c>
      <c r="F15" s="1">
        <v>0</v>
      </c>
      <c r="G15" s="1" t="b">
        <f t="shared" si="0"/>
        <v>1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56</v>
      </c>
      <c r="B16" s="1"/>
      <c r="C16" s="1">
        <v>2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57</v>
      </c>
      <c r="B17" s="1"/>
      <c r="C17" s="1">
        <v>5</v>
      </c>
      <c r="D17" s="1">
        <v>3</v>
      </c>
      <c r="E17" s="1">
        <v>3</v>
      </c>
      <c r="F17" s="1">
        <v>2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0</v>
      </c>
    </row>
    <row r="18" spans="1:12" ht="15.75" customHeight="1">
      <c r="A18" s="1" t="s">
        <v>58</v>
      </c>
      <c r="B18" s="1"/>
      <c r="C18" s="1">
        <v>8</v>
      </c>
      <c r="D18" s="1">
        <v>5</v>
      </c>
      <c r="E18" s="1">
        <v>5</v>
      </c>
      <c r="F18" s="1">
        <v>5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A19" s="1" t="s">
        <v>59</v>
      </c>
      <c r="B19" s="1"/>
      <c r="C19" s="1">
        <v>5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60</v>
      </c>
      <c r="B20" s="1"/>
      <c r="C20" s="1">
        <v>3</v>
      </c>
      <c r="D20" s="1">
        <v>1</v>
      </c>
      <c r="E20" s="1">
        <v>1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61</v>
      </c>
      <c r="B21" s="1"/>
      <c r="C21" s="1">
        <v>2</v>
      </c>
      <c r="D21" s="1">
        <v>2</v>
      </c>
      <c r="E21" s="1">
        <v>2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2" ht="15.75" customHeight="1">
      <c r="B22" s="1" t="s">
        <v>63</v>
      </c>
      <c r="C22" s="1">
        <f>SUM(C2:C21)</f>
        <v>89</v>
      </c>
      <c r="D22" s="1">
        <f>SUM(D2:D21)</f>
        <v>31</v>
      </c>
      <c r="E22" s="1">
        <f>SUM(E2:E21)</f>
        <v>25</v>
      </c>
      <c r="F22" s="1">
        <f>SUM(F2:F21)</f>
        <v>14</v>
      </c>
      <c r="G22" s="1">
        <f>COUNTIF(G3:G21,"TRUE")</f>
        <v>14</v>
      </c>
      <c r="H22" s="1">
        <f>COUNTIF(H3:H21,"TRUE")</f>
        <v>10</v>
      </c>
      <c r="I22" s="1">
        <f>COUNTIF(I3:I21,"TRUE")</f>
        <v>10</v>
      </c>
      <c r="J22" s="1">
        <f>COUNTIF(J3:J21,"TRUE")</f>
        <v>5</v>
      </c>
      <c r="K22" s="1">
        <f>COUNTIF(K3:K21,"TRUE")</f>
        <v>4</v>
      </c>
      <c r="L22" s="5">
        <f>COUNTA(E3:E21)</f>
        <v>19</v>
      </c>
    </row>
    <row r="23" spans="1:12" ht="15.75" customHeight="1">
      <c r="E23" s="1" t="s">
        <v>3</v>
      </c>
      <c r="F23" s="2"/>
      <c r="G23" s="2">
        <f>G22/L22</f>
        <v>0.73684210526315785</v>
      </c>
      <c r="H23" s="2">
        <f>H22/L22</f>
        <v>0.52631578947368418</v>
      </c>
      <c r="I23" s="2">
        <f>I22/L22</f>
        <v>0.52631578947368418</v>
      </c>
      <c r="J23" s="2">
        <f>J22/L22</f>
        <v>0.26315789473684209</v>
      </c>
      <c r="K23" s="2">
        <f>K22/L22</f>
        <v>0.21052631578947367</v>
      </c>
    </row>
    <row r="24" spans="1:12" ht="15.75" customHeight="1">
      <c r="E24" s="1" t="s">
        <v>64</v>
      </c>
      <c r="F24" s="2"/>
      <c r="G24" s="2"/>
      <c r="H24" s="2">
        <f>H22/G22</f>
        <v>0.7142857142857143</v>
      </c>
      <c r="I24" s="2">
        <f>I22/G22</f>
        <v>0.7142857142857143</v>
      </c>
      <c r="J24" s="2">
        <f>J22/G22</f>
        <v>0.35714285714285715</v>
      </c>
      <c r="K24" s="2">
        <f>K22/G22</f>
        <v>0.2857142857142857</v>
      </c>
    </row>
    <row r="25" spans="1:12" ht="15.75" customHeight="1">
      <c r="E25" s="1" t="s">
        <v>65</v>
      </c>
      <c r="F25" s="2"/>
      <c r="G25" s="2">
        <f>E22/C22</f>
        <v>0.2808988764044944</v>
      </c>
      <c r="H25" s="2">
        <f>E22/D22</f>
        <v>0.80645161290322576</v>
      </c>
    </row>
  </sheetData>
  <hyperlinks>
    <hyperlink ref="E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4"/>
  <sheetViews>
    <sheetView workbookViewId="0">
      <pane xSplit="1" topLeftCell="B1" activePane="topRight" state="frozen"/>
      <selection pane="topRight" activeCell="A31" sqref="A31:XFD32"/>
    </sheetView>
  </sheetViews>
  <sheetFormatPr baseColWidth="10" defaultColWidth="12.6640625" defaultRowHeight="15.75" customHeight="1"/>
  <cols>
    <col min="1" max="1" width="70.832031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66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67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30" si="0">D4&gt;0</f>
        <v>0</v>
      </c>
      <c r="H4" s="1" t="b">
        <f t="shared" ref="H4:H30" si="1">E4&gt;0</f>
        <v>0</v>
      </c>
      <c r="I4" s="1" t="b">
        <f t="shared" ref="I4:I30" si="2">AND(G4,(D4=E4))</f>
        <v>0</v>
      </c>
      <c r="J4" s="1" t="b">
        <f t="shared" ref="J4:J30" si="3">(F4&gt;0)</f>
        <v>0</v>
      </c>
      <c r="K4" s="1" t="b">
        <f t="shared" ref="K4:K30" si="4">AND(I4,(E4=F4))</f>
        <v>0</v>
      </c>
    </row>
    <row r="5" spans="1:11" ht="15.75" customHeight="1">
      <c r="A5" s="1" t="s">
        <v>68</v>
      </c>
      <c r="B5" s="1"/>
      <c r="C5" s="1">
        <v>6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69</v>
      </c>
      <c r="B6" s="1"/>
      <c r="C6" s="1">
        <v>5</v>
      </c>
      <c r="D6" s="1">
        <v>3</v>
      </c>
      <c r="E6" s="1">
        <v>1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70</v>
      </c>
      <c r="B7" s="1"/>
      <c r="C7" s="1">
        <v>3</v>
      </c>
      <c r="D7" s="1">
        <v>3</v>
      </c>
      <c r="E7" s="1">
        <v>3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0</v>
      </c>
    </row>
    <row r="8" spans="1:11" ht="15.75" customHeight="1">
      <c r="A8" s="1" t="s">
        <v>71</v>
      </c>
      <c r="B8" s="1"/>
      <c r="C8" s="1">
        <v>4</v>
      </c>
      <c r="D8" s="1">
        <v>2</v>
      </c>
      <c r="E8" s="1">
        <v>2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72</v>
      </c>
      <c r="B9" s="1"/>
      <c r="C9" s="1">
        <v>3</v>
      </c>
      <c r="D9" s="1">
        <v>3</v>
      </c>
      <c r="E9" s="1">
        <v>3</v>
      </c>
      <c r="F9" s="1">
        <v>2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0</v>
      </c>
    </row>
    <row r="10" spans="1:11" ht="15.75" customHeight="1">
      <c r="A10" s="1" t="s">
        <v>73</v>
      </c>
      <c r="B10" s="1"/>
      <c r="C10" s="1">
        <v>4</v>
      </c>
      <c r="D10" s="1">
        <v>1</v>
      </c>
      <c r="E10" s="1">
        <v>1</v>
      </c>
      <c r="F10" s="1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1" t="s">
        <v>74</v>
      </c>
      <c r="B11" s="1"/>
      <c r="C11" s="1">
        <v>3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75</v>
      </c>
      <c r="B12" s="1"/>
      <c r="C12" s="1">
        <v>4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76</v>
      </c>
      <c r="B13" s="1"/>
      <c r="C13" s="1">
        <v>6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77</v>
      </c>
      <c r="B14" s="1"/>
      <c r="C14" s="1">
        <v>12</v>
      </c>
      <c r="D14" s="1">
        <v>9</v>
      </c>
      <c r="E14" s="1">
        <v>9</v>
      </c>
      <c r="F14" s="1">
        <v>9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1" t="s">
        <v>78</v>
      </c>
      <c r="B15" s="1"/>
      <c r="C15" s="1">
        <v>5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79</v>
      </c>
      <c r="B16" s="1"/>
      <c r="C16" s="1">
        <v>5</v>
      </c>
      <c r="D16" s="1">
        <v>1</v>
      </c>
      <c r="E16" s="1">
        <v>1</v>
      </c>
      <c r="F16" s="1">
        <v>1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1" t="s">
        <v>80</v>
      </c>
      <c r="B17" s="1"/>
      <c r="C17" s="1">
        <v>8</v>
      </c>
      <c r="D17" s="1">
        <v>2</v>
      </c>
      <c r="E17" s="1">
        <v>2</v>
      </c>
      <c r="F17" s="1">
        <v>2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1" t="s">
        <v>81</v>
      </c>
      <c r="B18" s="1"/>
      <c r="C18" s="1">
        <v>7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82</v>
      </c>
      <c r="B19" s="1"/>
      <c r="C19" s="1">
        <v>8</v>
      </c>
      <c r="D19" s="1">
        <v>2</v>
      </c>
      <c r="E19" s="1">
        <v>2</v>
      </c>
      <c r="F19" s="1">
        <v>2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A20" s="1" t="s">
        <v>83</v>
      </c>
      <c r="B20" s="1"/>
      <c r="C20" s="1">
        <v>6</v>
      </c>
      <c r="D20" s="1">
        <v>1</v>
      </c>
      <c r="E20" s="1">
        <v>1</v>
      </c>
      <c r="F20" s="1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1" t="s">
        <v>84</v>
      </c>
      <c r="B21" s="1"/>
      <c r="C21" s="1">
        <v>5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85</v>
      </c>
      <c r="B22" s="1"/>
      <c r="C22" s="1">
        <v>6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86</v>
      </c>
      <c r="B23" s="1"/>
      <c r="C23" s="1">
        <v>5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87</v>
      </c>
      <c r="B24" s="1"/>
      <c r="C24" s="1">
        <v>5</v>
      </c>
      <c r="D24" s="1">
        <v>1</v>
      </c>
      <c r="E24" s="1">
        <v>1</v>
      </c>
      <c r="F24" s="1">
        <v>0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88</v>
      </c>
      <c r="B25" s="1"/>
      <c r="C25" s="1">
        <v>6</v>
      </c>
      <c r="D25" s="1">
        <v>3</v>
      </c>
      <c r="E25" s="1">
        <v>3</v>
      </c>
      <c r="F25" s="1">
        <v>2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0</v>
      </c>
    </row>
    <row r="26" spans="1:12" ht="15.75" customHeight="1">
      <c r="A26" s="1" t="s">
        <v>89</v>
      </c>
      <c r="B26" s="1"/>
      <c r="C26" s="1">
        <v>8</v>
      </c>
      <c r="D26" s="1">
        <v>2</v>
      </c>
      <c r="E26" s="1">
        <v>2</v>
      </c>
      <c r="F26" s="1">
        <v>1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0</v>
      </c>
    </row>
    <row r="27" spans="1:12" ht="15.75" customHeight="1">
      <c r="A27" s="1" t="s">
        <v>90</v>
      </c>
      <c r="B27" s="1"/>
      <c r="C27" s="1">
        <v>4</v>
      </c>
      <c r="D27" s="1">
        <v>3</v>
      </c>
      <c r="E27" s="1">
        <v>3</v>
      </c>
      <c r="F27" s="1">
        <v>3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1</v>
      </c>
      <c r="K27" s="1" t="b">
        <f t="shared" si="4"/>
        <v>1</v>
      </c>
    </row>
    <row r="28" spans="1:12" ht="15.75" customHeight="1">
      <c r="A28" s="1" t="s">
        <v>91</v>
      </c>
      <c r="B28" s="1"/>
      <c r="C28" s="1">
        <v>9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92</v>
      </c>
      <c r="B29" s="1"/>
      <c r="C29" s="1">
        <v>4</v>
      </c>
      <c r="D29" s="1">
        <v>1</v>
      </c>
      <c r="E29" s="1">
        <v>0</v>
      </c>
      <c r="F29" s="1">
        <v>0</v>
      </c>
      <c r="G29" s="1" t="b">
        <f t="shared" si="0"/>
        <v>1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93</v>
      </c>
      <c r="B30" s="1"/>
      <c r="C30" s="1">
        <v>2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B31" s="1" t="s">
        <v>63</v>
      </c>
      <c r="C31" s="1">
        <f>SUM(C2:C30)</f>
        <v>152</v>
      </c>
      <c r="D31" s="1">
        <f>SUM(D2:D30)</f>
        <v>37</v>
      </c>
      <c r="E31" s="1">
        <f>SUM(E2:E30)</f>
        <v>34</v>
      </c>
      <c r="F31" s="1">
        <f>SUM(F2:F30)</f>
        <v>25</v>
      </c>
      <c r="G31" s="1">
        <f>COUNTIF(G3:G30,"TRUE")</f>
        <v>15</v>
      </c>
      <c r="H31" s="1">
        <f>COUNTIF(H3:H30,"TRUE")</f>
        <v>14</v>
      </c>
      <c r="I31" s="1">
        <f>COUNTIF(I3:I30,"TRUE")</f>
        <v>13</v>
      </c>
      <c r="J31" s="1">
        <f>COUNTIF(J3:J30,"TRUE")</f>
        <v>11</v>
      </c>
      <c r="K31" s="1">
        <f>COUNTIF(K3:K30,"TRUE")</f>
        <v>7</v>
      </c>
      <c r="L31" s="5">
        <f>COUNTA(E3:E30)</f>
        <v>28</v>
      </c>
    </row>
    <row r="32" spans="1:12" ht="15.75" customHeight="1">
      <c r="E32" s="1" t="s">
        <v>3</v>
      </c>
      <c r="F32" s="2"/>
      <c r="G32" s="2">
        <f>G31/L31</f>
        <v>0.5357142857142857</v>
      </c>
      <c r="H32" s="2">
        <f>H31/L31</f>
        <v>0.5</v>
      </c>
      <c r="I32" s="2">
        <f>I31/L31</f>
        <v>0.4642857142857143</v>
      </c>
      <c r="J32" s="2">
        <f>J31/L31</f>
        <v>0.39285714285714285</v>
      </c>
      <c r="K32" s="2">
        <f>K31/L31</f>
        <v>0.25</v>
      </c>
    </row>
    <row r="33" spans="5:11" ht="15.75" customHeight="1">
      <c r="E33" s="1" t="s">
        <v>64</v>
      </c>
      <c r="F33" s="2"/>
      <c r="G33" s="2"/>
      <c r="H33" s="2">
        <f>H31/G31</f>
        <v>0.93333333333333335</v>
      </c>
      <c r="I33" s="2">
        <f>I31/G31</f>
        <v>0.8666666666666667</v>
      </c>
      <c r="J33" s="2">
        <f>J31/G31</f>
        <v>0.73333333333333328</v>
      </c>
      <c r="K33" s="2">
        <f>K31/G31</f>
        <v>0.46666666666666667</v>
      </c>
    </row>
    <row r="34" spans="5:11" ht="15.75" customHeight="1">
      <c r="E34" s="1" t="s">
        <v>65</v>
      </c>
      <c r="F34" s="2"/>
      <c r="G34" s="2">
        <f>E31/C31</f>
        <v>0.22368421052631579</v>
      </c>
      <c r="H34" s="2">
        <f>E31/D31</f>
        <v>0.91891891891891897</v>
      </c>
    </row>
  </sheetData>
  <hyperlinks>
    <hyperlink ref="E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9"/>
  <sheetViews>
    <sheetView workbookViewId="0">
      <pane xSplit="1" topLeftCell="B1" activePane="topRight" state="frozen"/>
      <selection pane="topRight" activeCell="A26" sqref="A26:XFD32"/>
    </sheetView>
  </sheetViews>
  <sheetFormatPr baseColWidth="10" defaultColWidth="12.6640625" defaultRowHeight="15.75" customHeight="1"/>
  <cols>
    <col min="1" max="1" width="71.1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94</v>
      </c>
      <c r="B3" s="1"/>
      <c r="C3" s="1">
        <v>4</v>
      </c>
      <c r="D3" s="1">
        <v>1</v>
      </c>
      <c r="E3" s="1">
        <v>1</v>
      </c>
      <c r="F3" s="1">
        <v>1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1" t="s">
        <v>95</v>
      </c>
      <c r="B4" s="1"/>
      <c r="C4" s="1">
        <v>4</v>
      </c>
      <c r="D4" s="1">
        <v>1</v>
      </c>
      <c r="E4" s="1">
        <v>1</v>
      </c>
      <c r="F4" s="1">
        <v>0</v>
      </c>
      <c r="G4" s="1" t="b">
        <f t="shared" ref="G4:G25" si="0">D4&gt;0</f>
        <v>1</v>
      </c>
      <c r="H4" s="1" t="b">
        <f t="shared" ref="H4:H25" si="1">E4&gt;0</f>
        <v>1</v>
      </c>
      <c r="I4" s="1" t="b">
        <f t="shared" ref="I4:I25" si="2">AND(G4,(D4=E4))</f>
        <v>1</v>
      </c>
      <c r="J4" s="1" t="b">
        <f t="shared" ref="J4:J25" si="3">(F4&gt;0)</f>
        <v>0</v>
      </c>
      <c r="K4" s="1" t="b">
        <f t="shared" ref="K4:K25" si="4">AND(I4,(E4=F4))</f>
        <v>0</v>
      </c>
    </row>
    <row r="5" spans="1:11" ht="15.75" customHeight="1">
      <c r="A5" s="1" t="s">
        <v>96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97</v>
      </c>
      <c r="B6" s="1"/>
      <c r="C6" s="1">
        <v>6</v>
      </c>
      <c r="D6" s="1">
        <v>4</v>
      </c>
      <c r="E6" s="1">
        <v>4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98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99</v>
      </c>
      <c r="B8" s="1"/>
      <c r="C8" s="1">
        <v>6</v>
      </c>
      <c r="D8" s="1">
        <v>1</v>
      </c>
      <c r="E8" s="1">
        <v>1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100</v>
      </c>
      <c r="B9" s="1"/>
      <c r="C9" s="1">
        <v>6</v>
      </c>
      <c r="D9" s="1">
        <v>1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101</v>
      </c>
      <c r="B10" s="1"/>
      <c r="C10" s="1">
        <v>3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102</v>
      </c>
      <c r="B11" s="1"/>
      <c r="C11" s="1">
        <v>6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103</v>
      </c>
      <c r="B12" s="1"/>
      <c r="C12" s="1">
        <v>5</v>
      </c>
      <c r="D12" s="1">
        <v>1</v>
      </c>
      <c r="E12" s="1">
        <v>1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104</v>
      </c>
      <c r="B13" s="1"/>
      <c r="C13" s="1">
        <v>4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105</v>
      </c>
      <c r="B14" s="1"/>
      <c r="C14" s="1">
        <v>4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106</v>
      </c>
      <c r="B15" s="1"/>
      <c r="C15" s="1">
        <v>6</v>
      </c>
      <c r="D15" s="1">
        <v>3</v>
      </c>
      <c r="E15" s="1">
        <v>3</v>
      </c>
      <c r="F15" s="1">
        <v>3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1" t="s">
        <v>107</v>
      </c>
      <c r="B16" s="1"/>
      <c r="C16" s="1">
        <v>9</v>
      </c>
      <c r="D16" s="1">
        <v>5</v>
      </c>
      <c r="E16" s="1">
        <v>5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108</v>
      </c>
      <c r="B17" s="1"/>
      <c r="C17" s="1">
        <v>5</v>
      </c>
      <c r="D17" s="1">
        <v>1</v>
      </c>
      <c r="E17" s="1">
        <v>1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1" t="s">
        <v>109</v>
      </c>
      <c r="B18" s="1"/>
      <c r="C18" s="1">
        <v>5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110</v>
      </c>
      <c r="B19" s="1"/>
      <c r="C19" s="1">
        <v>7</v>
      </c>
      <c r="D19" s="1">
        <v>3</v>
      </c>
      <c r="E19" s="1">
        <v>3</v>
      </c>
      <c r="F19" s="1">
        <v>1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0</v>
      </c>
    </row>
    <row r="20" spans="1:12" ht="15.75" customHeight="1">
      <c r="A20" s="1" t="s">
        <v>111</v>
      </c>
      <c r="B20" s="1"/>
      <c r="C20" s="1">
        <v>7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112</v>
      </c>
      <c r="B21" s="1"/>
      <c r="C21" s="1">
        <v>6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113</v>
      </c>
      <c r="B22" s="1"/>
      <c r="C22" s="1">
        <v>4</v>
      </c>
      <c r="D22" s="1">
        <v>1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114</v>
      </c>
      <c r="B23" s="1"/>
      <c r="C23" s="1">
        <v>10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115</v>
      </c>
      <c r="B24" s="1"/>
      <c r="C24" s="1">
        <v>2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116</v>
      </c>
      <c r="B25" s="1"/>
      <c r="C25" s="1">
        <v>3</v>
      </c>
      <c r="D25" s="1">
        <v>1</v>
      </c>
      <c r="E25" s="1">
        <v>1</v>
      </c>
      <c r="F25" s="1">
        <v>1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1</v>
      </c>
    </row>
    <row r="26" spans="1:12" ht="15.75" customHeight="1">
      <c r="B26" s="1" t="s">
        <v>63</v>
      </c>
      <c r="C26" s="1">
        <f>SUM(C2:C25)</f>
        <v>120</v>
      </c>
      <c r="D26" s="1">
        <f>SUM(D2:D25)</f>
        <v>23</v>
      </c>
      <c r="E26" s="1">
        <f>SUM(E2:E25)</f>
        <v>21</v>
      </c>
      <c r="F26" s="1">
        <f>SUM(F2:F25)</f>
        <v>7</v>
      </c>
      <c r="G26" s="1">
        <f>COUNTIF(G3:G25,"TRUE")</f>
        <v>12</v>
      </c>
      <c r="H26" s="1">
        <f>COUNTIF(H3:H25,"TRUE")</f>
        <v>10</v>
      </c>
      <c r="I26" s="1">
        <f>COUNTIF(I3:I25,"TRUE")</f>
        <v>10</v>
      </c>
      <c r="J26" s="1">
        <f>COUNTIF(J3:J25,"TRUE")</f>
        <v>5</v>
      </c>
      <c r="K26" s="1">
        <f>COUNTIF(K3:K25,"TRUE")</f>
        <v>4</v>
      </c>
      <c r="L26" s="5">
        <f>COUNTA(E3:E25)</f>
        <v>23</v>
      </c>
    </row>
    <row r="27" spans="1:12" ht="15.75" customHeight="1">
      <c r="E27" s="1" t="s">
        <v>3</v>
      </c>
      <c r="F27" s="2"/>
      <c r="G27" s="2">
        <f>G26/L26</f>
        <v>0.52173913043478259</v>
      </c>
      <c r="H27" s="2">
        <f>H26/L26</f>
        <v>0.43478260869565216</v>
      </c>
      <c r="I27" s="2">
        <f>I26/L26</f>
        <v>0.43478260869565216</v>
      </c>
      <c r="J27" s="2">
        <f>J26/L26</f>
        <v>0.21739130434782608</v>
      </c>
      <c r="K27" s="2">
        <f>K26/L26</f>
        <v>0.17391304347826086</v>
      </c>
    </row>
    <row r="28" spans="1:12" ht="15.75" customHeight="1">
      <c r="E28" s="1" t="s">
        <v>64</v>
      </c>
      <c r="F28" s="2"/>
      <c r="G28" s="2"/>
      <c r="H28" s="2">
        <f>H26/G26</f>
        <v>0.83333333333333337</v>
      </c>
      <c r="I28" s="2">
        <f>I26/G26</f>
        <v>0.83333333333333337</v>
      </c>
      <c r="J28" s="2">
        <f>J26/G26</f>
        <v>0.41666666666666669</v>
      </c>
      <c r="K28" s="2">
        <f>K26/G26</f>
        <v>0.33333333333333331</v>
      </c>
    </row>
    <row r="29" spans="1:12" ht="15.75" customHeight="1">
      <c r="E29" s="1" t="s">
        <v>65</v>
      </c>
      <c r="F29" s="2"/>
      <c r="G29" s="2">
        <f>E26/C26</f>
        <v>0.17499999999999999</v>
      </c>
      <c r="H29" s="2">
        <f>E26/D26</f>
        <v>0.91304347826086951</v>
      </c>
    </row>
  </sheetData>
  <hyperlinks>
    <hyperlink ref="E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32"/>
  <sheetViews>
    <sheetView workbookViewId="0">
      <pane xSplit="1" topLeftCell="B1" activePane="topRight" state="frozen"/>
      <selection pane="topRight" activeCell="A29" sqref="A29:XFD32"/>
    </sheetView>
  </sheetViews>
  <sheetFormatPr baseColWidth="10" defaultColWidth="12.6640625" defaultRowHeight="15.75" customHeight="1"/>
  <cols>
    <col min="1" max="1" width="70.832031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117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118</v>
      </c>
      <c r="B4" s="1"/>
      <c r="C4" s="1">
        <v>5</v>
      </c>
      <c r="D4" s="1">
        <v>3</v>
      </c>
      <c r="E4" s="1">
        <v>3</v>
      </c>
      <c r="F4" s="1">
        <v>1</v>
      </c>
      <c r="G4" s="1" t="b">
        <f t="shared" ref="G4:G28" si="0">D4&gt;0</f>
        <v>1</v>
      </c>
      <c r="H4" s="1" t="b">
        <f t="shared" ref="H4:H28" si="1">E4&gt;0</f>
        <v>1</v>
      </c>
      <c r="I4" s="1" t="b">
        <f t="shared" ref="I4:I28" si="2">AND(G4,(D4=E4))</f>
        <v>1</v>
      </c>
      <c r="J4" s="1" t="b">
        <f t="shared" ref="J4:J28" si="3">(F4&gt;0)</f>
        <v>1</v>
      </c>
      <c r="K4" s="1" t="b">
        <f t="shared" ref="K4:K28" si="4">AND(I4,(E4=F4))</f>
        <v>0</v>
      </c>
    </row>
    <row r="5" spans="1:11" ht="15.75" customHeight="1">
      <c r="A5" s="1" t="s">
        <v>119</v>
      </c>
      <c r="B5" s="1"/>
      <c r="C5" s="1">
        <v>7</v>
      </c>
      <c r="D5" s="1">
        <v>1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120</v>
      </c>
      <c r="B6" s="1"/>
      <c r="C6" s="1">
        <v>8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121</v>
      </c>
      <c r="B7" s="1"/>
      <c r="C7" s="1">
        <v>6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122</v>
      </c>
      <c r="B8" s="1"/>
      <c r="C8" s="1">
        <v>5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123</v>
      </c>
      <c r="B9" s="1"/>
      <c r="C9" s="1">
        <v>6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124</v>
      </c>
      <c r="B10" s="1"/>
      <c r="C10" s="1">
        <v>5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125</v>
      </c>
      <c r="B11" s="1"/>
      <c r="C11" s="1">
        <v>8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126</v>
      </c>
      <c r="B12" s="1"/>
      <c r="C12" s="1">
        <v>7</v>
      </c>
      <c r="D12" s="1">
        <v>1</v>
      </c>
      <c r="E12" s="1">
        <v>1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127</v>
      </c>
      <c r="B13" s="1"/>
      <c r="C13" s="1">
        <v>6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128</v>
      </c>
      <c r="B14" s="1"/>
      <c r="C14" s="1">
        <v>6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129</v>
      </c>
      <c r="B15" s="1"/>
      <c r="C15" s="1">
        <v>6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130</v>
      </c>
      <c r="B16" s="1"/>
      <c r="C16" s="1">
        <v>6</v>
      </c>
      <c r="D16" s="1">
        <v>5</v>
      </c>
      <c r="E16" s="1">
        <v>5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131</v>
      </c>
      <c r="B17" s="1"/>
      <c r="C17" s="1">
        <v>7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132</v>
      </c>
      <c r="B18" s="1"/>
      <c r="C18" s="1">
        <v>8</v>
      </c>
      <c r="D18" s="1">
        <v>5</v>
      </c>
      <c r="E18" s="1">
        <v>5</v>
      </c>
      <c r="F18" s="1">
        <v>4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0</v>
      </c>
    </row>
    <row r="19" spans="1:12" ht="15.75" customHeight="1">
      <c r="A19" s="1" t="s">
        <v>133</v>
      </c>
      <c r="B19" s="1"/>
      <c r="C19" s="1">
        <v>6</v>
      </c>
      <c r="D19" s="1">
        <v>2</v>
      </c>
      <c r="E19" s="1">
        <v>2</v>
      </c>
      <c r="F19" s="1">
        <v>2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A20" s="1" t="s">
        <v>134</v>
      </c>
      <c r="B20" s="1"/>
      <c r="C20" s="1">
        <v>5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135</v>
      </c>
      <c r="B21" s="1"/>
      <c r="C21" s="1">
        <v>10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136</v>
      </c>
      <c r="B22" s="1"/>
      <c r="C22" s="1">
        <v>6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137</v>
      </c>
      <c r="B23" s="1"/>
      <c r="C23" s="1">
        <v>4</v>
      </c>
      <c r="D23" s="1">
        <v>1</v>
      </c>
      <c r="E23" s="1">
        <v>0</v>
      </c>
      <c r="F23" s="1">
        <v>0</v>
      </c>
      <c r="G23" s="1" t="b">
        <f t="shared" si="0"/>
        <v>1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138</v>
      </c>
      <c r="B24" s="1"/>
      <c r="C24" s="1">
        <v>7</v>
      </c>
      <c r="D24" s="1">
        <v>2</v>
      </c>
      <c r="E24" s="1">
        <v>1</v>
      </c>
      <c r="F24" s="1">
        <v>0</v>
      </c>
      <c r="G24" s="1" t="b">
        <f t="shared" si="0"/>
        <v>1</v>
      </c>
      <c r="H24" s="1" t="b">
        <f t="shared" si="1"/>
        <v>1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139</v>
      </c>
      <c r="B25" s="1"/>
      <c r="C25" s="1">
        <v>4</v>
      </c>
      <c r="D25" s="1">
        <v>3</v>
      </c>
      <c r="E25" s="1">
        <v>3</v>
      </c>
      <c r="F25" s="1">
        <v>3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1</v>
      </c>
    </row>
    <row r="26" spans="1:12" ht="15.75" customHeight="1">
      <c r="A26" s="1" t="s">
        <v>140</v>
      </c>
      <c r="B26" s="1"/>
      <c r="C26" s="1">
        <v>3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141</v>
      </c>
      <c r="B27" s="1"/>
      <c r="C27" s="1">
        <v>2</v>
      </c>
      <c r="D27" s="1">
        <v>2</v>
      </c>
      <c r="E27" s="1">
        <v>1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142</v>
      </c>
      <c r="B28" s="1"/>
      <c r="C28" s="1">
        <v>3</v>
      </c>
      <c r="D28" s="1">
        <v>3</v>
      </c>
      <c r="E28" s="1">
        <v>3</v>
      </c>
      <c r="F28" s="1">
        <v>3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1</v>
      </c>
      <c r="K28" s="1" t="b">
        <f t="shared" si="4"/>
        <v>1</v>
      </c>
    </row>
    <row r="29" spans="1:12" ht="15.75" customHeight="1">
      <c r="B29" s="1" t="s">
        <v>63</v>
      </c>
      <c r="C29" s="1">
        <f>SUM(C2:C28)</f>
        <v>151</v>
      </c>
      <c r="D29" s="1">
        <f>SUM(D2:D28)</f>
        <v>28</v>
      </c>
      <c r="E29" s="1">
        <f>SUM(E2:E28)</f>
        <v>24</v>
      </c>
      <c r="F29" s="1">
        <f>SUM(F2:F28)</f>
        <v>13</v>
      </c>
      <c r="G29" s="1">
        <f>COUNTIF(G3:G28,"TRUE")</f>
        <v>11</v>
      </c>
      <c r="H29" s="1">
        <f>COUNTIF(H3:H28,"TRUE")</f>
        <v>9</v>
      </c>
      <c r="I29" s="1">
        <f>COUNTIF(I3:I28,"TRUE")</f>
        <v>7</v>
      </c>
      <c r="J29" s="1">
        <f>COUNTIF(J3:J28,"TRUE")</f>
        <v>5</v>
      </c>
      <c r="K29" s="1">
        <f>COUNTIF(K3:K28,"TRUE")</f>
        <v>3</v>
      </c>
      <c r="L29" s="5">
        <f>COUNTA(E3:E28)</f>
        <v>26</v>
      </c>
    </row>
    <row r="30" spans="1:12" ht="15.75" customHeight="1">
      <c r="E30" s="1" t="s">
        <v>3</v>
      </c>
      <c r="F30" s="2"/>
      <c r="G30" s="2">
        <f>G29/L29</f>
        <v>0.42307692307692307</v>
      </c>
      <c r="H30" s="2">
        <f>H29/L29</f>
        <v>0.34615384615384615</v>
      </c>
      <c r="I30" s="2">
        <f>I29/L29</f>
        <v>0.26923076923076922</v>
      </c>
      <c r="J30" s="2">
        <f>J29/L29</f>
        <v>0.19230769230769232</v>
      </c>
      <c r="K30" s="2">
        <f>K29/L29</f>
        <v>0.11538461538461539</v>
      </c>
    </row>
    <row r="31" spans="1:12" ht="15.75" customHeight="1">
      <c r="E31" s="1" t="s">
        <v>64</v>
      </c>
      <c r="F31" s="2"/>
      <c r="G31" s="2"/>
      <c r="H31" s="2">
        <f>H29/G29</f>
        <v>0.81818181818181823</v>
      </c>
      <c r="I31" s="2">
        <f>I29/G29</f>
        <v>0.63636363636363635</v>
      </c>
      <c r="J31" s="2">
        <f>J29/G29</f>
        <v>0.45454545454545453</v>
      </c>
      <c r="K31" s="2">
        <f>K29/G29</f>
        <v>0.27272727272727271</v>
      </c>
    </row>
    <row r="32" spans="1:12" ht="15.75" customHeight="1">
      <c r="E32" s="1" t="s">
        <v>65</v>
      </c>
      <c r="F32" s="2"/>
      <c r="G32" s="2">
        <f>E29/C29</f>
        <v>0.15894039735099338</v>
      </c>
      <c r="H32" s="2">
        <f>E29/D29</f>
        <v>0.8571428571428571</v>
      </c>
    </row>
  </sheetData>
  <hyperlinks>
    <hyperlink ref="E1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30"/>
  <sheetViews>
    <sheetView workbookViewId="0">
      <pane xSplit="1" topLeftCell="B1" activePane="topRight" state="frozen"/>
      <selection pane="topRight" activeCell="A27" sqref="A27:XFD32"/>
    </sheetView>
  </sheetViews>
  <sheetFormatPr baseColWidth="10" defaultColWidth="12.6640625" defaultRowHeight="15.75" customHeight="1"/>
  <cols>
    <col min="1" max="1" width="70.832031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143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144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26" si="0">D4&gt;0</f>
        <v>0</v>
      </c>
      <c r="H4" s="1" t="b">
        <f t="shared" ref="H4:H26" si="1">E4&gt;0</f>
        <v>0</v>
      </c>
      <c r="I4" s="1" t="b">
        <f t="shared" ref="I4:I26" si="2">AND(G4,(D4=E4))</f>
        <v>0</v>
      </c>
      <c r="J4" s="1" t="b">
        <f t="shared" ref="J4:J26" si="3">(F4&gt;0)</f>
        <v>0</v>
      </c>
      <c r="K4" s="1" t="b">
        <f t="shared" ref="K4:K26" si="4">AND(I4,(E4=F4))</f>
        <v>0</v>
      </c>
    </row>
    <row r="5" spans="1:11" ht="15.75" customHeight="1">
      <c r="A5" s="1" t="s">
        <v>145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146</v>
      </c>
      <c r="B6" s="1"/>
      <c r="C6" s="1">
        <v>4</v>
      </c>
      <c r="D6" s="1">
        <v>3</v>
      </c>
      <c r="E6" s="1">
        <v>3</v>
      </c>
      <c r="F6" s="1">
        <v>3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147</v>
      </c>
      <c r="B7" s="1"/>
      <c r="C7" s="1">
        <v>5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148</v>
      </c>
      <c r="B8" s="1"/>
      <c r="C8" s="1">
        <v>5</v>
      </c>
      <c r="D8" s="1">
        <v>4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149</v>
      </c>
      <c r="B9" s="1"/>
      <c r="C9" s="1">
        <v>4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150</v>
      </c>
      <c r="B10" s="1"/>
      <c r="C10" s="1">
        <v>6</v>
      </c>
      <c r="D10" s="1">
        <v>2</v>
      </c>
      <c r="E10" s="1">
        <v>2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151</v>
      </c>
      <c r="B11" s="1"/>
      <c r="C11" s="1">
        <v>7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152</v>
      </c>
      <c r="B12" s="1"/>
      <c r="C12" s="1">
        <v>4</v>
      </c>
      <c r="D12" s="1">
        <v>4</v>
      </c>
      <c r="E12" s="1">
        <v>4</v>
      </c>
      <c r="F12" s="1">
        <v>4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1" ht="15.75" customHeight="1">
      <c r="A13" s="1" t="s">
        <v>153</v>
      </c>
      <c r="B13" s="1"/>
      <c r="C13" s="1">
        <v>5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154</v>
      </c>
      <c r="B14" s="1"/>
      <c r="C14" s="1">
        <v>7</v>
      </c>
      <c r="D14" s="1">
        <v>2</v>
      </c>
      <c r="E14" s="1">
        <v>2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0</v>
      </c>
    </row>
    <row r="15" spans="1:11" ht="15.75" customHeight="1">
      <c r="A15" s="1" t="s">
        <v>155</v>
      </c>
      <c r="B15" s="1"/>
      <c r="C15" s="1">
        <v>6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156</v>
      </c>
      <c r="B16" s="1"/>
      <c r="C16" s="1">
        <v>6</v>
      </c>
      <c r="D16" s="1">
        <v>2</v>
      </c>
      <c r="E16" s="1">
        <v>2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157</v>
      </c>
      <c r="B17" s="1"/>
      <c r="C17" s="1">
        <v>4</v>
      </c>
      <c r="D17" s="1">
        <v>1</v>
      </c>
      <c r="E17" s="1">
        <v>0</v>
      </c>
      <c r="F17" s="1">
        <v>0</v>
      </c>
      <c r="G17" s="1" t="b">
        <f t="shared" si="0"/>
        <v>1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158</v>
      </c>
      <c r="B18" s="1"/>
      <c r="C18" s="1">
        <v>6</v>
      </c>
      <c r="D18" s="1">
        <v>4</v>
      </c>
      <c r="E18" s="1">
        <v>4</v>
      </c>
      <c r="F18" s="1">
        <v>1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0</v>
      </c>
    </row>
    <row r="19" spans="1:12" ht="15.75" customHeight="1">
      <c r="A19" s="1" t="s">
        <v>159</v>
      </c>
      <c r="B19" s="1"/>
      <c r="C19" s="1">
        <v>7</v>
      </c>
      <c r="D19" s="1">
        <v>3</v>
      </c>
      <c r="E19" s="1">
        <v>3</v>
      </c>
      <c r="F19" s="1">
        <v>3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A20" s="1" t="s">
        <v>160</v>
      </c>
      <c r="B20" s="1"/>
      <c r="C20" s="1">
        <v>4</v>
      </c>
      <c r="D20" s="1">
        <v>1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161</v>
      </c>
      <c r="B21" s="1"/>
      <c r="C21" s="1">
        <v>7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162</v>
      </c>
      <c r="B22" s="1"/>
      <c r="C22" s="1">
        <v>4</v>
      </c>
      <c r="D22" s="1">
        <v>1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163</v>
      </c>
      <c r="B23" s="1"/>
      <c r="C23" s="1">
        <v>7</v>
      </c>
      <c r="D23" s="1">
        <v>2</v>
      </c>
      <c r="E23" s="1">
        <v>2</v>
      </c>
      <c r="F23" s="1">
        <v>1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0</v>
      </c>
    </row>
    <row r="24" spans="1:12" ht="15.75" customHeight="1">
      <c r="A24" s="1" t="s">
        <v>164</v>
      </c>
      <c r="B24" s="1"/>
      <c r="C24" s="1">
        <v>9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165</v>
      </c>
      <c r="B25" s="1"/>
      <c r="C25" s="1">
        <v>4</v>
      </c>
      <c r="D25" s="1">
        <v>1</v>
      </c>
      <c r="E25" s="1">
        <v>0</v>
      </c>
      <c r="F25" s="1">
        <v>0</v>
      </c>
      <c r="G25" s="1" t="b">
        <f t="shared" si="0"/>
        <v>1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166</v>
      </c>
      <c r="B26" s="1"/>
      <c r="C26" s="1">
        <v>2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B27" s="1" t="s">
        <v>63</v>
      </c>
      <c r="C27" s="1">
        <f>SUM(C2:C26)</f>
        <v>125</v>
      </c>
      <c r="D27" s="1">
        <f>SUM(D2:D26)</f>
        <v>31</v>
      </c>
      <c r="E27" s="1">
        <f>SUM(E2:E26)</f>
        <v>22</v>
      </c>
      <c r="F27" s="1">
        <f>SUM(F2:F26)</f>
        <v>13</v>
      </c>
      <c r="G27" s="1">
        <f>COUNTIF(G3:G26,"TRUE")</f>
        <v>14</v>
      </c>
      <c r="H27" s="1">
        <f>COUNTIF(H3:H26,"TRUE")</f>
        <v>8</v>
      </c>
      <c r="I27" s="1">
        <f>COUNTIF(I3:I26,"TRUE")</f>
        <v>8</v>
      </c>
      <c r="J27" s="1">
        <f>COUNTIF(J3:J26,"TRUE")</f>
        <v>6</v>
      </c>
      <c r="K27" s="1">
        <f>COUNTIF(K3:K26,"TRUE")</f>
        <v>3</v>
      </c>
      <c r="L27" s="5">
        <f>COUNTA(E3:E26)</f>
        <v>24</v>
      </c>
    </row>
    <row r="28" spans="1:12" ht="15.75" customHeight="1">
      <c r="E28" s="1" t="s">
        <v>3</v>
      </c>
      <c r="F28" s="2"/>
      <c r="G28" s="2">
        <f>G27/L27</f>
        <v>0.58333333333333337</v>
      </c>
      <c r="H28" s="2">
        <f>H27/L27</f>
        <v>0.33333333333333331</v>
      </c>
      <c r="I28" s="2">
        <f>I27/L27</f>
        <v>0.33333333333333331</v>
      </c>
      <c r="J28" s="2">
        <f>J27/L27</f>
        <v>0.25</v>
      </c>
      <c r="K28" s="2">
        <f>K27/L27</f>
        <v>0.125</v>
      </c>
    </row>
    <row r="29" spans="1:12" ht="15.75" customHeight="1">
      <c r="E29" s="1" t="s">
        <v>64</v>
      </c>
      <c r="F29" s="2"/>
      <c r="G29" s="2"/>
      <c r="H29" s="2">
        <f>H27/G27</f>
        <v>0.5714285714285714</v>
      </c>
      <c r="I29" s="2">
        <f>I27/G27</f>
        <v>0.5714285714285714</v>
      </c>
      <c r="J29" s="2">
        <f>J27/G27</f>
        <v>0.42857142857142855</v>
      </c>
      <c r="K29" s="2">
        <f>K27/G27</f>
        <v>0.21428571428571427</v>
      </c>
    </row>
    <row r="30" spans="1:12" ht="15.75" customHeight="1">
      <c r="E30" s="1" t="s">
        <v>65</v>
      </c>
      <c r="F30" s="2"/>
      <c r="G30" s="2">
        <f>E27/C27</f>
        <v>0.17599999999999999</v>
      </c>
      <c r="H30" s="2">
        <f>E27/D27</f>
        <v>0.70967741935483875</v>
      </c>
    </row>
  </sheetData>
  <hyperlinks>
    <hyperlink ref="E1" r:id="rId1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34"/>
  <sheetViews>
    <sheetView workbookViewId="0">
      <pane xSplit="1" topLeftCell="B1" activePane="topRight" state="frozen"/>
      <selection pane="topRight" activeCell="A31" sqref="A31:XFD32"/>
    </sheetView>
  </sheetViews>
  <sheetFormatPr baseColWidth="10" defaultColWidth="12.6640625" defaultRowHeight="15.75" customHeight="1"/>
  <cols>
    <col min="1" max="1" width="71.1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167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168</v>
      </c>
      <c r="B4" s="1"/>
      <c r="C4" s="1">
        <v>4</v>
      </c>
      <c r="D4" s="1">
        <v>1</v>
      </c>
      <c r="E4" s="1">
        <v>0</v>
      </c>
      <c r="F4" s="1">
        <v>0</v>
      </c>
      <c r="G4" s="1" t="b">
        <f t="shared" ref="G4:G30" si="0">D4&gt;0</f>
        <v>1</v>
      </c>
      <c r="H4" s="1" t="b">
        <f t="shared" ref="H4:H30" si="1">E4&gt;0</f>
        <v>0</v>
      </c>
      <c r="I4" s="1" t="b">
        <f t="shared" ref="I4:I30" si="2">AND(G4,(D4=E4))</f>
        <v>0</v>
      </c>
      <c r="J4" s="1" t="b">
        <f t="shared" ref="J4:J30" si="3">(F4&gt;0)</f>
        <v>0</v>
      </c>
      <c r="K4" s="1" t="b">
        <f t="shared" ref="K4:K30" si="4">AND(I4,(E4=F4))</f>
        <v>0</v>
      </c>
    </row>
    <row r="5" spans="1:11" ht="15.75" customHeight="1">
      <c r="A5" s="1" t="s">
        <v>169</v>
      </c>
      <c r="B5" s="1"/>
      <c r="C5" s="1">
        <v>3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170</v>
      </c>
      <c r="B6" s="1"/>
      <c r="C6" s="1">
        <v>5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171</v>
      </c>
      <c r="B7" s="1"/>
      <c r="C7" s="1">
        <v>4</v>
      </c>
      <c r="D7" s="1">
        <v>3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0</v>
      </c>
      <c r="J7" s="1" t="b">
        <f t="shared" si="3"/>
        <v>1</v>
      </c>
      <c r="K7" s="1" t="b">
        <f t="shared" si="4"/>
        <v>0</v>
      </c>
    </row>
    <row r="8" spans="1:11" ht="15.75" customHeight="1">
      <c r="A8" s="1" t="s">
        <v>172</v>
      </c>
      <c r="B8" s="1"/>
      <c r="C8" s="1">
        <v>4</v>
      </c>
      <c r="D8" s="1">
        <v>2</v>
      </c>
      <c r="E8" s="1">
        <v>2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173</v>
      </c>
      <c r="B9" s="1"/>
      <c r="C9" s="1">
        <v>3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174</v>
      </c>
      <c r="B10" s="1"/>
      <c r="C10" s="1">
        <v>4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175</v>
      </c>
      <c r="B11" s="1"/>
      <c r="C11" s="1">
        <v>3</v>
      </c>
      <c r="D11" s="1">
        <v>3</v>
      </c>
      <c r="E11" s="1">
        <v>3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176</v>
      </c>
      <c r="B12" s="1"/>
      <c r="C12" s="1">
        <v>7</v>
      </c>
      <c r="D12" s="1">
        <v>5</v>
      </c>
      <c r="E12" s="1">
        <v>5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177</v>
      </c>
      <c r="B13" s="1"/>
      <c r="C13" s="1">
        <v>5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178</v>
      </c>
      <c r="B14" s="1"/>
      <c r="C14" s="1">
        <v>5</v>
      </c>
      <c r="D14" s="1">
        <v>4</v>
      </c>
      <c r="E14" s="1">
        <v>3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179</v>
      </c>
      <c r="B15" s="1"/>
      <c r="C15" s="1">
        <v>4</v>
      </c>
      <c r="D15" s="1">
        <v>1</v>
      </c>
      <c r="E15" s="1">
        <v>1</v>
      </c>
      <c r="F15" s="1">
        <v>1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1" t="s">
        <v>180</v>
      </c>
      <c r="B16" s="1"/>
      <c r="C16" s="1">
        <v>6</v>
      </c>
      <c r="D16" s="1">
        <v>1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181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182</v>
      </c>
      <c r="B18" s="1"/>
      <c r="C18" s="1">
        <v>7</v>
      </c>
      <c r="D18" s="1">
        <v>1</v>
      </c>
      <c r="E18" s="1">
        <v>1</v>
      </c>
      <c r="F18" s="1">
        <v>1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A19" s="1" t="s">
        <v>183</v>
      </c>
      <c r="B19" s="1"/>
      <c r="C19" s="1">
        <v>7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184</v>
      </c>
      <c r="B20" s="1"/>
      <c r="C20" s="1">
        <v>5</v>
      </c>
      <c r="D20" s="1">
        <v>3</v>
      </c>
      <c r="E20" s="1">
        <v>3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185</v>
      </c>
      <c r="B21" s="1"/>
      <c r="C21" s="1">
        <v>5</v>
      </c>
      <c r="D21" s="1">
        <v>1</v>
      </c>
      <c r="E21" s="1">
        <v>1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186</v>
      </c>
      <c r="B22" s="1"/>
      <c r="C22" s="1">
        <v>5</v>
      </c>
      <c r="D22" s="1">
        <v>4</v>
      </c>
      <c r="E22" s="1">
        <v>4</v>
      </c>
      <c r="F22" s="1">
        <v>4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A23" s="1" t="s">
        <v>187</v>
      </c>
      <c r="B23" s="1"/>
      <c r="C23" s="1">
        <v>4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188</v>
      </c>
      <c r="B24" s="1"/>
      <c r="C24" s="1">
        <v>6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189</v>
      </c>
      <c r="B25" s="1"/>
      <c r="C25" s="1">
        <v>4</v>
      </c>
      <c r="D25" s="1">
        <v>3</v>
      </c>
      <c r="E25" s="1">
        <v>0</v>
      </c>
      <c r="F25" s="1">
        <v>0</v>
      </c>
      <c r="G25" s="1" t="b">
        <f t="shared" si="0"/>
        <v>1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190</v>
      </c>
      <c r="B26" s="1"/>
      <c r="C26" s="1">
        <v>5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191</v>
      </c>
      <c r="B27" s="1"/>
      <c r="C27" s="1">
        <v>5</v>
      </c>
      <c r="D27" s="1">
        <v>3</v>
      </c>
      <c r="E27" s="1">
        <v>3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192</v>
      </c>
      <c r="B28" s="1"/>
      <c r="C28" s="1">
        <v>6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193</v>
      </c>
      <c r="B29" s="1"/>
      <c r="C29" s="1">
        <v>1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194</v>
      </c>
      <c r="B30" s="1"/>
      <c r="C30" s="1">
        <v>2</v>
      </c>
      <c r="D30" s="1">
        <v>1</v>
      </c>
      <c r="E30" s="1">
        <v>1</v>
      </c>
      <c r="F30" s="1">
        <v>0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0</v>
      </c>
      <c r="K30" s="1" t="b">
        <f t="shared" si="4"/>
        <v>0</v>
      </c>
    </row>
    <row r="31" spans="1:12" ht="15.75" customHeight="1">
      <c r="B31" s="1" t="s">
        <v>63</v>
      </c>
      <c r="C31" s="1">
        <f>SUM(C2:C30)</f>
        <v>129</v>
      </c>
      <c r="D31" s="1">
        <f>SUM(D2:D30)</f>
        <v>37</v>
      </c>
      <c r="E31" s="1">
        <f>SUM(E2:E30)</f>
        <v>30</v>
      </c>
      <c r="F31" s="1">
        <f>SUM(F2:F30)</f>
        <v>8</v>
      </c>
      <c r="G31" s="1">
        <f>COUNTIF(G3:G30,"TRUE")</f>
        <v>16</v>
      </c>
      <c r="H31" s="1">
        <f>COUNTIF(H3:H30,"TRUE")</f>
        <v>13</v>
      </c>
      <c r="I31" s="1">
        <f>COUNTIF(I3:I30,"TRUE")</f>
        <v>11</v>
      </c>
      <c r="J31" s="1">
        <f>COUNTIF(J3:J30,"TRUE")</f>
        <v>4</v>
      </c>
      <c r="K31" s="1">
        <f>COUNTIF(K3:K30,"TRUE")</f>
        <v>3</v>
      </c>
      <c r="L31" s="5">
        <f>COUNTA(E3:E30)</f>
        <v>28</v>
      </c>
    </row>
    <row r="32" spans="1:12" ht="15.75" customHeight="1">
      <c r="E32" s="1" t="s">
        <v>3</v>
      </c>
      <c r="F32" s="2"/>
      <c r="G32" s="2">
        <f>G31/L31</f>
        <v>0.5714285714285714</v>
      </c>
      <c r="H32" s="2">
        <f>H31/L31</f>
        <v>0.4642857142857143</v>
      </c>
      <c r="I32" s="2">
        <f>I31/L31</f>
        <v>0.39285714285714285</v>
      </c>
      <c r="J32" s="2">
        <f>J31/L31</f>
        <v>0.14285714285714285</v>
      </c>
      <c r="K32" s="2">
        <f>K31/L31</f>
        <v>0.10714285714285714</v>
      </c>
    </row>
    <row r="33" spans="5:11" ht="15.75" customHeight="1">
      <c r="E33" s="1" t="s">
        <v>64</v>
      </c>
      <c r="F33" s="2"/>
      <c r="G33" s="2"/>
      <c r="H33" s="2">
        <f>H31/G31</f>
        <v>0.8125</v>
      </c>
      <c r="I33" s="2">
        <f>I31/G31</f>
        <v>0.6875</v>
      </c>
      <c r="J33" s="2">
        <f>J31/G31</f>
        <v>0.25</v>
      </c>
      <c r="K33" s="2">
        <f>K31/G31</f>
        <v>0.1875</v>
      </c>
    </row>
    <row r="34" spans="5:11" ht="15.75" customHeight="1">
      <c r="E34" s="1" t="s">
        <v>65</v>
      </c>
      <c r="F34" s="2"/>
      <c r="G34" s="2">
        <f>E31/C31</f>
        <v>0.23255813953488372</v>
      </c>
      <c r="H34" s="2">
        <f>E31/D31</f>
        <v>0.81081081081081086</v>
      </c>
    </row>
  </sheetData>
  <hyperlinks>
    <hyperlink ref="E1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46"/>
  <sheetViews>
    <sheetView topLeftCell="A8" workbookViewId="0">
      <pane xSplit="1" topLeftCell="B1" activePane="topRight" state="frozen"/>
      <selection pane="topRight" activeCell="G3" sqref="G3:K42"/>
    </sheetView>
  </sheetViews>
  <sheetFormatPr baseColWidth="10" defaultColWidth="12.6640625" defaultRowHeight="15.75" customHeight="1"/>
  <cols>
    <col min="1" max="1" width="71.332031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195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196</v>
      </c>
      <c r="B4" s="1"/>
      <c r="C4" s="1">
        <v>12</v>
      </c>
      <c r="D4" s="1">
        <v>0</v>
      </c>
      <c r="E4" s="1">
        <v>0</v>
      </c>
      <c r="F4" s="1">
        <v>0</v>
      </c>
      <c r="G4" s="1" t="b">
        <f t="shared" ref="G4:G42" si="0">D4&gt;0</f>
        <v>0</v>
      </c>
      <c r="H4" s="1" t="b">
        <f t="shared" ref="H4:H42" si="1">E4&gt;0</f>
        <v>0</v>
      </c>
      <c r="I4" s="1" t="b">
        <f t="shared" ref="I4:I42" si="2">AND(G4,(D4=E4))</f>
        <v>0</v>
      </c>
      <c r="J4" s="1" t="b">
        <f t="shared" ref="J4:J42" si="3">(F4&gt;0)</f>
        <v>0</v>
      </c>
      <c r="K4" s="1" t="b">
        <f t="shared" ref="K4:K42" si="4">AND(I4,(E4=F4))</f>
        <v>0</v>
      </c>
    </row>
    <row r="5" spans="1:11" ht="15.75" customHeight="1">
      <c r="A5" s="1" t="s">
        <v>197</v>
      </c>
      <c r="B5" s="1"/>
      <c r="C5" s="1">
        <v>8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198</v>
      </c>
      <c r="B6" s="1"/>
      <c r="C6" s="1">
        <v>5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199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200</v>
      </c>
      <c r="B8" s="1"/>
      <c r="C8" s="1">
        <v>4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201</v>
      </c>
      <c r="B9" s="1"/>
      <c r="C9" s="1">
        <v>6</v>
      </c>
      <c r="D9" s="1">
        <v>2</v>
      </c>
      <c r="E9" s="1">
        <v>2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202</v>
      </c>
      <c r="B10" s="1"/>
      <c r="C10" s="1">
        <v>3</v>
      </c>
      <c r="D10" s="1">
        <v>1</v>
      </c>
      <c r="E10" s="1">
        <v>1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203</v>
      </c>
      <c r="B11" s="1"/>
      <c r="C11" s="1">
        <v>5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204</v>
      </c>
      <c r="B12" s="1"/>
      <c r="C12" s="1">
        <v>4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205</v>
      </c>
      <c r="B13" s="1"/>
      <c r="C13" s="1">
        <v>3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206</v>
      </c>
      <c r="B14" s="1"/>
      <c r="C14" s="1">
        <v>6</v>
      </c>
      <c r="D14" s="1">
        <v>6</v>
      </c>
      <c r="E14" s="1">
        <v>6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207</v>
      </c>
      <c r="B15" s="1"/>
      <c r="C15" s="1">
        <v>4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208</v>
      </c>
      <c r="B16" s="1"/>
      <c r="C16" s="1">
        <v>7</v>
      </c>
      <c r="D16" s="1">
        <v>1</v>
      </c>
      <c r="E16" s="1">
        <v>1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1" ht="15.75" customHeight="1">
      <c r="A17" s="1" t="s">
        <v>209</v>
      </c>
      <c r="B17" s="1"/>
      <c r="C17" s="1">
        <v>7</v>
      </c>
      <c r="D17" s="1">
        <v>3</v>
      </c>
      <c r="E17" s="1">
        <v>3</v>
      </c>
      <c r="F17" s="1">
        <v>3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1" ht="15.75" customHeight="1">
      <c r="A18" s="1" t="s">
        <v>210</v>
      </c>
      <c r="B18" s="1"/>
      <c r="C18" s="1">
        <v>6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1" ht="15.75" customHeight="1">
      <c r="A19" s="1" t="s">
        <v>211</v>
      </c>
      <c r="B19" s="1"/>
      <c r="C19" s="1">
        <v>5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1" ht="15.75" customHeight="1">
      <c r="A20" s="1" t="s">
        <v>212</v>
      </c>
      <c r="B20" s="1"/>
      <c r="C20" s="1">
        <v>5</v>
      </c>
      <c r="D20" s="1">
        <v>1</v>
      </c>
      <c r="E20" s="1">
        <v>1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1" ht="15.75" customHeight="1">
      <c r="A21" s="1" t="s">
        <v>213</v>
      </c>
      <c r="B21" s="1"/>
      <c r="C21" s="1">
        <v>5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1" ht="15.75" customHeight="1">
      <c r="A22" s="1" t="s">
        <v>214</v>
      </c>
      <c r="B22" s="1"/>
      <c r="C22" s="1">
        <v>8</v>
      </c>
      <c r="D22" s="1">
        <v>2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1" ht="15.75" customHeight="1">
      <c r="A23" s="1" t="s">
        <v>215</v>
      </c>
      <c r="B23" s="1"/>
      <c r="C23" s="1">
        <v>7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1" ht="15.75" customHeight="1">
      <c r="A24" s="1" t="s">
        <v>216</v>
      </c>
      <c r="B24" s="1"/>
      <c r="C24" s="1">
        <v>10</v>
      </c>
      <c r="D24" s="1">
        <v>2</v>
      </c>
      <c r="E24" s="1">
        <v>2</v>
      </c>
      <c r="F24" s="1">
        <v>0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0</v>
      </c>
      <c r="K24" s="1" t="b">
        <f t="shared" si="4"/>
        <v>0</v>
      </c>
    </row>
    <row r="25" spans="1:11" ht="15.75" customHeight="1">
      <c r="A25" s="1" t="s">
        <v>217</v>
      </c>
      <c r="B25" s="1"/>
      <c r="C25" s="1">
        <v>6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1" ht="15.75" customHeight="1">
      <c r="A26" s="1" t="s">
        <v>218</v>
      </c>
      <c r="B26" s="1"/>
      <c r="C26" s="1">
        <v>5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1" ht="15.75" customHeight="1">
      <c r="A27" s="1" t="s">
        <v>219</v>
      </c>
      <c r="B27" s="1"/>
      <c r="C27" s="1">
        <v>6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1" ht="15.75" customHeight="1">
      <c r="A28" s="1" t="s">
        <v>220</v>
      </c>
      <c r="B28" s="1"/>
      <c r="C28" s="1">
        <v>6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1" ht="15.75" customHeight="1">
      <c r="A29" s="1" t="s">
        <v>221</v>
      </c>
      <c r="B29" s="1"/>
      <c r="C29" s="1">
        <v>7</v>
      </c>
      <c r="D29" s="1">
        <v>1</v>
      </c>
      <c r="E29" s="1">
        <v>1</v>
      </c>
      <c r="F29" s="1">
        <v>1</v>
      </c>
      <c r="G29" s="1" t="b">
        <f t="shared" si="0"/>
        <v>1</v>
      </c>
      <c r="H29" s="1" t="b">
        <f t="shared" si="1"/>
        <v>1</v>
      </c>
      <c r="I29" s="1" t="b">
        <f t="shared" si="2"/>
        <v>1</v>
      </c>
      <c r="J29" s="1" t="b">
        <f t="shared" si="3"/>
        <v>1</v>
      </c>
      <c r="K29" s="1" t="b">
        <f t="shared" si="4"/>
        <v>1</v>
      </c>
    </row>
    <row r="30" spans="1:11" ht="15.75" customHeight="1">
      <c r="A30" s="1" t="s">
        <v>222</v>
      </c>
      <c r="B30" s="1"/>
      <c r="C30" s="1">
        <v>9</v>
      </c>
      <c r="D30" s="1">
        <v>1</v>
      </c>
      <c r="E30" s="1">
        <v>1</v>
      </c>
      <c r="F30" s="1">
        <v>1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1</v>
      </c>
      <c r="K30" s="1" t="b">
        <f t="shared" si="4"/>
        <v>1</v>
      </c>
    </row>
    <row r="31" spans="1:11" ht="15.75" customHeight="1">
      <c r="A31" s="1" t="s">
        <v>223</v>
      </c>
      <c r="B31" s="1"/>
      <c r="C31" s="1">
        <v>8</v>
      </c>
      <c r="D31" s="1">
        <v>1</v>
      </c>
      <c r="E31" s="1">
        <v>1</v>
      </c>
      <c r="F31" s="1">
        <v>1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1</v>
      </c>
      <c r="K31" s="1" t="b">
        <f t="shared" si="4"/>
        <v>1</v>
      </c>
    </row>
    <row r="32" spans="1:11" ht="15.75" customHeight="1">
      <c r="A32" s="1" t="s">
        <v>224</v>
      </c>
      <c r="B32" s="1"/>
      <c r="C32" s="1">
        <v>4</v>
      </c>
      <c r="D32" s="1">
        <v>0</v>
      </c>
      <c r="E32" s="1">
        <v>0</v>
      </c>
      <c r="F32" s="1">
        <v>0</v>
      </c>
      <c r="G32" s="1" t="b">
        <f t="shared" si="0"/>
        <v>0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</row>
    <row r="33" spans="1:12" ht="15.75" customHeight="1">
      <c r="A33" s="1" t="s">
        <v>225</v>
      </c>
      <c r="B33" s="1"/>
      <c r="C33" s="1">
        <v>4</v>
      </c>
      <c r="D33" s="1">
        <v>1</v>
      </c>
      <c r="E33" s="1">
        <v>1</v>
      </c>
      <c r="F33" s="1">
        <v>1</v>
      </c>
      <c r="G33" s="1" t="b">
        <f t="shared" si="0"/>
        <v>1</v>
      </c>
      <c r="H33" s="1" t="b">
        <f t="shared" si="1"/>
        <v>1</v>
      </c>
      <c r="I33" s="1" t="b">
        <f t="shared" si="2"/>
        <v>1</v>
      </c>
      <c r="J33" s="1" t="b">
        <f t="shared" si="3"/>
        <v>1</v>
      </c>
      <c r="K33" s="1" t="b">
        <f t="shared" si="4"/>
        <v>1</v>
      </c>
    </row>
    <row r="34" spans="1:12" ht="15.75" customHeight="1">
      <c r="A34" s="1" t="s">
        <v>226</v>
      </c>
      <c r="B34" s="1"/>
      <c r="C34" s="1">
        <v>4</v>
      </c>
      <c r="D34" s="1">
        <v>3</v>
      </c>
      <c r="E34" s="1">
        <v>3</v>
      </c>
      <c r="F34" s="1">
        <v>1</v>
      </c>
      <c r="G34" s="1" t="b">
        <f t="shared" si="0"/>
        <v>1</v>
      </c>
      <c r="H34" s="1" t="b">
        <f t="shared" si="1"/>
        <v>1</v>
      </c>
      <c r="I34" s="1" t="b">
        <f t="shared" si="2"/>
        <v>1</v>
      </c>
      <c r="J34" s="1" t="b">
        <f t="shared" si="3"/>
        <v>1</v>
      </c>
      <c r="K34" s="1" t="b">
        <f t="shared" si="4"/>
        <v>0</v>
      </c>
    </row>
    <row r="35" spans="1:12" ht="15.75" customHeight="1">
      <c r="A35" s="1" t="s">
        <v>227</v>
      </c>
      <c r="B35" s="1"/>
      <c r="C35" s="1">
        <v>7</v>
      </c>
      <c r="D35" s="1">
        <v>0</v>
      </c>
      <c r="E35" s="1">
        <v>0</v>
      </c>
      <c r="F35" s="1">
        <v>0</v>
      </c>
      <c r="G35" s="1" t="b">
        <f t="shared" si="0"/>
        <v>0</v>
      </c>
      <c r="H35" s="1" t="b">
        <f t="shared" si="1"/>
        <v>0</v>
      </c>
      <c r="I35" s="1" t="b">
        <f t="shared" si="2"/>
        <v>0</v>
      </c>
      <c r="J35" s="1" t="b">
        <f t="shared" si="3"/>
        <v>0</v>
      </c>
      <c r="K35" s="1" t="b">
        <f t="shared" si="4"/>
        <v>0</v>
      </c>
    </row>
    <row r="36" spans="1:12" ht="15.75" customHeight="1">
      <c r="A36" s="1" t="s">
        <v>228</v>
      </c>
      <c r="B36" s="1"/>
      <c r="C36" s="1">
        <v>7</v>
      </c>
      <c r="D36" s="1">
        <v>5</v>
      </c>
      <c r="E36" s="1">
        <v>5</v>
      </c>
      <c r="F36" s="1">
        <v>5</v>
      </c>
      <c r="G36" s="1" t="b">
        <f t="shared" si="0"/>
        <v>1</v>
      </c>
      <c r="H36" s="1" t="b">
        <f t="shared" si="1"/>
        <v>1</v>
      </c>
      <c r="I36" s="1" t="b">
        <f t="shared" si="2"/>
        <v>1</v>
      </c>
      <c r="J36" s="1" t="b">
        <f t="shared" si="3"/>
        <v>1</v>
      </c>
      <c r="K36" s="1" t="b">
        <f t="shared" si="4"/>
        <v>1</v>
      </c>
    </row>
    <row r="37" spans="1:12" ht="15.75" customHeight="1">
      <c r="A37" s="1" t="s">
        <v>229</v>
      </c>
      <c r="B37" s="1"/>
      <c r="C37" s="1">
        <v>6</v>
      </c>
      <c r="D37" s="1">
        <v>0</v>
      </c>
      <c r="E37" s="1">
        <v>0</v>
      </c>
      <c r="F37" s="1">
        <v>0</v>
      </c>
      <c r="G37" s="1" t="b">
        <f t="shared" si="0"/>
        <v>0</v>
      </c>
      <c r="H37" s="1" t="b">
        <f t="shared" si="1"/>
        <v>0</v>
      </c>
      <c r="I37" s="1" t="b">
        <f t="shared" si="2"/>
        <v>0</v>
      </c>
      <c r="J37" s="1" t="b">
        <f t="shared" si="3"/>
        <v>0</v>
      </c>
      <c r="K37" s="1" t="b">
        <f t="shared" si="4"/>
        <v>0</v>
      </c>
    </row>
    <row r="38" spans="1:12" ht="15.75" customHeight="1">
      <c r="A38" s="1" t="s">
        <v>230</v>
      </c>
      <c r="B38" s="1"/>
      <c r="C38" s="1">
        <v>9</v>
      </c>
      <c r="D38" s="1">
        <v>2</v>
      </c>
      <c r="E38" s="1">
        <v>2</v>
      </c>
      <c r="F38" s="1">
        <v>2</v>
      </c>
      <c r="G38" s="1" t="b">
        <f t="shared" si="0"/>
        <v>1</v>
      </c>
      <c r="H38" s="1" t="b">
        <f t="shared" si="1"/>
        <v>1</v>
      </c>
      <c r="I38" s="1" t="b">
        <f t="shared" si="2"/>
        <v>1</v>
      </c>
      <c r="J38" s="1" t="b">
        <f t="shared" si="3"/>
        <v>1</v>
      </c>
      <c r="K38" s="1" t="b">
        <f t="shared" si="4"/>
        <v>1</v>
      </c>
    </row>
    <row r="39" spans="1:12" ht="15.75" customHeight="1">
      <c r="A39" s="1" t="s">
        <v>231</v>
      </c>
      <c r="B39" s="1"/>
      <c r="C39" s="1">
        <v>6</v>
      </c>
      <c r="D39" s="1">
        <v>3</v>
      </c>
      <c r="E39" s="1">
        <v>3</v>
      </c>
      <c r="F39" s="1">
        <v>0</v>
      </c>
      <c r="G39" s="1" t="b">
        <f t="shared" si="0"/>
        <v>1</v>
      </c>
      <c r="H39" s="1" t="b">
        <f t="shared" si="1"/>
        <v>1</v>
      </c>
      <c r="I39" s="1" t="b">
        <f t="shared" si="2"/>
        <v>1</v>
      </c>
      <c r="J39" s="1" t="b">
        <f t="shared" si="3"/>
        <v>0</v>
      </c>
      <c r="K39" s="1" t="b">
        <f t="shared" si="4"/>
        <v>0</v>
      </c>
    </row>
    <row r="40" spans="1:12" ht="15.75" customHeight="1">
      <c r="A40" s="1" t="s">
        <v>232</v>
      </c>
      <c r="B40" s="1"/>
      <c r="C40" s="1">
        <v>2</v>
      </c>
      <c r="D40" s="1">
        <v>0</v>
      </c>
      <c r="E40" s="1">
        <v>0</v>
      </c>
      <c r="F40" s="1">
        <v>0</v>
      </c>
      <c r="G40" s="1" t="b">
        <f t="shared" si="0"/>
        <v>0</v>
      </c>
      <c r="H40" s="1" t="b">
        <f t="shared" si="1"/>
        <v>0</v>
      </c>
      <c r="I40" s="1" t="b">
        <f t="shared" si="2"/>
        <v>0</v>
      </c>
      <c r="J40" s="1" t="b">
        <f t="shared" si="3"/>
        <v>0</v>
      </c>
      <c r="K40" s="1" t="b">
        <f t="shared" si="4"/>
        <v>0</v>
      </c>
    </row>
    <row r="41" spans="1:12" ht="15.75" customHeight="1">
      <c r="A41" s="1" t="s">
        <v>233</v>
      </c>
      <c r="B41" s="1"/>
      <c r="C41" s="1">
        <v>2</v>
      </c>
      <c r="D41" s="1">
        <v>0</v>
      </c>
      <c r="E41" s="1">
        <v>0</v>
      </c>
      <c r="F41" s="1">
        <v>0</v>
      </c>
      <c r="G41" s="1" t="b">
        <f t="shared" si="0"/>
        <v>0</v>
      </c>
      <c r="H41" s="1" t="b">
        <f t="shared" si="1"/>
        <v>0</v>
      </c>
      <c r="I41" s="1" t="b">
        <f t="shared" si="2"/>
        <v>0</v>
      </c>
      <c r="J41" s="1" t="b">
        <f t="shared" si="3"/>
        <v>0</v>
      </c>
      <c r="K41" s="1" t="b">
        <f t="shared" si="4"/>
        <v>0</v>
      </c>
    </row>
    <row r="42" spans="1:12" ht="15.75" customHeight="1">
      <c r="A42" s="1" t="s">
        <v>234</v>
      </c>
      <c r="B42" s="1"/>
      <c r="C42" s="1">
        <v>2</v>
      </c>
      <c r="D42" s="1">
        <v>2</v>
      </c>
      <c r="E42" s="1">
        <v>2</v>
      </c>
      <c r="F42" s="1">
        <v>0</v>
      </c>
      <c r="G42" s="1" t="b">
        <f t="shared" si="0"/>
        <v>1</v>
      </c>
      <c r="H42" s="1" t="b">
        <f t="shared" si="1"/>
        <v>1</v>
      </c>
      <c r="I42" s="1" t="b">
        <f t="shared" si="2"/>
        <v>1</v>
      </c>
      <c r="J42" s="1" t="b">
        <f t="shared" si="3"/>
        <v>0</v>
      </c>
      <c r="K42" s="1" t="b">
        <f t="shared" si="4"/>
        <v>0</v>
      </c>
      <c r="L42" s="1" t="s">
        <v>62</v>
      </c>
    </row>
    <row r="43" spans="1:12" ht="15.75" customHeight="1">
      <c r="B43" s="1" t="s">
        <v>63</v>
      </c>
      <c r="C43" s="1">
        <f t="shared" ref="C43:F43" si="5">SUM(C2:C32)</f>
        <v>179</v>
      </c>
      <c r="D43" s="1">
        <f t="shared" si="5"/>
        <v>21</v>
      </c>
      <c r="E43" s="1">
        <f t="shared" si="5"/>
        <v>19</v>
      </c>
      <c r="F43" s="1">
        <f t="shared" si="5"/>
        <v>6</v>
      </c>
      <c r="G43" s="1">
        <f t="shared" ref="G43:K43" si="6">COUNTIF(G3:G32,"TRUE")</f>
        <v>11</v>
      </c>
      <c r="H43" s="1">
        <f t="shared" si="6"/>
        <v>10</v>
      </c>
      <c r="I43" s="1">
        <f t="shared" si="6"/>
        <v>10</v>
      </c>
      <c r="J43" s="1">
        <f t="shared" si="6"/>
        <v>4</v>
      </c>
      <c r="K43" s="1">
        <f t="shared" si="6"/>
        <v>4</v>
      </c>
      <c r="L43" s="5">
        <f>COUNTA(E3:E32)</f>
        <v>30</v>
      </c>
    </row>
    <row r="44" spans="1:12" ht="15.75" customHeight="1">
      <c r="E44" s="1" t="s">
        <v>3</v>
      </c>
      <c r="F44" s="2"/>
      <c r="G44" s="2">
        <f>G43/L43</f>
        <v>0.36666666666666664</v>
      </c>
      <c r="H44" s="2">
        <f>H43/L43</f>
        <v>0.33333333333333331</v>
      </c>
      <c r="I44" s="2">
        <f>I43/L43</f>
        <v>0.33333333333333331</v>
      </c>
      <c r="J44" s="2">
        <f>J43/L43</f>
        <v>0.13333333333333333</v>
      </c>
      <c r="K44" s="2">
        <f>K43/L43</f>
        <v>0.13333333333333333</v>
      </c>
    </row>
    <row r="45" spans="1:12" ht="15.75" customHeight="1">
      <c r="E45" s="1" t="s">
        <v>64</v>
      </c>
      <c r="F45" s="2"/>
      <c r="G45" s="2"/>
      <c r="H45" s="2">
        <f>H43/G43</f>
        <v>0.90909090909090906</v>
      </c>
      <c r="I45" s="2">
        <f>I43/G43</f>
        <v>0.90909090909090906</v>
      </c>
      <c r="J45" s="2">
        <f>J43/G43</f>
        <v>0.36363636363636365</v>
      </c>
      <c r="K45" s="2">
        <f>K43/G43</f>
        <v>0.36363636363636365</v>
      </c>
    </row>
    <row r="46" spans="1:12" ht="15.75" customHeight="1">
      <c r="E46" s="1" t="s">
        <v>65</v>
      </c>
      <c r="F46" s="2"/>
      <c r="G46" s="2">
        <f>E43/C43</f>
        <v>0.10614525139664804</v>
      </c>
      <c r="H46" s="2">
        <f>E43/D43</f>
        <v>0.90476190476190477</v>
      </c>
    </row>
  </sheetData>
  <hyperlinks>
    <hyperlink ref="E1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33"/>
  <sheetViews>
    <sheetView workbookViewId="0">
      <selection activeCell="G3" sqref="G3:K29"/>
    </sheetView>
  </sheetViews>
  <sheetFormatPr baseColWidth="10" defaultColWidth="12.6640625" defaultRowHeight="15.75" customHeight="1"/>
  <cols>
    <col min="1" max="1" width="72.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235</v>
      </c>
      <c r="B3" s="1"/>
      <c r="C3" s="1">
        <v>6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236</v>
      </c>
      <c r="B4" s="1"/>
      <c r="C4" s="1">
        <v>6</v>
      </c>
      <c r="D4" s="1">
        <v>5</v>
      </c>
      <c r="E4" s="1">
        <v>0</v>
      </c>
      <c r="F4" s="1">
        <v>0</v>
      </c>
      <c r="G4" s="1" t="b">
        <f t="shared" ref="G4:G29" si="0">D4&gt;0</f>
        <v>1</v>
      </c>
      <c r="H4" s="1" t="b">
        <f t="shared" ref="H4:H29" si="1">E4&gt;0</f>
        <v>0</v>
      </c>
      <c r="I4" s="1" t="b">
        <f t="shared" ref="I4:I29" si="2">AND(G4,(D4=E4))</f>
        <v>0</v>
      </c>
      <c r="J4" s="1" t="b">
        <f t="shared" ref="J4:J29" si="3">(F4&gt;0)</f>
        <v>0</v>
      </c>
      <c r="K4" s="1" t="b">
        <f t="shared" ref="K4:K29" si="4">AND(I4,(E4=F4))</f>
        <v>0</v>
      </c>
    </row>
    <row r="5" spans="1:11" ht="15.75" customHeight="1">
      <c r="A5" s="1" t="s">
        <v>237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238</v>
      </c>
      <c r="B6" s="1"/>
      <c r="C6" s="1">
        <v>5</v>
      </c>
      <c r="D6" s="1">
        <v>2</v>
      </c>
      <c r="E6" s="1">
        <v>2</v>
      </c>
      <c r="F6" s="1">
        <v>2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239</v>
      </c>
      <c r="B7" s="1"/>
      <c r="C7" s="1">
        <v>5</v>
      </c>
      <c r="D7" s="1">
        <v>5</v>
      </c>
      <c r="E7" s="1">
        <v>1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240</v>
      </c>
      <c r="B8" s="1"/>
      <c r="C8" s="1">
        <v>5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1" t="s">
        <v>241</v>
      </c>
      <c r="B9" s="1"/>
      <c r="C9" s="1">
        <v>5</v>
      </c>
      <c r="D9" s="1">
        <v>2</v>
      </c>
      <c r="E9" s="1">
        <v>1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0</v>
      </c>
      <c r="J9" s="1" t="b">
        <f t="shared" si="3"/>
        <v>1</v>
      </c>
      <c r="K9" s="1" t="b">
        <f t="shared" si="4"/>
        <v>0</v>
      </c>
    </row>
    <row r="10" spans="1:11" ht="15.75" customHeight="1">
      <c r="A10" s="1" t="s">
        <v>242</v>
      </c>
      <c r="B10" s="1"/>
      <c r="C10" s="1">
        <v>6</v>
      </c>
      <c r="D10" s="1">
        <v>5</v>
      </c>
      <c r="E10" s="1">
        <v>5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243</v>
      </c>
      <c r="B11" s="1"/>
      <c r="C11" s="1">
        <v>8</v>
      </c>
      <c r="D11" s="1">
        <v>1</v>
      </c>
      <c r="E11" s="1">
        <v>1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244</v>
      </c>
      <c r="B12" s="1"/>
      <c r="C12" s="1">
        <v>6</v>
      </c>
      <c r="D12" s="1">
        <v>5</v>
      </c>
      <c r="E12" s="1">
        <v>5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245</v>
      </c>
      <c r="B13" s="1"/>
      <c r="C13" s="1">
        <v>7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246</v>
      </c>
      <c r="B14" s="1"/>
      <c r="C14" s="1">
        <v>5</v>
      </c>
      <c r="D14" s="1">
        <v>5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247</v>
      </c>
      <c r="B15" s="1"/>
      <c r="C15" s="1">
        <v>7</v>
      </c>
      <c r="D15" s="1">
        <v>3</v>
      </c>
      <c r="E15" s="1">
        <v>3</v>
      </c>
      <c r="F15" s="1">
        <v>3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1" t="s">
        <v>248</v>
      </c>
      <c r="B16" s="1"/>
      <c r="C16" s="1">
        <v>5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249</v>
      </c>
      <c r="B17" s="1"/>
      <c r="C17" s="1">
        <v>5</v>
      </c>
      <c r="D17" s="1">
        <v>2</v>
      </c>
      <c r="E17" s="1">
        <v>2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0</v>
      </c>
    </row>
    <row r="18" spans="1:12" ht="15.75" customHeight="1">
      <c r="A18" s="1" t="s">
        <v>250</v>
      </c>
      <c r="B18" s="1"/>
      <c r="C18" s="1">
        <v>5</v>
      </c>
      <c r="D18" s="1">
        <v>3</v>
      </c>
      <c r="E18" s="1">
        <v>3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251</v>
      </c>
      <c r="B19" s="1"/>
      <c r="C19" s="1">
        <v>6</v>
      </c>
      <c r="D19" s="1">
        <v>1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252</v>
      </c>
      <c r="B20" s="1"/>
      <c r="C20" s="1">
        <v>6</v>
      </c>
      <c r="D20" s="1">
        <v>1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253</v>
      </c>
      <c r="B21" s="1"/>
      <c r="C21" s="1">
        <v>4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254</v>
      </c>
      <c r="B22" s="1"/>
      <c r="C22" s="1">
        <v>4</v>
      </c>
      <c r="D22" s="1">
        <v>2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255</v>
      </c>
      <c r="B23" s="1"/>
      <c r="C23" s="1">
        <v>4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256</v>
      </c>
      <c r="B24" s="1"/>
      <c r="C24" s="1">
        <v>4</v>
      </c>
      <c r="D24" s="1">
        <v>1</v>
      </c>
      <c r="E24" s="1">
        <v>1</v>
      </c>
      <c r="F24" s="1">
        <v>0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257</v>
      </c>
      <c r="B25" s="1"/>
      <c r="C25" s="1">
        <v>11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258</v>
      </c>
      <c r="B26" s="1"/>
      <c r="C26" s="1">
        <v>4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259</v>
      </c>
      <c r="B27" s="1"/>
      <c r="C27" s="1">
        <v>2</v>
      </c>
      <c r="D27" s="1">
        <v>1</v>
      </c>
      <c r="E27" s="1">
        <v>1</v>
      </c>
      <c r="F27" s="1">
        <v>1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1</v>
      </c>
      <c r="K27" s="1" t="b">
        <f t="shared" si="4"/>
        <v>1</v>
      </c>
    </row>
    <row r="28" spans="1:12" ht="15.75" customHeight="1">
      <c r="A28" s="1" t="s">
        <v>260</v>
      </c>
      <c r="B28" s="1"/>
      <c r="C28" s="1">
        <v>2</v>
      </c>
      <c r="D28" s="1">
        <v>2</v>
      </c>
      <c r="E28" s="1">
        <v>2</v>
      </c>
      <c r="F28" s="1">
        <v>2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1</v>
      </c>
      <c r="K28" s="1" t="b">
        <f t="shared" si="4"/>
        <v>1</v>
      </c>
    </row>
    <row r="29" spans="1:12" ht="15.75" customHeight="1">
      <c r="A29" s="1" t="s">
        <v>261</v>
      </c>
      <c r="B29" s="1"/>
      <c r="C29" s="1">
        <v>2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B30" s="1" t="s">
        <v>63</v>
      </c>
      <c r="C30" s="1">
        <f t="shared" ref="C30:F30" si="5">SUM(C2:C29)</f>
        <v>139</v>
      </c>
      <c r="D30" s="1">
        <f t="shared" si="5"/>
        <v>47</v>
      </c>
      <c r="E30" s="1">
        <f t="shared" si="5"/>
        <v>28</v>
      </c>
      <c r="F30" s="1">
        <f t="shared" si="5"/>
        <v>11</v>
      </c>
      <c r="G30" s="1">
        <f t="shared" ref="G30:K30" si="6">COUNTIF(G3:G29,"TRUE")</f>
        <v>18</v>
      </c>
      <c r="H30" s="1">
        <f t="shared" si="6"/>
        <v>13</v>
      </c>
      <c r="I30" s="1">
        <f t="shared" si="6"/>
        <v>11</v>
      </c>
      <c r="J30" s="1">
        <f t="shared" si="6"/>
        <v>7</v>
      </c>
      <c r="K30" s="1">
        <f t="shared" si="6"/>
        <v>5</v>
      </c>
      <c r="L30" s="5">
        <f>COUNTA(E3:E29)</f>
        <v>27</v>
      </c>
    </row>
    <row r="31" spans="1:12" ht="15.75" customHeight="1">
      <c r="E31" s="1" t="s">
        <v>3</v>
      </c>
      <c r="F31" s="2"/>
      <c r="G31" s="2">
        <f>G30/L30</f>
        <v>0.66666666666666663</v>
      </c>
      <c r="H31" s="2">
        <f>H30/L30</f>
        <v>0.48148148148148145</v>
      </c>
      <c r="I31" s="2">
        <f>I30/L30</f>
        <v>0.40740740740740738</v>
      </c>
      <c r="J31" s="2">
        <f>J30/L30</f>
        <v>0.25925925925925924</v>
      </c>
      <c r="K31" s="2">
        <f>K30/L30</f>
        <v>0.18518518518518517</v>
      </c>
    </row>
    <row r="32" spans="1:12" ht="15.75" customHeight="1">
      <c r="E32" s="1" t="s">
        <v>64</v>
      </c>
      <c r="F32" s="2"/>
      <c r="G32" s="2"/>
      <c r="H32" s="2">
        <f>H30/G30</f>
        <v>0.72222222222222221</v>
      </c>
      <c r="I32" s="2">
        <f>I30/G30</f>
        <v>0.61111111111111116</v>
      </c>
      <c r="J32" s="2">
        <f>J30/G30</f>
        <v>0.3888888888888889</v>
      </c>
      <c r="K32" s="2">
        <f>K30/G30</f>
        <v>0.27777777777777779</v>
      </c>
    </row>
    <row r="33" spans="5:8" ht="15.75" customHeight="1">
      <c r="E33" s="1" t="s">
        <v>65</v>
      </c>
      <c r="F33" s="2"/>
      <c r="G33" s="2">
        <f>E30/C30</f>
        <v>0.20143884892086331</v>
      </c>
      <c r="H33" s="2">
        <f>E30/D30</f>
        <v>0.5957446808510638</v>
      </c>
    </row>
  </sheetData>
  <hyperlinks>
    <hyperlink ref="E1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44"/>
  <sheetViews>
    <sheetView topLeftCell="A9" workbookViewId="0">
      <selection activeCell="A41" sqref="A41:XFD41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262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263</v>
      </c>
      <c r="B4" s="1"/>
      <c r="C4" s="1">
        <v>2</v>
      </c>
      <c r="D4" s="1">
        <v>3</v>
      </c>
      <c r="E4" s="1">
        <v>3</v>
      </c>
      <c r="F4" s="1">
        <v>0</v>
      </c>
      <c r="G4" s="1" t="b">
        <f t="shared" ref="G4:G40" si="0">D4&gt;0</f>
        <v>1</v>
      </c>
      <c r="H4" s="1" t="b">
        <f t="shared" ref="H4:H40" si="1">E4&gt;0</f>
        <v>1</v>
      </c>
      <c r="I4" s="1" t="b">
        <f t="shared" ref="I4:I40" si="2">AND(G4,(D4=E4))</f>
        <v>1</v>
      </c>
      <c r="J4" s="1" t="b">
        <f t="shared" ref="J4:J40" si="3">(F4&gt;0)</f>
        <v>0</v>
      </c>
      <c r="K4" s="1" t="b">
        <f t="shared" ref="K4:K40" si="4">AND(I4,(E4=F4))</f>
        <v>0</v>
      </c>
    </row>
    <row r="5" spans="1:11" ht="15.75" customHeight="1">
      <c r="A5" s="1" t="s">
        <v>264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265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266</v>
      </c>
      <c r="B7" s="1"/>
      <c r="C7" s="1">
        <v>3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267</v>
      </c>
      <c r="B8" s="1"/>
      <c r="C8" s="1">
        <v>4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1" t="s">
        <v>268</v>
      </c>
      <c r="B9" s="1"/>
      <c r="C9" s="1">
        <v>6</v>
      </c>
      <c r="D9" s="1">
        <v>1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269</v>
      </c>
      <c r="B10" s="1"/>
      <c r="C10" s="1">
        <v>6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270</v>
      </c>
      <c r="B11" s="1"/>
      <c r="C11" s="1">
        <v>5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271</v>
      </c>
      <c r="B12" s="1"/>
      <c r="C12" s="1">
        <v>6</v>
      </c>
      <c r="D12" s="1">
        <v>1</v>
      </c>
      <c r="E12" s="1">
        <v>1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272</v>
      </c>
      <c r="B13" s="1"/>
      <c r="C13" s="1">
        <v>6</v>
      </c>
      <c r="D13" s="1">
        <v>4</v>
      </c>
      <c r="E13" s="1">
        <v>4</v>
      </c>
      <c r="F13" s="1">
        <v>4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273</v>
      </c>
      <c r="B14" s="1"/>
      <c r="C14" s="1">
        <v>5</v>
      </c>
      <c r="D14" s="1">
        <v>4</v>
      </c>
      <c r="E14" s="1">
        <v>4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274</v>
      </c>
      <c r="B15" s="1"/>
      <c r="C15" s="1">
        <v>14</v>
      </c>
      <c r="D15" s="1">
        <v>2</v>
      </c>
      <c r="E15" s="1">
        <v>2</v>
      </c>
      <c r="F15" s="1">
        <v>2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1" t="s">
        <v>275</v>
      </c>
      <c r="B16" s="1"/>
      <c r="C16" s="1">
        <v>8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1" ht="15.75" customHeight="1">
      <c r="A17" s="1" t="s">
        <v>276</v>
      </c>
      <c r="B17" s="1"/>
      <c r="C17" s="1">
        <v>6</v>
      </c>
      <c r="D17" s="1">
        <v>6</v>
      </c>
      <c r="E17" s="1">
        <v>6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1" ht="15.75" customHeight="1">
      <c r="A18" s="1" t="s">
        <v>277</v>
      </c>
      <c r="B18" s="1"/>
      <c r="C18" s="1">
        <v>8</v>
      </c>
      <c r="D18" s="1">
        <v>1</v>
      </c>
      <c r="E18" s="1">
        <v>1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1" ht="15.75" customHeight="1">
      <c r="A19" s="1" t="s">
        <v>278</v>
      </c>
      <c r="B19" s="1"/>
      <c r="C19" s="1">
        <v>8</v>
      </c>
      <c r="D19" s="1">
        <v>2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1" ht="15.75" customHeight="1">
      <c r="A20" s="1" t="s">
        <v>279</v>
      </c>
      <c r="B20" s="1"/>
      <c r="C20" s="1">
        <v>8</v>
      </c>
      <c r="D20" s="1">
        <v>1</v>
      </c>
      <c r="E20" s="1">
        <v>1</v>
      </c>
      <c r="F20" s="1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1" ht="15.75" customHeight="1">
      <c r="A21" s="1" t="s">
        <v>280</v>
      </c>
      <c r="B21" s="1"/>
      <c r="C21" s="1">
        <v>7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1" ht="15.75" customHeight="1">
      <c r="A22" s="1" t="s">
        <v>281</v>
      </c>
      <c r="B22" s="1"/>
      <c r="C22" s="1">
        <v>7</v>
      </c>
      <c r="D22" s="1">
        <v>7</v>
      </c>
      <c r="E22" s="1">
        <v>7</v>
      </c>
      <c r="F22" s="1">
        <v>7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1" ht="15.75" customHeight="1">
      <c r="A23" s="1" t="s">
        <v>282</v>
      </c>
      <c r="B23" s="1"/>
      <c r="C23" s="1">
        <v>4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1" ht="15.75" customHeight="1">
      <c r="A24" s="1" t="s">
        <v>283</v>
      </c>
      <c r="B24" s="1"/>
      <c r="C24" s="1">
        <v>10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1" ht="15.75" customHeight="1">
      <c r="A25" s="1" t="s">
        <v>284</v>
      </c>
      <c r="B25" s="1"/>
      <c r="C25" s="1">
        <v>4</v>
      </c>
      <c r="D25" s="1">
        <v>4</v>
      </c>
      <c r="E25" s="1">
        <v>0</v>
      </c>
      <c r="F25" s="1">
        <v>0</v>
      </c>
      <c r="G25" s="1" t="b">
        <f t="shared" si="0"/>
        <v>1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1" ht="15.75" customHeight="1">
      <c r="A26" s="1" t="s">
        <v>285</v>
      </c>
      <c r="B26" s="1"/>
      <c r="C26" s="1">
        <v>5</v>
      </c>
      <c r="D26" s="1">
        <v>1</v>
      </c>
      <c r="E26" s="1">
        <v>1</v>
      </c>
      <c r="F26" s="1">
        <v>1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1</v>
      </c>
    </row>
    <row r="27" spans="1:11" ht="15.75" customHeight="1">
      <c r="A27" s="1" t="s">
        <v>286</v>
      </c>
      <c r="B27" s="1"/>
      <c r="C27" s="1">
        <v>8</v>
      </c>
      <c r="D27" s="1">
        <v>2</v>
      </c>
      <c r="E27" s="1">
        <v>2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0</v>
      </c>
      <c r="K27" s="1" t="b">
        <f t="shared" si="4"/>
        <v>0</v>
      </c>
    </row>
    <row r="28" spans="1:11" ht="15.75" customHeight="1">
      <c r="A28" s="1" t="s">
        <v>287</v>
      </c>
      <c r="B28" s="1"/>
      <c r="C28" s="1">
        <v>4</v>
      </c>
      <c r="D28" s="1">
        <v>1</v>
      </c>
      <c r="E28" s="1">
        <v>0</v>
      </c>
      <c r="F28" s="1">
        <v>0</v>
      </c>
      <c r="G28" s="1" t="b">
        <f t="shared" si="0"/>
        <v>1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1" ht="15.75" customHeight="1">
      <c r="A29" s="1" t="s">
        <v>288</v>
      </c>
      <c r="B29" s="1"/>
      <c r="C29" s="1">
        <v>9</v>
      </c>
      <c r="D29" s="1">
        <v>2</v>
      </c>
      <c r="E29" s="1">
        <v>0</v>
      </c>
      <c r="F29" s="1">
        <v>0</v>
      </c>
      <c r="G29" s="1" t="b">
        <f t="shared" si="0"/>
        <v>1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1" ht="15.75" customHeight="1">
      <c r="A30" s="1" t="s">
        <v>289</v>
      </c>
      <c r="B30" s="1"/>
      <c r="C30" s="1">
        <v>5</v>
      </c>
      <c r="D30" s="1">
        <v>3</v>
      </c>
      <c r="E30" s="1">
        <v>3</v>
      </c>
      <c r="F30" s="1">
        <v>0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0</v>
      </c>
      <c r="K30" s="1" t="b">
        <f t="shared" si="4"/>
        <v>0</v>
      </c>
    </row>
    <row r="31" spans="1:11" ht="15.75" customHeight="1">
      <c r="A31" s="1" t="s">
        <v>290</v>
      </c>
      <c r="B31" s="1"/>
      <c r="C31" s="1">
        <v>6</v>
      </c>
      <c r="D31" s="1">
        <v>4</v>
      </c>
      <c r="E31" s="1">
        <v>0</v>
      </c>
      <c r="F31" s="1">
        <v>0</v>
      </c>
      <c r="G31" s="1" t="b">
        <f t="shared" si="0"/>
        <v>1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1" ht="15.75" customHeight="1">
      <c r="A32" s="1" t="s">
        <v>291</v>
      </c>
      <c r="B32" s="1"/>
      <c r="C32" s="1">
        <v>5</v>
      </c>
      <c r="D32" s="1">
        <v>1</v>
      </c>
      <c r="E32" s="1">
        <v>0</v>
      </c>
      <c r="F32" s="1">
        <v>0</v>
      </c>
      <c r="G32" s="1" t="b">
        <f t="shared" si="0"/>
        <v>1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</row>
    <row r="33" spans="1:12" ht="15.75" customHeight="1">
      <c r="A33" s="1" t="s">
        <v>292</v>
      </c>
      <c r="B33" s="1"/>
      <c r="C33" s="1">
        <v>5</v>
      </c>
      <c r="D33" s="1">
        <v>1</v>
      </c>
      <c r="E33" s="1">
        <v>1</v>
      </c>
      <c r="F33" s="1">
        <v>0</v>
      </c>
      <c r="G33" s="1" t="b">
        <f t="shared" si="0"/>
        <v>1</v>
      </c>
      <c r="H33" s="1" t="b">
        <f t="shared" si="1"/>
        <v>1</v>
      </c>
      <c r="I33" s="1" t="b">
        <f t="shared" si="2"/>
        <v>1</v>
      </c>
      <c r="J33" s="1" t="b">
        <f t="shared" si="3"/>
        <v>0</v>
      </c>
      <c r="K33" s="1" t="b">
        <f t="shared" si="4"/>
        <v>0</v>
      </c>
      <c r="L33" s="1"/>
    </row>
    <row r="34" spans="1:12" ht="15.75" customHeight="1">
      <c r="A34" s="1" t="s">
        <v>293</v>
      </c>
      <c r="B34" s="1"/>
      <c r="C34" s="1">
        <v>6</v>
      </c>
      <c r="D34" s="1">
        <v>1</v>
      </c>
      <c r="E34" s="1">
        <v>1</v>
      </c>
      <c r="F34" s="1">
        <v>1</v>
      </c>
      <c r="G34" s="1" t="b">
        <f t="shared" si="0"/>
        <v>1</v>
      </c>
      <c r="H34" s="1" t="b">
        <f t="shared" si="1"/>
        <v>1</v>
      </c>
      <c r="I34" s="1" t="b">
        <f t="shared" si="2"/>
        <v>1</v>
      </c>
      <c r="J34" s="1" t="b">
        <f t="shared" si="3"/>
        <v>1</v>
      </c>
      <c r="K34" s="1" t="b">
        <f t="shared" si="4"/>
        <v>1</v>
      </c>
      <c r="L34" s="1"/>
    </row>
    <row r="35" spans="1:12" ht="15.75" customHeight="1">
      <c r="A35" s="1" t="s">
        <v>294</v>
      </c>
      <c r="B35" s="1"/>
      <c r="C35" s="1">
        <v>5</v>
      </c>
      <c r="D35" s="1">
        <v>4</v>
      </c>
      <c r="E35" s="1">
        <v>0</v>
      </c>
      <c r="F35" s="1">
        <v>0</v>
      </c>
      <c r="G35" s="1" t="b">
        <f t="shared" si="0"/>
        <v>1</v>
      </c>
      <c r="H35" s="1" t="b">
        <f t="shared" si="1"/>
        <v>0</v>
      </c>
      <c r="I35" s="1" t="b">
        <f t="shared" si="2"/>
        <v>0</v>
      </c>
      <c r="J35" s="1" t="b">
        <f t="shared" si="3"/>
        <v>0</v>
      </c>
      <c r="K35" s="1" t="b">
        <f t="shared" si="4"/>
        <v>0</v>
      </c>
      <c r="L35" s="1"/>
    </row>
    <row r="36" spans="1:12" ht="15.75" customHeight="1">
      <c r="A36" s="1" t="s">
        <v>295</v>
      </c>
      <c r="B36" s="1"/>
      <c r="C36" s="1">
        <v>5</v>
      </c>
      <c r="D36" s="1">
        <v>4</v>
      </c>
      <c r="E36" s="1">
        <v>3</v>
      </c>
      <c r="F36" s="1">
        <v>0</v>
      </c>
      <c r="G36" s="1" t="b">
        <f t="shared" si="0"/>
        <v>1</v>
      </c>
      <c r="H36" s="1" t="b">
        <f t="shared" si="1"/>
        <v>1</v>
      </c>
      <c r="I36" s="1" t="b">
        <f t="shared" si="2"/>
        <v>0</v>
      </c>
      <c r="J36" s="1" t="b">
        <f t="shared" si="3"/>
        <v>0</v>
      </c>
      <c r="K36" s="1" t="b">
        <f t="shared" si="4"/>
        <v>0</v>
      </c>
      <c r="L36" s="1"/>
    </row>
    <row r="37" spans="1:12" ht="15.75" customHeight="1">
      <c r="A37" s="1" t="s">
        <v>296</v>
      </c>
      <c r="B37" s="1"/>
      <c r="C37" s="1">
        <v>8</v>
      </c>
      <c r="D37" s="1">
        <v>3</v>
      </c>
      <c r="E37" s="1">
        <v>0</v>
      </c>
      <c r="F37" s="1">
        <v>0</v>
      </c>
      <c r="G37" s="1" t="b">
        <f t="shared" si="0"/>
        <v>1</v>
      </c>
      <c r="H37" s="1" t="b">
        <f t="shared" si="1"/>
        <v>0</v>
      </c>
      <c r="I37" s="1" t="b">
        <f t="shared" si="2"/>
        <v>0</v>
      </c>
      <c r="J37" s="1" t="b">
        <f t="shared" si="3"/>
        <v>0</v>
      </c>
      <c r="K37" s="1" t="b">
        <f t="shared" si="4"/>
        <v>0</v>
      </c>
      <c r="L37" s="1"/>
    </row>
    <row r="38" spans="1:12" ht="15.75" customHeight="1">
      <c r="A38" s="1" t="s">
        <v>297</v>
      </c>
      <c r="B38" s="1"/>
      <c r="C38" s="1">
        <v>9</v>
      </c>
      <c r="D38" s="1">
        <v>5</v>
      </c>
      <c r="E38" s="1">
        <v>0</v>
      </c>
      <c r="F38" s="1">
        <v>0</v>
      </c>
      <c r="G38" s="1" t="b">
        <f t="shared" si="0"/>
        <v>1</v>
      </c>
      <c r="H38" s="1" t="b">
        <f t="shared" si="1"/>
        <v>0</v>
      </c>
      <c r="I38" s="1" t="b">
        <f t="shared" si="2"/>
        <v>0</v>
      </c>
      <c r="J38" s="1" t="b">
        <f t="shared" si="3"/>
        <v>0</v>
      </c>
      <c r="K38" s="1" t="b">
        <f t="shared" si="4"/>
        <v>0</v>
      </c>
      <c r="L38" s="1"/>
    </row>
    <row r="39" spans="1:12" ht="15.75" customHeight="1">
      <c r="A39" s="1" t="s">
        <v>298</v>
      </c>
      <c r="B39" s="1"/>
      <c r="C39" s="1">
        <v>6</v>
      </c>
      <c r="D39" s="1">
        <v>1</v>
      </c>
      <c r="E39" s="1">
        <v>0</v>
      </c>
      <c r="F39" s="1">
        <v>0</v>
      </c>
      <c r="G39" s="1" t="b">
        <f t="shared" si="0"/>
        <v>1</v>
      </c>
      <c r="H39" s="1" t="b">
        <f t="shared" si="1"/>
        <v>0</v>
      </c>
      <c r="I39" s="1" t="b">
        <f t="shared" si="2"/>
        <v>0</v>
      </c>
      <c r="J39" s="1" t="b">
        <f t="shared" si="3"/>
        <v>0</v>
      </c>
      <c r="K39" s="1" t="b">
        <f t="shared" si="4"/>
        <v>0</v>
      </c>
      <c r="L39" s="1"/>
    </row>
    <row r="40" spans="1:12" ht="15.75" customHeight="1">
      <c r="A40" s="1" t="s">
        <v>299</v>
      </c>
      <c r="B40" s="1"/>
      <c r="C40" s="1">
        <v>2</v>
      </c>
      <c r="D40" s="1">
        <v>1</v>
      </c>
      <c r="E40" s="1">
        <v>1</v>
      </c>
      <c r="F40" s="1">
        <v>0</v>
      </c>
      <c r="G40" s="1" t="b">
        <f t="shared" si="0"/>
        <v>1</v>
      </c>
      <c r="H40" s="1" t="b">
        <f t="shared" si="1"/>
        <v>1</v>
      </c>
      <c r="I40" s="1" t="b">
        <f t="shared" si="2"/>
        <v>1</v>
      </c>
      <c r="J40" s="1" t="b">
        <f t="shared" si="3"/>
        <v>0</v>
      </c>
      <c r="K40" s="1" t="b">
        <f t="shared" si="4"/>
        <v>0</v>
      </c>
      <c r="L40" s="1"/>
    </row>
    <row r="41" spans="1:12" ht="15.75" customHeight="1">
      <c r="B41" s="1" t="s">
        <v>63</v>
      </c>
      <c r="C41" s="1">
        <f t="shared" ref="C41:F41" si="5">SUM(C2:C32)</f>
        <v>181</v>
      </c>
      <c r="D41" s="1">
        <f t="shared" si="5"/>
        <v>51</v>
      </c>
      <c r="E41" s="1">
        <f t="shared" si="5"/>
        <v>37</v>
      </c>
      <c r="F41" s="1">
        <f t="shared" si="5"/>
        <v>16</v>
      </c>
      <c r="G41" s="1">
        <f t="shared" ref="G41:K41" si="6">COUNTIF(G3:G32,"TRUE")</f>
        <v>20</v>
      </c>
      <c r="H41" s="1">
        <f t="shared" si="6"/>
        <v>14</v>
      </c>
      <c r="I41" s="1">
        <f t="shared" si="6"/>
        <v>14</v>
      </c>
      <c r="J41" s="1">
        <f t="shared" si="6"/>
        <v>6</v>
      </c>
      <c r="K41" s="1">
        <f t="shared" si="6"/>
        <v>6</v>
      </c>
      <c r="L41" s="5">
        <f>COUNTA(E3:E32)</f>
        <v>30</v>
      </c>
    </row>
    <row r="42" spans="1:12" ht="15.75" customHeight="1">
      <c r="E42" s="1" t="s">
        <v>3</v>
      </c>
      <c r="F42" s="2"/>
      <c r="G42" s="2">
        <f>G41/L41</f>
        <v>0.66666666666666663</v>
      </c>
      <c r="H42" s="2">
        <f>H41/L41</f>
        <v>0.46666666666666667</v>
      </c>
      <c r="I42" s="2">
        <f>I41/L41</f>
        <v>0.46666666666666667</v>
      </c>
      <c r="J42" s="2">
        <f>J41/L41</f>
        <v>0.2</v>
      </c>
      <c r="K42" s="2">
        <f>K41/L41</f>
        <v>0.2</v>
      </c>
    </row>
    <row r="43" spans="1:12" ht="15.75" customHeight="1">
      <c r="E43" s="1" t="s">
        <v>64</v>
      </c>
      <c r="F43" s="2"/>
      <c r="G43" s="2"/>
      <c r="H43" s="2">
        <f>H41/G41</f>
        <v>0.7</v>
      </c>
      <c r="I43" s="2">
        <f>I41/G41</f>
        <v>0.7</v>
      </c>
      <c r="J43" s="2">
        <f>J41/G41</f>
        <v>0.3</v>
      </c>
      <c r="K43" s="2">
        <f>K41/G41</f>
        <v>0.3</v>
      </c>
    </row>
    <row r="44" spans="1:12" ht="15.75" customHeight="1">
      <c r="E44" s="1" t="s">
        <v>65</v>
      </c>
      <c r="F44" s="2"/>
      <c r="G44" s="2">
        <f>E41/C41</f>
        <v>0.20441988950276244</v>
      </c>
      <c r="H44" s="2">
        <f>E41/D41</f>
        <v>0.72549019607843135</v>
      </c>
    </row>
  </sheetData>
  <hyperlinks>
    <hyperlink ref="E1" r:id="rId1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29"/>
  <sheetViews>
    <sheetView workbookViewId="0">
      <selection activeCell="A26" sqref="A26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300</v>
      </c>
      <c r="B3" s="1"/>
      <c r="C3" s="1">
        <v>4</v>
      </c>
      <c r="D3" s="1">
        <v>1</v>
      </c>
      <c r="E3" s="1">
        <v>1</v>
      </c>
      <c r="F3" s="1">
        <v>1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1" t="s">
        <v>301</v>
      </c>
      <c r="B4" s="1"/>
      <c r="C4" s="1">
        <v>4</v>
      </c>
      <c r="D4" s="1">
        <v>3</v>
      </c>
      <c r="E4" s="1">
        <v>0</v>
      </c>
      <c r="F4" s="1">
        <v>0</v>
      </c>
      <c r="G4" s="1" t="b">
        <f t="shared" ref="G4:G25" si="0">D4&gt;0</f>
        <v>1</v>
      </c>
      <c r="H4" s="1" t="b">
        <f t="shared" ref="H4:H25" si="1">E4&gt;0</f>
        <v>0</v>
      </c>
      <c r="I4" s="1" t="b">
        <f t="shared" ref="I4:I25" si="2">AND(G4,(D4=E4))</f>
        <v>0</v>
      </c>
      <c r="J4" s="1" t="b">
        <f t="shared" ref="J4:J25" si="3">(F4&gt;0)</f>
        <v>0</v>
      </c>
      <c r="K4" s="1" t="b">
        <f t="shared" ref="K4:K25" si="4">AND(I4,(E4=F4))</f>
        <v>0</v>
      </c>
    </row>
    <row r="5" spans="1:11" ht="15.75" customHeight="1">
      <c r="A5" s="1" t="s">
        <v>302</v>
      </c>
      <c r="B5" s="1"/>
      <c r="C5" s="1">
        <v>3</v>
      </c>
      <c r="D5" s="1">
        <v>2</v>
      </c>
      <c r="E5" s="1">
        <v>2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303</v>
      </c>
      <c r="B6" s="1"/>
      <c r="C6" s="1">
        <v>7</v>
      </c>
      <c r="D6" s="1">
        <v>1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304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305</v>
      </c>
      <c r="B8" s="1"/>
      <c r="C8" s="1">
        <v>4</v>
      </c>
      <c r="D8" s="1">
        <v>2</v>
      </c>
      <c r="E8" s="1">
        <v>2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306</v>
      </c>
      <c r="B9" s="1"/>
      <c r="C9" s="1">
        <v>15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307</v>
      </c>
      <c r="B10" s="1"/>
      <c r="C10" s="1">
        <v>8</v>
      </c>
      <c r="D10" s="1">
        <v>3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308</v>
      </c>
      <c r="B11" s="1"/>
      <c r="C11" s="1">
        <v>5</v>
      </c>
      <c r="D11" s="1">
        <v>2</v>
      </c>
      <c r="E11" s="1">
        <v>2</v>
      </c>
      <c r="F11" s="1">
        <v>2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309</v>
      </c>
      <c r="B12" s="1"/>
      <c r="C12" s="1">
        <v>5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310</v>
      </c>
      <c r="B13" s="1"/>
      <c r="C13" s="1">
        <v>8</v>
      </c>
      <c r="D13" s="1">
        <v>1</v>
      </c>
      <c r="E13" s="1">
        <v>1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311</v>
      </c>
      <c r="B14" s="1"/>
      <c r="C14" s="1">
        <v>6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312</v>
      </c>
      <c r="B15" s="1"/>
      <c r="C15" s="1">
        <v>4</v>
      </c>
      <c r="D15" s="1">
        <v>2</v>
      </c>
      <c r="E15" s="1">
        <v>2</v>
      </c>
      <c r="F15" s="1">
        <v>2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1" t="s">
        <v>313</v>
      </c>
      <c r="B16" s="1"/>
      <c r="C16" s="1">
        <v>6</v>
      </c>
      <c r="D16" s="1">
        <v>1</v>
      </c>
      <c r="E16" s="1">
        <v>1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314</v>
      </c>
      <c r="B17" s="1"/>
      <c r="C17" s="1">
        <v>5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315</v>
      </c>
      <c r="B18" s="1"/>
      <c r="C18" s="1">
        <v>3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316</v>
      </c>
      <c r="B19" s="1"/>
      <c r="C19" s="1">
        <v>4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317</v>
      </c>
      <c r="B20" s="1"/>
      <c r="C20" s="1">
        <v>4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318</v>
      </c>
      <c r="B21" s="1"/>
      <c r="C21" s="1">
        <v>6</v>
      </c>
      <c r="D21" s="1">
        <v>5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319</v>
      </c>
      <c r="B22" s="1"/>
      <c r="C22" s="1">
        <v>6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320</v>
      </c>
      <c r="B23" s="1"/>
      <c r="C23" s="1">
        <v>5</v>
      </c>
      <c r="D23" s="1">
        <v>1</v>
      </c>
      <c r="E23" s="1">
        <v>1</v>
      </c>
      <c r="F23" s="1">
        <v>0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321</v>
      </c>
      <c r="B24" s="1"/>
      <c r="C24" s="1">
        <v>6</v>
      </c>
      <c r="D24" s="1">
        <v>3</v>
      </c>
      <c r="E24" s="1">
        <v>1</v>
      </c>
      <c r="F24" s="1">
        <v>0</v>
      </c>
      <c r="G24" s="1" t="b">
        <f t="shared" si="0"/>
        <v>1</v>
      </c>
      <c r="H24" s="1" t="b">
        <f t="shared" si="1"/>
        <v>1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322</v>
      </c>
      <c r="B25" s="1"/>
      <c r="C25" s="1">
        <v>2</v>
      </c>
      <c r="D25" s="1">
        <v>1</v>
      </c>
      <c r="E25" s="1">
        <v>1</v>
      </c>
      <c r="F25" s="1">
        <v>1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1</v>
      </c>
    </row>
    <row r="26" spans="1:12" ht="15.75" customHeight="1">
      <c r="B26" s="1" t="s">
        <v>63</v>
      </c>
      <c r="C26" s="1">
        <f>SUM(C2:C25)</f>
        <v>125</v>
      </c>
      <c r="D26" s="1">
        <f>SUM(D2:D25)</f>
        <v>28</v>
      </c>
      <c r="E26" s="1">
        <f>SUM(E2:E25)</f>
        <v>14</v>
      </c>
      <c r="F26" s="1">
        <f>SUM(F2:F25)</f>
        <v>6</v>
      </c>
      <c r="G26" s="1">
        <f>COUNTIF(G3:G25,"TRUE")</f>
        <v>14</v>
      </c>
      <c r="H26" s="1">
        <f>COUNTIF(H3:H25,"TRUE")</f>
        <v>10</v>
      </c>
      <c r="I26" s="1">
        <f>COUNTIF(I3:I25,"TRUE")</f>
        <v>9</v>
      </c>
      <c r="J26" s="1">
        <f>COUNTIF(J3:J25,"TRUE")</f>
        <v>4</v>
      </c>
      <c r="K26" s="1">
        <f>COUNTIF(K3:K25,"TRUE")</f>
        <v>4</v>
      </c>
      <c r="L26" s="5">
        <f>COUNTA(E3:E25)</f>
        <v>23</v>
      </c>
    </row>
    <row r="27" spans="1:12" ht="15.75" customHeight="1">
      <c r="E27" s="1" t="s">
        <v>3</v>
      </c>
      <c r="F27" s="2"/>
      <c r="G27" s="2">
        <f>G26/L26</f>
        <v>0.60869565217391308</v>
      </c>
      <c r="H27" s="2">
        <f>H26/L26</f>
        <v>0.43478260869565216</v>
      </c>
      <c r="I27" s="2">
        <f>I26/L26</f>
        <v>0.39130434782608697</v>
      </c>
      <c r="J27" s="2">
        <f>J26/L26</f>
        <v>0.17391304347826086</v>
      </c>
      <c r="K27" s="2">
        <f>K26/L26</f>
        <v>0.17391304347826086</v>
      </c>
    </row>
    <row r="28" spans="1:12" ht="15.75" customHeight="1">
      <c r="E28" s="1" t="s">
        <v>64</v>
      </c>
      <c r="F28" s="2"/>
      <c r="G28" s="2"/>
      <c r="H28" s="2">
        <f>H26/G26</f>
        <v>0.7142857142857143</v>
      </c>
      <c r="I28" s="2">
        <f>I26/G26</f>
        <v>0.6428571428571429</v>
      </c>
      <c r="J28" s="2">
        <f>J26/G26</f>
        <v>0.2857142857142857</v>
      </c>
      <c r="K28" s="2">
        <f>K26/G26</f>
        <v>0.2857142857142857</v>
      </c>
    </row>
    <row r="29" spans="1:12" ht="15.75" customHeight="1">
      <c r="E29" s="1" t="s">
        <v>65</v>
      </c>
      <c r="F29" s="2"/>
      <c r="G29" s="2">
        <f>E26/C26</f>
        <v>0.112</v>
      </c>
      <c r="H29" s="2">
        <f>E26/D26</f>
        <v>0.5</v>
      </c>
    </row>
  </sheetData>
  <hyperlinks>
    <hyperlink ref="E1" r:id="rId1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35"/>
  <sheetViews>
    <sheetView workbookViewId="0">
      <selection activeCell="G3" sqref="G3:K31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323</v>
      </c>
      <c r="B3" s="1"/>
      <c r="C3" s="1">
        <v>10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324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31" si="0">D4&gt;0</f>
        <v>0</v>
      </c>
      <c r="H4" s="1" t="b">
        <f t="shared" ref="H4:H31" si="1">E4&gt;0</f>
        <v>0</v>
      </c>
      <c r="I4" s="1" t="b">
        <f t="shared" ref="I4:I31" si="2">AND(G4,(D4=E4))</f>
        <v>0</v>
      </c>
      <c r="J4" s="1" t="b">
        <f t="shared" ref="J4:J31" si="3">(F4&gt;0)</f>
        <v>0</v>
      </c>
      <c r="K4" s="1" t="b">
        <f t="shared" ref="K4:K31" si="4">AND(I4,(E4=F4))</f>
        <v>0</v>
      </c>
    </row>
    <row r="5" spans="1:11" ht="15.75" customHeight="1">
      <c r="A5" s="1" t="s">
        <v>325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326</v>
      </c>
      <c r="B6" s="1"/>
      <c r="C6" s="1">
        <v>3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327</v>
      </c>
      <c r="B7" s="1"/>
      <c r="C7" s="1">
        <v>3</v>
      </c>
      <c r="D7" s="1">
        <v>3</v>
      </c>
      <c r="E7" s="1">
        <v>3</v>
      </c>
      <c r="F7" s="1">
        <v>0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328</v>
      </c>
      <c r="B8" s="1"/>
      <c r="C8" s="1">
        <v>3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329</v>
      </c>
      <c r="B9" s="1"/>
      <c r="C9" s="1">
        <v>5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330</v>
      </c>
      <c r="B10" s="1"/>
      <c r="C10" s="1">
        <v>7</v>
      </c>
      <c r="D10" s="1">
        <v>3</v>
      </c>
      <c r="E10" s="1">
        <v>3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331</v>
      </c>
      <c r="B11" s="1"/>
      <c r="C11" s="1">
        <v>3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332</v>
      </c>
      <c r="B12" s="1"/>
      <c r="C12" s="1">
        <v>4</v>
      </c>
      <c r="D12" s="1">
        <v>3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333</v>
      </c>
      <c r="B13" s="1"/>
      <c r="C13" s="1">
        <v>4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334</v>
      </c>
      <c r="B14" s="1"/>
      <c r="C14" s="1">
        <v>3</v>
      </c>
      <c r="D14" s="1">
        <v>1</v>
      </c>
      <c r="E14" s="1">
        <v>1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1" t="s">
        <v>335</v>
      </c>
      <c r="B15" s="1"/>
      <c r="C15" s="1">
        <v>5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336</v>
      </c>
      <c r="B16" s="1"/>
      <c r="C16" s="1">
        <v>5</v>
      </c>
      <c r="D16" s="1">
        <v>4</v>
      </c>
      <c r="E16" s="1">
        <v>2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337</v>
      </c>
      <c r="B17" s="1"/>
      <c r="C17" s="1">
        <v>6</v>
      </c>
      <c r="D17" s="1">
        <v>5</v>
      </c>
      <c r="E17" s="1">
        <v>5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338</v>
      </c>
      <c r="B18" s="1"/>
      <c r="C18" s="1">
        <v>7</v>
      </c>
      <c r="D18" s="1">
        <v>4</v>
      </c>
      <c r="E18" s="1">
        <v>3</v>
      </c>
      <c r="F18" s="1">
        <v>3</v>
      </c>
      <c r="G18" s="1" t="b">
        <f t="shared" si="0"/>
        <v>1</v>
      </c>
      <c r="H18" s="1" t="b">
        <f t="shared" si="1"/>
        <v>1</v>
      </c>
      <c r="I18" s="1" t="b">
        <f t="shared" si="2"/>
        <v>0</v>
      </c>
      <c r="J18" s="1" t="b">
        <f t="shared" si="3"/>
        <v>1</v>
      </c>
      <c r="K18" s="1" t="b">
        <f t="shared" si="4"/>
        <v>0</v>
      </c>
    </row>
    <row r="19" spans="1:12" ht="15.75" customHeight="1">
      <c r="A19" s="1" t="s">
        <v>339</v>
      </c>
      <c r="B19" s="1"/>
      <c r="C19" s="1">
        <v>5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340</v>
      </c>
      <c r="B20" s="1"/>
      <c r="C20" s="1">
        <v>4</v>
      </c>
      <c r="D20" s="1">
        <v>1</v>
      </c>
      <c r="E20" s="1">
        <v>1</v>
      </c>
      <c r="F20" s="1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1" t="s">
        <v>341</v>
      </c>
      <c r="B21" s="1"/>
      <c r="C21" s="1">
        <v>6</v>
      </c>
      <c r="D21" s="1">
        <v>1</v>
      </c>
      <c r="E21" s="1">
        <v>1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342</v>
      </c>
      <c r="B22" s="1"/>
      <c r="C22" s="1">
        <v>4</v>
      </c>
      <c r="D22" s="1">
        <v>1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343</v>
      </c>
      <c r="B23" s="1"/>
      <c r="C23" s="1">
        <v>6</v>
      </c>
      <c r="D23" s="1">
        <v>2</v>
      </c>
      <c r="E23" s="1">
        <v>2</v>
      </c>
      <c r="F23" s="1">
        <v>2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1</v>
      </c>
    </row>
    <row r="24" spans="1:12" ht="15.75" customHeight="1">
      <c r="A24" s="1" t="s">
        <v>344</v>
      </c>
      <c r="B24" s="1"/>
      <c r="C24" s="1">
        <v>6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345</v>
      </c>
      <c r="B25" s="1"/>
      <c r="C25" s="1">
        <v>5</v>
      </c>
      <c r="D25" s="1">
        <v>1</v>
      </c>
      <c r="E25" s="1">
        <v>1</v>
      </c>
      <c r="F25" s="1">
        <v>1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1</v>
      </c>
    </row>
    <row r="26" spans="1:12" ht="15.75" customHeight="1">
      <c r="A26" s="1" t="s">
        <v>346</v>
      </c>
      <c r="B26" s="1"/>
      <c r="C26" s="1">
        <v>6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347</v>
      </c>
      <c r="B27" s="1"/>
      <c r="C27" s="1">
        <v>6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348</v>
      </c>
      <c r="B28" s="1"/>
      <c r="C28" s="1">
        <v>6</v>
      </c>
      <c r="D28" s="1">
        <v>1</v>
      </c>
      <c r="E28" s="1">
        <v>1</v>
      </c>
      <c r="F28" s="1">
        <v>0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349</v>
      </c>
      <c r="B29" s="1"/>
      <c r="C29" s="1">
        <v>5</v>
      </c>
      <c r="D29" s="1">
        <v>1</v>
      </c>
      <c r="E29" s="1">
        <v>1</v>
      </c>
      <c r="F29" s="1">
        <v>1</v>
      </c>
      <c r="G29" s="1" t="b">
        <f t="shared" si="0"/>
        <v>1</v>
      </c>
      <c r="H29" s="1" t="b">
        <f t="shared" si="1"/>
        <v>1</v>
      </c>
      <c r="I29" s="1" t="b">
        <f t="shared" si="2"/>
        <v>1</v>
      </c>
      <c r="J29" s="1" t="b">
        <f t="shared" si="3"/>
        <v>1</v>
      </c>
      <c r="K29" s="1" t="b">
        <f t="shared" si="4"/>
        <v>1</v>
      </c>
    </row>
    <row r="30" spans="1:12" ht="15.75" customHeight="1">
      <c r="A30" s="1" t="s">
        <v>350</v>
      </c>
      <c r="B30" s="1"/>
      <c r="C30" s="1">
        <v>6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351</v>
      </c>
      <c r="B31" s="1"/>
      <c r="C31" s="1">
        <v>4</v>
      </c>
      <c r="D31" s="1">
        <v>1</v>
      </c>
      <c r="E31" s="1">
        <v>1</v>
      </c>
      <c r="F31" s="1">
        <v>0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0</v>
      </c>
      <c r="K31" s="1" t="b">
        <f t="shared" si="4"/>
        <v>0</v>
      </c>
    </row>
    <row r="32" spans="1:12" ht="15.75" customHeight="1">
      <c r="B32" s="1" t="s">
        <v>63</v>
      </c>
      <c r="C32" s="1">
        <f t="shared" ref="C32:F32" si="5">SUM(C2:C31)</f>
        <v>145</v>
      </c>
      <c r="D32" s="1">
        <f t="shared" si="5"/>
        <v>32</v>
      </c>
      <c r="E32" s="1">
        <f t="shared" si="5"/>
        <v>25</v>
      </c>
      <c r="F32" s="1">
        <f t="shared" si="5"/>
        <v>9</v>
      </c>
      <c r="G32" s="1">
        <f t="shared" ref="G32:K32" si="6">COUNTIF(G3:G31,"TRUE")</f>
        <v>15</v>
      </c>
      <c r="H32" s="1">
        <f t="shared" si="6"/>
        <v>13</v>
      </c>
      <c r="I32" s="1">
        <f t="shared" si="6"/>
        <v>11</v>
      </c>
      <c r="J32" s="1">
        <f t="shared" si="6"/>
        <v>6</v>
      </c>
      <c r="K32" s="1">
        <f t="shared" si="6"/>
        <v>5</v>
      </c>
      <c r="L32" s="5">
        <f>COUNTA(E3:E31)</f>
        <v>29</v>
      </c>
    </row>
    <row r="33" spans="5:11" ht="15.75" customHeight="1">
      <c r="E33" s="1" t="s">
        <v>3</v>
      </c>
      <c r="F33" s="2"/>
      <c r="G33" s="2">
        <f>G32/L32</f>
        <v>0.51724137931034486</v>
      </c>
      <c r="H33" s="2">
        <f>H32/L32</f>
        <v>0.44827586206896552</v>
      </c>
      <c r="I33" s="2">
        <f>I32/L32</f>
        <v>0.37931034482758619</v>
      </c>
      <c r="J33" s="2">
        <f>J32/L32</f>
        <v>0.20689655172413793</v>
      </c>
      <c r="K33" s="2">
        <f>K32/L32</f>
        <v>0.17241379310344829</v>
      </c>
    </row>
    <row r="34" spans="5:11" ht="15.75" customHeight="1">
      <c r="E34" s="1" t="s">
        <v>64</v>
      </c>
      <c r="F34" s="2"/>
      <c r="G34" s="2"/>
      <c r="H34" s="2">
        <f>H32/G32</f>
        <v>0.8666666666666667</v>
      </c>
      <c r="I34" s="2">
        <f>I32/G32</f>
        <v>0.73333333333333328</v>
      </c>
      <c r="J34" s="2">
        <f>J32/G32</f>
        <v>0.4</v>
      </c>
      <c r="K34" s="2">
        <f>K32/G32</f>
        <v>0.33333333333333331</v>
      </c>
    </row>
    <row r="35" spans="5:11" ht="15.75" customHeight="1">
      <c r="E35" s="1" t="s">
        <v>65</v>
      </c>
      <c r="F35" s="2"/>
      <c r="G35" s="2">
        <f>E32/C32</f>
        <v>0.17241379310344829</v>
      </c>
      <c r="H35" s="2">
        <f>E32/D32</f>
        <v>0.78125</v>
      </c>
    </row>
  </sheetData>
  <hyperlinks>
    <hyperlink ref="E1" r:id="rId1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30"/>
  <sheetViews>
    <sheetView workbookViewId="0">
      <selection activeCell="G3" sqref="G3:K26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6" t="s">
        <v>352</v>
      </c>
      <c r="B3" s="6"/>
      <c r="C3" s="7">
        <v>2</v>
      </c>
      <c r="D3" s="7">
        <v>0</v>
      </c>
      <c r="E3" s="7">
        <v>0</v>
      </c>
      <c r="F3" s="7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6" t="s">
        <v>353</v>
      </c>
      <c r="B4" s="6"/>
      <c r="C4" s="7">
        <v>4</v>
      </c>
      <c r="D4" s="7">
        <v>2</v>
      </c>
      <c r="E4" s="7">
        <v>2</v>
      </c>
      <c r="F4" s="7">
        <v>2</v>
      </c>
      <c r="G4" s="1" t="b">
        <f t="shared" ref="G4:G26" si="0">D4&gt;0</f>
        <v>1</v>
      </c>
      <c r="H4" s="1" t="b">
        <f t="shared" ref="H4:H26" si="1">E4&gt;0</f>
        <v>1</v>
      </c>
      <c r="I4" s="1" t="b">
        <f t="shared" ref="I4:I26" si="2">AND(G4,(D4=E4))</f>
        <v>1</v>
      </c>
      <c r="J4" s="1" t="b">
        <f t="shared" ref="J4:J26" si="3">(F4&gt;0)</f>
        <v>1</v>
      </c>
      <c r="K4" s="1" t="b">
        <f t="shared" ref="K4:K26" si="4">AND(I4,(E4=F4))</f>
        <v>1</v>
      </c>
    </row>
    <row r="5" spans="1:11" ht="15.75" customHeight="1">
      <c r="A5" s="6" t="s">
        <v>354</v>
      </c>
      <c r="B5" s="6"/>
      <c r="C5" s="7">
        <v>4</v>
      </c>
      <c r="D5" s="7">
        <v>2</v>
      </c>
      <c r="E5" s="7">
        <v>0</v>
      </c>
      <c r="F5" s="7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6" t="s">
        <v>355</v>
      </c>
      <c r="B6" s="6"/>
      <c r="C6" s="7">
        <v>3</v>
      </c>
      <c r="D6" s="7">
        <v>3</v>
      </c>
      <c r="E6" s="7">
        <v>3</v>
      </c>
      <c r="F6" s="7">
        <v>3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6" t="s">
        <v>356</v>
      </c>
      <c r="B7" s="6"/>
      <c r="C7" s="7">
        <v>4</v>
      </c>
      <c r="D7" s="7">
        <v>0</v>
      </c>
      <c r="E7" s="7">
        <v>0</v>
      </c>
      <c r="F7" s="7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6" t="s">
        <v>357</v>
      </c>
      <c r="B8" s="6"/>
      <c r="C8" s="7">
        <v>5</v>
      </c>
      <c r="D8" s="7">
        <v>4</v>
      </c>
      <c r="E8" s="7">
        <v>4</v>
      </c>
      <c r="F8" s="7">
        <v>4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6" t="s">
        <v>358</v>
      </c>
      <c r="B9" s="6"/>
      <c r="C9" s="7">
        <v>6</v>
      </c>
      <c r="D9" s="7">
        <v>0</v>
      </c>
      <c r="E9" s="7">
        <v>0</v>
      </c>
      <c r="F9" s="7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6" t="s">
        <v>359</v>
      </c>
      <c r="B10" s="6"/>
      <c r="C10" s="7">
        <v>6</v>
      </c>
      <c r="D10" s="7">
        <v>1</v>
      </c>
      <c r="E10" s="7">
        <v>1</v>
      </c>
      <c r="F10" s="7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6" t="s">
        <v>360</v>
      </c>
      <c r="B11" s="6"/>
      <c r="C11" s="7">
        <v>4</v>
      </c>
      <c r="D11" s="7">
        <v>2</v>
      </c>
      <c r="E11" s="7">
        <v>2</v>
      </c>
      <c r="F11" s="7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6" t="s">
        <v>361</v>
      </c>
      <c r="B12" s="6"/>
      <c r="C12" s="7">
        <v>8</v>
      </c>
      <c r="D12" s="7">
        <v>5</v>
      </c>
      <c r="E12" s="7">
        <v>5</v>
      </c>
      <c r="F12" s="7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6" t="s">
        <v>362</v>
      </c>
      <c r="B13" s="6"/>
      <c r="C13" s="7">
        <v>5</v>
      </c>
      <c r="D13" s="7">
        <v>1</v>
      </c>
      <c r="E13" s="7">
        <v>0</v>
      </c>
      <c r="F13" s="7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6" t="s">
        <v>363</v>
      </c>
      <c r="B14" s="6"/>
      <c r="C14" s="7">
        <v>5</v>
      </c>
      <c r="D14" s="7">
        <v>1</v>
      </c>
      <c r="E14" s="7">
        <v>1</v>
      </c>
      <c r="F14" s="7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6" t="s">
        <v>364</v>
      </c>
      <c r="B15" s="6"/>
      <c r="C15" s="7">
        <v>7</v>
      </c>
      <c r="D15" s="7">
        <v>3</v>
      </c>
      <c r="E15" s="7">
        <v>3</v>
      </c>
      <c r="F15" s="7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6" t="s">
        <v>365</v>
      </c>
      <c r="B16" s="6"/>
      <c r="C16" s="7">
        <v>8</v>
      </c>
      <c r="D16" s="7">
        <v>2</v>
      </c>
      <c r="E16" s="7">
        <v>2</v>
      </c>
      <c r="F16" s="7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6" t="s">
        <v>366</v>
      </c>
      <c r="B17" s="6"/>
      <c r="C17" s="7">
        <v>4</v>
      </c>
      <c r="D17" s="7">
        <v>1</v>
      </c>
      <c r="E17" s="7">
        <v>0</v>
      </c>
      <c r="F17" s="7">
        <v>0</v>
      </c>
      <c r="G17" s="1" t="b">
        <f t="shared" si="0"/>
        <v>1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6" t="s">
        <v>367</v>
      </c>
      <c r="B18" s="6"/>
      <c r="C18" s="7">
        <v>4</v>
      </c>
      <c r="D18" s="7">
        <v>1</v>
      </c>
      <c r="E18" s="7">
        <v>1</v>
      </c>
      <c r="F18" s="7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6" t="s">
        <v>368</v>
      </c>
      <c r="B19" s="6"/>
      <c r="C19" s="7">
        <v>5</v>
      </c>
      <c r="D19" s="7">
        <v>5</v>
      </c>
      <c r="E19" s="7">
        <v>0</v>
      </c>
      <c r="F19" s="7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6" t="s">
        <v>369</v>
      </c>
      <c r="B20" s="6"/>
      <c r="C20" s="7">
        <v>5</v>
      </c>
      <c r="D20" s="7">
        <v>3</v>
      </c>
      <c r="E20" s="7">
        <v>2</v>
      </c>
      <c r="F20" s="7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6" t="s">
        <v>370</v>
      </c>
      <c r="B21" s="6"/>
      <c r="C21" s="7">
        <v>4</v>
      </c>
      <c r="D21" s="7">
        <v>2</v>
      </c>
      <c r="E21" s="7">
        <v>2</v>
      </c>
      <c r="F21" s="7">
        <v>1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0</v>
      </c>
    </row>
    <row r="22" spans="1:12" ht="15.75" customHeight="1">
      <c r="A22" s="6" t="s">
        <v>371</v>
      </c>
      <c r="B22" s="6"/>
      <c r="C22" s="7">
        <v>4</v>
      </c>
      <c r="D22" s="7">
        <v>0</v>
      </c>
      <c r="E22" s="7">
        <v>0</v>
      </c>
      <c r="F22" s="7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6" t="s">
        <v>372</v>
      </c>
      <c r="B23" s="6"/>
      <c r="C23" s="7">
        <v>6</v>
      </c>
      <c r="D23" s="7">
        <v>1</v>
      </c>
      <c r="E23" s="7">
        <v>1</v>
      </c>
      <c r="F23" s="7">
        <v>0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6" t="s">
        <v>373</v>
      </c>
      <c r="B24" s="6"/>
      <c r="C24" s="7">
        <v>3</v>
      </c>
      <c r="D24" s="7">
        <v>0</v>
      </c>
      <c r="E24" s="7">
        <v>0</v>
      </c>
      <c r="F24" s="7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6" t="s">
        <v>374</v>
      </c>
      <c r="B25" s="6"/>
      <c r="C25" s="7">
        <v>5</v>
      </c>
      <c r="D25" s="7">
        <v>0</v>
      </c>
      <c r="E25" s="7">
        <v>0</v>
      </c>
      <c r="F25" s="7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6" t="s">
        <v>375</v>
      </c>
      <c r="B26" s="6"/>
      <c r="C26" s="7">
        <v>3</v>
      </c>
      <c r="D26" s="7">
        <v>0</v>
      </c>
      <c r="E26" s="7">
        <v>0</v>
      </c>
      <c r="F26" s="7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B27" s="1" t="s">
        <v>63</v>
      </c>
      <c r="C27" s="1">
        <f t="shared" ref="C27:F27" si="5">SUM(C2:C26)</f>
        <v>114</v>
      </c>
      <c r="D27" s="1">
        <f t="shared" si="5"/>
        <v>39</v>
      </c>
      <c r="E27" s="1">
        <f t="shared" si="5"/>
        <v>29</v>
      </c>
      <c r="F27" s="1">
        <f t="shared" si="5"/>
        <v>11</v>
      </c>
      <c r="G27" s="1">
        <f t="shared" ref="G27:K27" si="6">COUNTIF(G3:G26,"TRUE")</f>
        <v>17</v>
      </c>
      <c r="H27" s="1">
        <f t="shared" si="6"/>
        <v>13</v>
      </c>
      <c r="I27" s="1">
        <f t="shared" si="6"/>
        <v>12</v>
      </c>
      <c r="J27" s="1">
        <f t="shared" si="6"/>
        <v>5</v>
      </c>
      <c r="K27" s="1">
        <f t="shared" si="6"/>
        <v>4</v>
      </c>
      <c r="L27" s="5">
        <f>COUNTA(E3:E26)</f>
        <v>24</v>
      </c>
    </row>
    <row r="28" spans="1:12" ht="15.75" customHeight="1">
      <c r="E28" s="1" t="s">
        <v>3</v>
      </c>
      <c r="F28" s="2"/>
      <c r="G28" s="2">
        <f>G27/L27</f>
        <v>0.70833333333333337</v>
      </c>
      <c r="H28" s="2">
        <f>H27/L27</f>
        <v>0.54166666666666663</v>
      </c>
      <c r="I28" s="2">
        <f>I27/L27</f>
        <v>0.5</v>
      </c>
      <c r="J28" s="2">
        <f>J27/L27</f>
        <v>0.20833333333333334</v>
      </c>
      <c r="K28" s="2">
        <f>K27/L27</f>
        <v>0.16666666666666666</v>
      </c>
    </row>
    <row r="29" spans="1:12" ht="15.75" customHeight="1">
      <c r="E29" s="1" t="s">
        <v>64</v>
      </c>
      <c r="F29" s="2"/>
      <c r="G29" s="2"/>
      <c r="H29" s="2">
        <f>H27/G27</f>
        <v>0.76470588235294112</v>
      </c>
      <c r="I29" s="2">
        <f>I27/G27</f>
        <v>0.70588235294117652</v>
      </c>
      <c r="J29" s="2">
        <f>J27/G27</f>
        <v>0.29411764705882354</v>
      </c>
      <c r="K29" s="2">
        <f>K27/G27</f>
        <v>0.23529411764705882</v>
      </c>
    </row>
    <row r="30" spans="1:12" ht="15.75" customHeight="1">
      <c r="E30" s="1" t="s">
        <v>65</v>
      </c>
      <c r="F30" s="2"/>
      <c r="G30" s="2">
        <f>E27/C27</f>
        <v>0.25438596491228072</v>
      </c>
      <c r="H30" s="2">
        <f>E27/D27</f>
        <v>0.74358974358974361</v>
      </c>
    </row>
  </sheetData>
  <hyperlinks>
    <hyperlink ref="E1" r:id="rId1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Vaidyanathan</cp:lastModifiedBy>
  <dcterms:modified xsi:type="dcterms:W3CDTF">2025-06-11T20:58:52Z</dcterms:modified>
</cp:coreProperties>
</file>