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65648497-F8BB-8945-86FF-6DAB779113A8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K4" i="13" s="1"/>
  <c r="J4" i="13"/>
  <c r="G5" i="13"/>
  <c r="H5" i="13"/>
  <c r="I5" i="13"/>
  <c r="J5" i="13"/>
  <c r="K5" i="13"/>
  <c r="G6" i="13"/>
  <c r="H6" i="13"/>
  <c r="I6" i="13"/>
  <c r="K6" i="13" s="1"/>
  <c r="J6" i="13"/>
  <c r="G7" i="13"/>
  <c r="H7" i="13"/>
  <c r="I7" i="13"/>
  <c r="J7" i="13"/>
  <c r="K7" i="13"/>
  <c r="G8" i="13"/>
  <c r="H8" i="13"/>
  <c r="I8" i="13"/>
  <c r="K8" i="13" s="1"/>
  <c r="J8" i="13"/>
  <c r="G9" i="13"/>
  <c r="H9" i="13"/>
  <c r="I9" i="13"/>
  <c r="J9" i="13"/>
  <c r="K9" i="13"/>
  <c r="G10" i="13"/>
  <c r="H10" i="13"/>
  <c r="I10" i="13"/>
  <c r="K10" i="13" s="1"/>
  <c r="J10" i="13"/>
  <c r="G11" i="13"/>
  <c r="H11" i="13"/>
  <c r="I11" i="13"/>
  <c r="J11" i="13"/>
  <c r="K11" i="13"/>
  <c r="G12" i="13"/>
  <c r="H12" i="13"/>
  <c r="I12" i="13"/>
  <c r="K12" i="13" s="1"/>
  <c r="J12" i="13"/>
  <c r="G13" i="13"/>
  <c r="H13" i="13"/>
  <c r="I13" i="13"/>
  <c r="J13" i="13"/>
  <c r="K13" i="13"/>
  <c r="G14" i="13"/>
  <c r="H14" i="13"/>
  <c r="I14" i="13"/>
  <c r="K14" i="13" s="1"/>
  <c r="J14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K7" i="12" s="1"/>
  <c r="J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4" i="10"/>
  <c r="H4" i="10"/>
  <c r="I4" i="10"/>
  <c r="J4" i="10"/>
  <c r="K4" i="10"/>
  <c r="G5" i="10"/>
  <c r="I5" i="10" s="1"/>
  <c r="K5" i="10" s="1"/>
  <c r="H5" i="10"/>
  <c r="J5" i="10"/>
  <c r="G6" i="10"/>
  <c r="I6" i="10" s="1"/>
  <c r="K6" i="10" s="1"/>
  <c r="H6" i="10"/>
  <c r="J6" i="10"/>
  <c r="G7" i="10"/>
  <c r="H7" i="10"/>
  <c r="I7" i="10"/>
  <c r="J7" i="10"/>
  <c r="K7" i="10"/>
  <c r="G8" i="10"/>
  <c r="I8" i="10" s="1"/>
  <c r="K8" i="10" s="1"/>
  <c r="H8" i="10"/>
  <c r="J8" i="10"/>
  <c r="G9" i="10"/>
  <c r="H9" i="10"/>
  <c r="I9" i="10"/>
  <c r="J9" i="10"/>
  <c r="K9" i="10"/>
  <c r="G10" i="10"/>
  <c r="I10" i="10" s="1"/>
  <c r="K10" i="10" s="1"/>
  <c r="H10" i="10"/>
  <c r="J10" i="10"/>
  <c r="G11" i="10"/>
  <c r="H11" i="10"/>
  <c r="I11" i="10"/>
  <c r="J11" i="10"/>
  <c r="K11" i="10"/>
  <c r="G12" i="10"/>
  <c r="I12" i="10" s="1"/>
  <c r="K12" i="10" s="1"/>
  <c r="H12" i="10"/>
  <c r="J12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J7" i="9"/>
  <c r="K7" i="9"/>
  <c r="G8" i="9"/>
  <c r="H8" i="9"/>
  <c r="I8" i="9"/>
  <c r="J8" i="9"/>
  <c r="K8" i="9"/>
  <c r="G9" i="9"/>
  <c r="H9" i="9"/>
  <c r="I9" i="9"/>
  <c r="J9" i="9"/>
  <c r="K9" i="9"/>
  <c r="G10" i="9"/>
  <c r="H10" i="9"/>
  <c r="I10" i="9"/>
  <c r="J10" i="9"/>
  <c r="K10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4" i="7"/>
  <c r="H4" i="7"/>
  <c r="I4" i="7"/>
  <c r="J4" i="7"/>
  <c r="K4" i="7"/>
  <c r="G5" i="7"/>
  <c r="I5" i="7" s="1"/>
  <c r="K5" i="7" s="1"/>
  <c r="H5" i="7"/>
  <c r="J5" i="7"/>
  <c r="G6" i="7"/>
  <c r="H6" i="7"/>
  <c r="I6" i="7"/>
  <c r="J6" i="7"/>
  <c r="K6" i="7"/>
  <c r="G7" i="7"/>
  <c r="I7" i="7" s="1"/>
  <c r="K7" i="7" s="1"/>
  <c r="H7" i="7"/>
  <c r="J7" i="7"/>
  <c r="G8" i="7"/>
  <c r="H8" i="7"/>
  <c r="I8" i="7"/>
  <c r="J8" i="7"/>
  <c r="K8" i="7"/>
  <c r="G9" i="7"/>
  <c r="I9" i="7" s="1"/>
  <c r="K9" i="7" s="1"/>
  <c r="H9" i="7"/>
  <c r="J9" i="7"/>
  <c r="G10" i="7"/>
  <c r="H10" i="7"/>
  <c r="I10" i="7"/>
  <c r="J10" i="7"/>
  <c r="K10" i="7"/>
  <c r="G11" i="7"/>
  <c r="I11" i="7" s="1"/>
  <c r="K11" i="7" s="1"/>
  <c r="H11" i="7"/>
  <c r="J11" i="7"/>
  <c r="G12" i="7"/>
  <c r="H12" i="7"/>
  <c r="I12" i="7"/>
  <c r="J12" i="7"/>
  <c r="K12" i="7"/>
  <c r="G13" i="7"/>
  <c r="I13" i="7" s="1"/>
  <c r="K13" i="7" s="1"/>
  <c r="H13" i="7"/>
  <c r="J13" i="7"/>
  <c r="G14" i="7"/>
  <c r="H14" i="7"/>
  <c r="I14" i="7"/>
  <c r="J14" i="7"/>
  <c r="K14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13" i="6"/>
  <c r="H13" i="6"/>
  <c r="I13" i="6"/>
  <c r="J13" i="6"/>
  <c r="K13" i="6"/>
  <c r="G14" i="6"/>
  <c r="H14" i="6"/>
  <c r="I14" i="6"/>
  <c r="J14" i="6"/>
  <c r="K14" i="6"/>
  <c r="G15" i="6"/>
  <c r="H15" i="6"/>
  <c r="I15" i="6"/>
  <c r="J15" i="6"/>
  <c r="K15" i="6"/>
  <c r="G16" i="6"/>
  <c r="H16" i="6"/>
  <c r="I16" i="6"/>
  <c r="J16" i="6"/>
  <c r="K16" i="6"/>
  <c r="G17" i="6"/>
  <c r="H17" i="6"/>
  <c r="I17" i="6"/>
  <c r="J17" i="6"/>
  <c r="K17" i="6"/>
  <c r="G18" i="6"/>
  <c r="H18" i="6"/>
  <c r="I18" i="6"/>
  <c r="J18" i="6"/>
  <c r="K18" i="6"/>
  <c r="G19" i="6"/>
  <c r="H19" i="6"/>
  <c r="I19" i="6"/>
  <c r="J19" i="6"/>
  <c r="K19" i="6"/>
  <c r="G4" i="5"/>
  <c r="H4" i="5"/>
  <c r="I4" i="5"/>
  <c r="J4" i="5"/>
  <c r="K4" i="5"/>
  <c r="G5" i="5"/>
  <c r="H5" i="5"/>
  <c r="I5" i="5"/>
  <c r="J5" i="5"/>
  <c r="K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G9" i="5"/>
  <c r="H9" i="5"/>
  <c r="I9" i="5"/>
  <c r="J9" i="5"/>
  <c r="K9" i="5"/>
  <c r="G10" i="5"/>
  <c r="H10" i="5"/>
  <c r="I10" i="5"/>
  <c r="J10" i="5"/>
  <c r="K10" i="5"/>
  <c r="G11" i="5"/>
  <c r="H11" i="5"/>
  <c r="I11" i="5"/>
  <c r="J11" i="5"/>
  <c r="K11" i="5"/>
  <c r="G12" i="5"/>
  <c r="H12" i="5"/>
  <c r="I12" i="5"/>
  <c r="J12" i="5"/>
  <c r="K12" i="5"/>
  <c r="G13" i="5"/>
  <c r="H13" i="5"/>
  <c r="I13" i="5"/>
  <c r="J13" i="5"/>
  <c r="K13" i="5"/>
  <c r="G14" i="5"/>
  <c r="H14" i="5"/>
  <c r="I14" i="5"/>
  <c r="J14" i="5"/>
  <c r="K14" i="5"/>
  <c r="G15" i="5"/>
  <c r="H15" i="5"/>
  <c r="I15" i="5"/>
  <c r="J15" i="5"/>
  <c r="K15" i="5"/>
  <c r="G16" i="5"/>
  <c r="H16" i="5"/>
  <c r="I16" i="5"/>
  <c r="J16" i="5"/>
  <c r="K16" i="5"/>
  <c r="G17" i="5"/>
  <c r="H17" i="5"/>
  <c r="I17" i="5"/>
  <c r="J17" i="5"/>
  <c r="K17" i="5"/>
  <c r="G18" i="5"/>
  <c r="H18" i="5"/>
  <c r="I18" i="5"/>
  <c r="J18" i="5"/>
  <c r="K18" i="5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4" i="3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9" i="3"/>
  <c r="H9" i="3"/>
  <c r="I9" i="3"/>
  <c r="J9" i="3"/>
  <c r="K9" i="3"/>
  <c r="G10" i="3"/>
  <c r="H10" i="3"/>
  <c r="I10" i="3"/>
  <c r="J10" i="3"/>
  <c r="K10" i="3"/>
  <c r="G11" i="3"/>
  <c r="H11" i="3"/>
  <c r="I11" i="3"/>
  <c r="J11" i="3"/>
  <c r="K11" i="3"/>
  <c r="G12" i="3"/>
  <c r="H12" i="3"/>
  <c r="I12" i="3"/>
  <c r="J12" i="3"/>
  <c r="K12" i="3"/>
  <c r="G4" i="2"/>
  <c r="H4" i="2"/>
  <c r="I4" i="2"/>
  <c r="J4" i="2"/>
  <c r="K4" i="2"/>
  <c r="G5" i="2"/>
  <c r="H5" i="2"/>
  <c r="I5" i="2"/>
  <c r="K5" i="2" s="1"/>
  <c r="J5" i="2"/>
  <c r="G6" i="2"/>
  <c r="I6" i="2" s="1"/>
  <c r="K6" i="2" s="1"/>
  <c r="H6" i="2"/>
  <c r="J6" i="2"/>
  <c r="G7" i="2"/>
  <c r="I7" i="2" s="1"/>
  <c r="K7" i="2" s="1"/>
  <c r="H7" i="2"/>
  <c r="J7" i="2"/>
  <c r="G8" i="2"/>
  <c r="I8" i="2" s="1"/>
  <c r="K8" i="2" s="1"/>
  <c r="H8" i="2"/>
  <c r="J8" i="2"/>
  <c r="G9" i="2"/>
  <c r="H9" i="2"/>
  <c r="I9" i="2"/>
  <c r="K9" i="2" s="1"/>
  <c r="J9" i="2"/>
  <c r="G10" i="2"/>
  <c r="H10" i="2"/>
  <c r="I10" i="2"/>
  <c r="K10" i="2" s="1"/>
  <c r="J10" i="2"/>
  <c r="G11" i="2"/>
  <c r="H11" i="2"/>
  <c r="I11" i="2"/>
  <c r="K11" i="2" s="1"/>
  <c r="J11" i="2"/>
  <c r="G12" i="2"/>
  <c r="I12" i="2" s="1"/>
  <c r="K12" i="2" s="1"/>
  <c r="H12" i="2"/>
  <c r="J12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J3" i="2"/>
  <c r="H3" i="2"/>
  <c r="G3" i="2"/>
  <c r="I3" i="2" s="1"/>
  <c r="K3" i="2" s="1"/>
  <c r="L15" i="13"/>
  <c r="K14" i="1" s="1"/>
  <c r="F15" i="13"/>
  <c r="E14" i="1" s="1"/>
  <c r="V14" i="1" s="1"/>
  <c r="E15" i="13"/>
  <c r="D15" i="13"/>
  <c r="C15" i="13"/>
  <c r="L12" i="12"/>
  <c r="F12" i="12"/>
  <c r="E12" i="12"/>
  <c r="D13" i="1" s="1"/>
  <c r="D12" i="12"/>
  <c r="C13" i="1" s="1"/>
  <c r="C12" i="12"/>
  <c r="B13" i="1" s="1"/>
  <c r="L15" i="11"/>
  <c r="F15" i="11"/>
  <c r="E15" i="11"/>
  <c r="D12" i="1" s="1"/>
  <c r="D15" i="11"/>
  <c r="C12" i="1" s="1"/>
  <c r="U12" i="1" s="1"/>
  <c r="C15" i="11"/>
  <c r="G18" i="11" s="1"/>
  <c r="G16" i="10"/>
  <c r="L13" i="10"/>
  <c r="K11" i="1" s="1"/>
  <c r="F13" i="10"/>
  <c r="E13" i="10"/>
  <c r="D13" i="10"/>
  <c r="H16" i="10" s="1"/>
  <c r="C13" i="10"/>
  <c r="L11" i="9"/>
  <c r="F11" i="9"/>
  <c r="E10" i="1" s="1"/>
  <c r="V10" i="1" s="1"/>
  <c r="E11" i="9"/>
  <c r="D10" i="1" s="1"/>
  <c r="D11" i="9"/>
  <c r="C11" i="9"/>
  <c r="L15" i="8"/>
  <c r="K9" i="1" s="1"/>
  <c r="F15" i="8"/>
  <c r="E15" i="8"/>
  <c r="G18" i="8" s="1"/>
  <c r="D15" i="8"/>
  <c r="H18" i="8" s="1"/>
  <c r="C15" i="8"/>
  <c r="H18" i="7"/>
  <c r="G18" i="7"/>
  <c r="L15" i="7"/>
  <c r="K8" i="1" s="1"/>
  <c r="F15" i="7"/>
  <c r="E15" i="7"/>
  <c r="D8" i="1" s="1"/>
  <c r="D15" i="7"/>
  <c r="C8" i="1" s="1"/>
  <c r="C15" i="7"/>
  <c r="B8" i="1" s="1"/>
  <c r="L20" i="6"/>
  <c r="K7" i="1" s="1"/>
  <c r="F20" i="6"/>
  <c r="E7" i="1" s="1"/>
  <c r="E20" i="6"/>
  <c r="D7" i="1" s="1"/>
  <c r="D20" i="6"/>
  <c r="C20" i="6"/>
  <c r="H22" i="5"/>
  <c r="L19" i="5"/>
  <c r="K6" i="1" s="1"/>
  <c r="F19" i="5"/>
  <c r="E6" i="1" s="1"/>
  <c r="E19" i="5"/>
  <c r="D6" i="1" s="1"/>
  <c r="D19" i="5"/>
  <c r="C19" i="5"/>
  <c r="B6" i="1" s="1"/>
  <c r="L20" i="4"/>
  <c r="K5" i="1" s="1"/>
  <c r="F20" i="4"/>
  <c r="E20" i="4"/>
  <c r="D20" i="4"/>
  <c r="C5" i="1" s="1"/>
  <c r="C20" i="4"/>
  <c r="B5" i="1" s="1"/>
  <c r="L13" i="3"/>
  <c r="K4" i="1" s="1"/>
  <c r="F13" i="3"/>
  <c r="E13" i="3"/>
  <c r="D13" i="3"/>
  <c r="C4" i="1" s="1"/>
  <c r="C13" i="3"/>
  <c r="B4" i="1" s="1"/>
  <c r="L13" i="2"/>
  <c r="K3" i="1" s="1"/>
  <c r="F13" i="2"/>
  <c r="E3" i="1" s="1"/>
  <c r="E13" i="2"/>
  <c r="D3" i="1" s="1"/>
  <c r="D13" i="2"/>
  <c r="C13" i="2"/>
  <c r="C14" i="1"/>
  <c r="B14" i="1"/>
  <c r="K13" i="1"/>
  <c r="E13" i="1"/>
  <c r="K12" i="1"/>
  <c r="E12" i="1"/>
  <c r="E11" i="1"/>
  <c r="D11" i="1"/>
  <c r="C11" i="1"/>
  <c r="U11" i="1" s="1"/>
  <c r="B11" i="1"/>
  <c r="T11" i="1" s="1"/>
  <c r="K10" i="1"/>
  <c r="C10" i="1"/>
  <c r="B10" i="1"/>
  <c r="E9" i="1"/>
  <c r="D9" i="1"/>
  <c r="C9" i="1"/>
  <c r="U9" i="1" s="1"/>
  <c r="B9" i="1"/>
  <c r="T9" i="1" s="1"/>
  <c r="E8" i="1"/>
  <c r="B7" i="1"/>
  <c r="C6" i="1"/>
  <c r="E5" i="1"/>
  <c r="E4" i="1"/>
  <c r="C3" i="1"/>
  <c r="B3" i="1"/>
  <c r="H18" i="13" l="1"/>
  <c r="V13" i="1"/>
  <c r="V12" i="1"/>
  <c r="H18" i="11"/>
  <c r="B12" i="1"/>
  <c r="T12" i="1" s="1"/>
  <c r="V11" i="1"/>
  <c r="T10" i="1"/>
  <c r="H14" i="9"/>
  <c r="U10" i="1"/>
  <c r="G14" i="9"/>
  <c r="V9" i="1"/>
  <c r="V8" i="1"/>
  <c r="H23" i="6"/>
  <c r="G23" i="6"/>
  <c r="C7" i="1"/>
  <c r="V7" i="1" s="1"/>
  <c r="V5" i="1"/>
  <c r="G23" i="4"/>
  <c r="H16" i="3"/>
  <c r="K15" i="1"/>
  <c r="V6" i="1"/>
  <c r="H12" i="12"/>
  <c r="H13" i="12" s="1"/>
  <c r="G13" i="10"/>
  <c r="F11" i="1" s="1"/>
  <c r="J12" i="12"/>
  <c r="J13" i="12" s="1"/>
  <c r="K12" i="12"/>
  <c r="K13" i="12" s="1"/>
  <c r="G15" i="11"/>
  <c r="G16" i="11" s="1"/>
  <c r="H15" i="11"/>
  <c r="H16" i="11" s="1"/>
  <c r="G12" i="12"/>
  <c r="F13" i="1" s="1"/>
  <c r="M13" i="1" s="1"/>
  <c r="J20" i="6"/>
  <c r="J21" i="6" s="1"/>
  <c r="K11" i="9"/>
  <c r="K12" i="9" s="1"/>
  <c r="I15" i="11"/>
  <c r="I16" i="11" s="1"/>
  <c r="G13" i="3"/>
  <c r="G14" i="3" s="1"/>
  <c r="H15" i="8"/>
  <c r="G9" i="1" s="1"/>
  <c r="J15" i="11"/>
  <c r="J11" i="9"/>
  <c r="I10" i="1" s="1"/>
  <c r="K15" i="8"/>
  <c r="K16" i="8" s="1"/>
  <c r="I19" i="5"/>
  <c r="H6" i="1" s="1"/>
  <c r="G15" i="7"/>
  <c r="F8" i="1" s="1"/>
  <c r="M8" i="1" s="1"/>
  <c r="J15" i="8"/>
  <c r="J16" i="8" s="1"/>
  <c r="G15" i="13"/>
  <c r="F14" i="1" s="1"/>
  <c r="M14" i="1" s="1"/>
  <c r="J13" i="2"/>
  <c r="J14" i="2" s="1"/>
  <c r="I20" i="6"/>
  <c r="H7" i="1" s="1"/>
  <c r="H13" i="10"/>
  <c r="H14" i="10" s="1"/>
  <c r="I13" i="10"/>
  <c r="I14" i="10" s="1"/>
  <c r="G11" i="9"/>
  <c r="G12" i="9" s="1"/>
  <c r="J13" i="10"/>
  <c r="J14" i="10" s="1"/>
  <c r="I11" i="9"/>
  <c r="I12" i="9" s="1"/>
  <c r="J20" i="4"/>
  <c r="I5" i="1" s="1"/>
  <c r="H13" i="2"/>
  <c r="G3" i="1" s="1"/>
  <c r="N3" i="1" s="1"/>
  <c r="H20" i="4"/>
  <c r="G5" i="1" s="1"/>
  <c r="G20" i="6"/>
  <c r="F7" i="1" s="1"/>
  <c r="M7" i="1" s="1"/>
  <c r="K15" i="7"/>
  <c r="K16" i="7" s="1"/>
  <c r="K13" i="10"/>
  <c r="J11" i="1" s="1"/>
  <c r="H13" i="3"/>
  <c r="G13" i="2"/>
  <c r="G14" i="2" s="1"/>
  <c r="I13" i="3"/>
  <c r="H4" i="1" s="1"/>
  <c r="H19" i="5"/>
  <c r="H20" i="5" s="1"/>
  <c r="G19" i="5"/>
  <c r="F6" i="1" s="1"/>
  <c r="M6" i="1" s="1"/>
  <c r="J15" i="7"/>
  <c r="I8" i="1" s="1"/>
  <c r="G15" i="8"/>
  <c r="F9" i="1" s="1"/>
  <c r="K15" i="11"/>
  <c r="J12" i="1" s="1"/>
  <c r="J13" i="3"/>
  <c r="J14" i="3" s="1"/>
  <c r="K13" i="3"/>
  <c r="J19" i="5"/>
  <c r="I6" i="1" s="1"/>
  <c r="H15" i="7"/>
  <c r="G8" i="1" s="1"/>
  <c r="H15" i="13"/>
  <c r="G14" i="1" s="1"/>
  <c r="K20" i="4"/>
  <c r="K21" i="4" s="1"/>
  <c r="K19" i="5"/>
  <c r="K20" i="5" s="1"/>
  <c r="I15" i="7"/>
  <c r="I16" i="7" s="1"/>
  <c r="H11" i="9"/>
  <c r="H12" i="9" s="1"/>
  <c r="I15" i="13"/>
  <c r="H14" i="1" s="1"/>
  <c r="I13" i="2"/>
  <c r="G20" i="4"/>
  <c r="K20" i="6"/>
  <c r="J7" i="1" s="1"/>
  <c r="J15" i="13"/>
  <c r="J16" i="13" s="1"/>
  <c r="K15" i="13"/>
  <c r="K13" i="2"/>
  <c r="J3" i="1" s="1"/>
  <c r="I20" i="4"/>
  <c r="H5" i="1" s="1"/>
  <c r="H20" i="6"/>
  <c r="G7" i="1" s="1"/>
  <c r="I15" i="8"/>
  <c r="H9" i="1" s="1"/>
  <c r="I12" i="12"/>
  <c r="H13" i="1" s="1"/>
  <c r="U7" i="1"/>
  <c r="T7" i="1"/>
  <c r="U6" i="1"/>
  <c r="T6" i="1"/>
  <c r="G14" i="10"/>
  <c r="C15" i="1"/>
  <c r="V4" i="1"/>
  <c r="U8" i="1"/>
  <c r="T8" i="1"/>
  <c r="U3" i="1"/>
  <c r="T3" i="1"/>
  <c r="B15" i="1"/>
  <c r="V3" i="1"/>
  <c r="E15" i="1"/>
  <c r="U13" i="1"/>
  <c r="T13" i="1"/>
  <c r="H23" i="4"/>
  <c r="G22" i="5"/>
  <c r="G16" i="2"/>
  <c r="G15" i="12"/>
  <c r="H15" i="12"/>
  <c r="G18" i="13"/>
  <c r="H16" i="2"/>
  <c r="G16" i="3"/>
  <c r="D4" i="1"/>
  <c r="D5" i="1"/>
  <c r="D14" i="1"/>
  <c r="J13" i="1" l="1"/>
  <c r="S13" i="1" s="1"/>
  <c r="G13" i="1"/>
  <c r="N13" i="1" s="1"/>
  <c r="F12" i="1"/>
  <c r="M12" i="1" s="1"/>
  <c r="H17" i="11"/>
  <c r="I7" i="1"/>
  <c r="R7" i="1" s="1"/>
  <c r="H16" i="8"/>
  <c r="I13" i="1"/>
  <c r="R13" i="1" s="1"/>
  <c r="I9" i="1"/>
  <c r="R9" i="1" s="1"/>
  <c r="G16" i="7"/>
  <c r="K14" i="12"/>
  <c r="J14" i="12"/>
  <c r="H14" i="12"/>
  <c r="K13" i="9"/>
  <c r="G13" i="12"/>
  <c r="F3" i="1"/>
  <c r="M3" i="1" s="1"/>
  <c r="I17" i="11"/>
  <c r="J17" i="11"/>
  <c r="J15" i="10"/>
  <c r="J17" i="8"/>
  <c r="K17" i="7"/>
  <c r="I21" i="6"/>
  <c r="J8" i="1"/>
  <c r="S8" i="1" s="1"/>
  <c r="I20" i="5"/>
  <c r="J21" i="4"/>
  <c r="I13" i="9"/>
  <c r="H17" i="7"/>
  <c r="J6" i="1"/>
  <c r="S6" i="1" s="1"/>
  <c r="I22" i="6"/>
  <c r="K21" i="6"/>
  <c r="K16" i="11"/>
  <c r="I13" i="12"/>
  <c r="H12" i="1"/>
  <c r="O12" i="1" s="1"/>
  <c r="G16" i="8"/>
  <c r="I15" i="10"/>
  <c r="I21" i="4"/>
  <c r="H15" i="10"/>
  <c r="H21" i="4"/>
  <c r="H15" i="3"/>
  <c r="K15" i="3"/>
  <c r="K17" i="8"/>
  <c r="I14" i="12"/>
  <c r="H13" i="9"/>
  <c r="J22" i="6"/>
  <c r="K21" i="5"/>
  <c r="H21" i="5"/>
  <c r="I14" i="1"/>
  <c r="R14" i="1" s="1"/>
  <c r="I21" i="5"/>
  <c r="I15" i="3"/>
  <c r="H11" i="1"/>
  <c r="O11" i="1" s="1"/>
  <c r="G20" i="5"/>
  <c r="G11" i="1"/>
  <c r="N11" i="1" s="1"/>
  <c r="J15" i="2"/>
  <c r="G10" i="1"/>
  <c r="N10" i="1" s="1"/>
  <c r="K14" i="10"/>
  <c r="K15" i="10"/>
  <c r="J16" i="11"/>
  <c r="F4" i="1"/>
  <c r="M4" i="1" s="1"/>
  <c r="G12" i="1"/>
  <c r="N12" i="1" s="1"/>
  <c r="I12" i="1"/>
  <c r="H10" i="1"/>
  <c r="O10" i="1" s="1"/>
  <c r="J17" i="13"/>
  <c r="H16" i="7"/>
  <c r="G6" i="1"/>
  <c r="P6" i="1" s="1"/>
  <c r="I3" i="1"/>
  <c r="J5" i="1"/>
  <c r="H22" i="6"/>
  <c r="I22" i="4"/>
  <c r="J10" i="1"/>
  <c r="J15" i="3"/>
  <c r="G21" i="6"/>
  <c r="G16" i="13"/>
  <c r="H8" i="1"/>
  <c r="O8" i="1" s="1"/>
  <c r="I15" i="2"/>
  <c r="H17" i="13"/>
  <c r="K14" i="3"/>
  <c r="J12" i="9"/>
  <c r="I11" i="1"/>
  <c r="R11" i="1" s="1"/>
  <c r="R6" i="1"/>
  <c r="I17" i="13"/>
  <c r="H15" i="2"/>
  <c r="I17" i="8"/>
  <c r="H14" i="3"/>
  <c r="J21" i="5"/>
  <c r="G4" i="1"/>
  <c r="N4" i="1" s="1"/>
  <c r="K17" i="13"/>
  <c r="I4" i="1"/>
  <c r="H14" i="2"/>
  <c r="H3" i="1"/>
  <c r="F10" i="1"/>
  <c r="M10" i="1" s="1"/>
  <c r="R8" i="1"/>
  <c r="J13" i="9"/>
  <c r="S7" i="1"/>
  <c r="J20" i="5"/>
  <c r="J22" i="4"/>
  <c r="J9" i="1"/>
  <c r="S9" i="1" s="1"/>
  <c r="F5" i="1"/>
  <c r="M5" i="1" s="1"/>
  <c r="H22" i="4"/>
  <c r="G21" i="4"/>
  <c r="K22" i="6"/>
  <c r="J4" i="1"/>
  <c r="I14" i="2"/>
  <c r="I16" i="13"/>
  <c r="I17" i="7"/>
  <c r="K22" i="4"/>
  <c r="S11" i="1"/>
  <c r="K14" i="2"/>
  <c r="J17" i="7"/>
  <c r="J16" i="7"/>
  <c r="K17" i="11"/>
  <c r="I16" i="8"/>
  <c r="K16" i="13"/>
  <c r="H16" i="13"/>
  <c r="I14" i="3"/>
  <c r="K15" i="2"/>
  <c r="H21" i="6"/>
  <c r="J14" i="1"/>
  <c r="S14" i="1" s="1"/>
  <c r="H17" i="8"/>
  <c r="U14" i="1"/>
  <c r="T14" i="1"/>
  <c r="N14" i="1"/>
  <c r="P14" i="1"/>
  <c r="O4" i="1"/>
  <c r="M9" i="1"/>
  <c r="U5" i="1"/>
  <c r="T5" i="1"/>
  <c r="S3" i="1"/>
  <c r="V15" i="1"/>
  <c r="O6" i="1"/>
  <c r="Q6" i="1"/>
  <c r="N7" i="1"/>
  <c r="P7" i="1"/>
  <c r="U4" i="1"/>
  <c r="T4" i="1"/>
  <c r="O5" i="1"/>
  <c r="N5" i="1"/>
  <c r="O14" i="1"/>
  <c r="Q14" i="1"/>
  <c r="O13" i="1"/>
  <c r="Q13" i="1"/>
  <c r="M11" i="1"/>
  <c r="O7" i="1"/>
  <c r="Q7" i="1"/>
  <c r="O9" i="1"/>
  <c r="Q9" i="1"/>
  <c r="P3" i="1"/>
  <c r="N8" i="1"/>
  <c r="P8" i="1"/>
  <c r="D15" i="1"/>
  <c r="N9" i="1"/>
  <c r="P9" i="1"/>
  <c r="S12" i="1" l="1"/>
  <c r="R12" i="1"/>
  <c r="P13" i="1"/>
  <c r="R3" i="1"/>
  <c r="Q3" i="1"/>
  <c r="S10" i="1"/>
  <c r="N6" i="1"/>
  <c r="Q12" i="1"/>
  <c r="S4" i="1"/>
  <c r="Q4" i="1"/>
  <c r="R4" i="1"/>
  <c r="P12" i="1"/>
  <c r="Q8" i="1"/>
  <c r="Q10" i="1"/>
  <c r="P11" i="1"/>
  <c r="Q11" i="1"/>
  <c r="P10" i="1"/>
  <c r="O3" i="1"/>
  <c r="I15" i="1"/>
  <c r="P4" i="1"/>
  <c r="G15" i="1"/>
  <c r="N15" i="1" s="1"/>
  <c r="R10" i="1"/>
  <c r="H15" i="1"/>
  <c r="O15" i="1" s="1"/>
  <c r="Q5" i="1"/>
  <c r="R5" i="1"/>
  <c r="F15" i="1"/>
  <c r="M15" i="1" s="1"/>
  <c r="P5" i="1"/>
  <c r="S5" i="1"/>
  <c r="J15" i="1"/>
  <c r="U15" i="1"/>
  <c r="T15" i="1"/>
  <c r="S15" i="1" l="1"/>
  <c r="P15" i="1"/>
  <c r="R15" i="1"/>
  <c r="Q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900-000001000000}">
      <text>
        <r>
          <rPr>
            <sz val="10"/>
            <color rgb="FF000000"/>
            <rFont val="Arial"/>
            <family val="2"/>
            <scheme val="minor"/>
          </rPr>
          <t>Frustrating cos it doesn't show the backbone, but would have likely hit BP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B00-000001000000}">
      <text>
        <r>
          <rPr>
            <sz val="10"/>
            <color rgb="FF000000"/>
            <rFont val="Arial"/>
            <family val="2"/>
            <scheme val="minor"/>
          </rPr>
          <t>Mostly compliant, but unclear what circle in Panel B is, so non-compliant</t>
        </r>
      </text>
    </comment>
    <comment ref="E11" authorId="0" shapeId="0" xr:uid="{00000000-0006-0000-0B00-000002000000}">
      <text>
        <r>
          <rPr>
            <sz val="10"/>
            <color rgb="FF000000"/>
            <rFont val="Arial"/>
            <family val="2"/>
            <scheme val="minor"/>
          </rPr>
          <t>Non compliant stop</t>
        </r>
      </text>
    </comment>
  </commentList>
</comments>
</file>

<file path=xl/sharedStrings.xml><?xml version="1.0" encoding="utf-8"?>
<sst xmlns="http://schemas.openxmlformats.org/spreadsheetml/2006/main" count="376" uniqueCount="191">
  <si>
    <t>Year: 2015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</si>
  <si>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</si>
  <si>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</si>
  <si>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</si>
  <si>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</si>
  <si>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</si>
  <si>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</si>
  <si>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</si>
  <si>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</si>
  <si>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</si>
  <si>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</si>
  <si>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</si>
  <si>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</si>
  <si>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</si>
  <si>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</si>
  <si>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</si>
  <si>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</si>
  <si>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</si>
  <si>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</si>
  <si>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</si>
  <si>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</si>
  <si>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</si>
  <si>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</si>
  <si>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</si>
  <si>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</si>
  <si>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</si>
  <si>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</si>
  <si>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</si>
  <si>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</si>
  <si>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</si>
  <si>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</si>
  <si>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</si>
  <si>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</si>
  <si>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</si>
  <si>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</si>
  <si>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</si>
  <si>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</si>
  <si>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</si>
  <si>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</si>
  <si>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</si>
  <si>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</si>
  <si>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</si>
  <si>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</si>
  <si>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Engineering Living Functional Materials</t>
  </si>
  <si>
    <t>A Highly Tunable System for the Simultaneous Expression of Multiple Enzymes in Saccharomyces cerevisiae</t>
  </si>
  <si>
    <t>Direct Mutagenesis of Thousands of Genomic Targets Using Microarray-Derived Oligonucleotides</t>
  </si>
  <si>
    <t>Combinatorial Assembly of Large Biochemical Pathways into Yeast Chromosomes for Improved Production of Value-added Compounds</t>
  </si>
  <si>
    <t>A Low Cost, Customizable Turbidostat for Use in Synthetic Circuit Characterization</t>
  </si>
  <si>
    <t>Meta-Stochastic Simulation of Biochemical Models for Systems and Synthetic Biology</t>
  </si>
  <si>
    <t>Model-Driven Engineering of Gene Expression from RNA Replicons</t>
  </si>
  <si>
    <t>Proposed Data Model for the Next Version of the Synthetic Biology Open Language</t>
  </si>
  <si>
    <t>Distributed Classifier Based on Genetically Engineered Bacterial Cell Cultures</t>
  </si>
  <si>
    <t>Qualitative and Quantitative Analysis of Systems and Synthetic Biology Constructs using P Systems</t>
  </si>
  <si>
    <t>Totals:</t>
  </si>
  <si>
    <t>% of SBOL-possible papers</t>
  </si>
  <si>
    <t>% of all / possible figures</t>
  </si>
  <si>
    <t>A Synthetic Anhydrotetracycline-Controllable Gene Expression System in Ralstonia eutropha H16</t>
  </si>
  <si>
    <t>Designing RNA-Based Genetic Control Systems for Efficient Production from Engineered Metabolic Pathways</t>
  </si>
  <si>
    <t>Noise Propagation in Synthetic Gene Circuits for Metabolic Control</t>
  </si>
  <si>
    <t>Rational Design of Allosteric Regulation of Homoserine Dehydrogenase by a Nonnatural Inhibitor l-Lysine</t>
  </si>
  <si>
    <t>Negative Feedback Regulation of Fatty Acid Production Based on a Malonyl-CoA Sensor–Actuator</t>
  </si>
  <si>
    <t>Trade-offs in Engineering Sugar Utilization Pathways for Titratable Control</t>
  </si>
  <si>
    <t>Design and Implementation of a Biomolecular Concentration Tracker</t>
  </si>
  <si>
    <t>Fluorescent Monitoring of RNA Assembly and Processing Using the Split-Spinach Aptamer</t>
  </si>
  <si>
    <t>Recognition Sequences and Substrate Evolution in Cyanobactin Biosynthesis</t>
  </si>
  <si>
    <t>Cooperativity To Increase Turing Pattern Space for Synthetic Biology</t>
  </si>
  <si>
    <t>Opportunities for Synthetic Biology in Antibiotics: Expanding Glycopeptide Chemical Diversity</t>
  </si>
  <si>
    <t>Fine-tuning Interaction between Aminoacyl-tRNA Synthetase and tRNA for Efficient Synthesis of Proteins Containing Unnatural Amino Acids</t>
  </si>
  <si>
    <t>RADOM, an Efficient In Vivo Method for Assembling Designed DNA Fragments up to 10 kb Long in Saccharomyces cerevisiae</t>
  </si>
  <si>
    <t>Mapping of Amino Acid Substitutions Conferring Herbicide Resistance in Wheat Glutathione Transferase</t>
  </si>
  <si>
    <t>Gene Expression Platform for Synthetic Biology in the Human Pathogen Streptococcus pneumoniae</t>
  </si>
  <si>
    <t>Slow and Steady Wins the Race: A Bacterial Exploitative Competition Strategy in Fluctuating Environments</t>
  </si>
  <si>
    <t>Avoidance of Truncated Proteins from Unintended Ribosome Binding Sites within Heterologous Protein Coding Sequences</t>
  </si>
  <si>
    <t>Using Dynamic Noise Propagation to Infer Causal Regulatory Relationships in Biochemical Networks</t>
  </si>
  <si>
    <t>Preventing T7 RNA Polymerase Read-through Transcription—A Synthetic Termination Signal Capable of Improving Bioprocess Stability</t>
  </si>
  <si>
    <t>Assembly of Highly Standardized Gene Fragments for High-Level Production of Porphyrins in E. coli</t>
  </si>
  <si>
    <t>RNAi-Assisted Genome Evolution in Saccharomyces cerevisiae for Complex Phenotype Engineering</t>
  </si>
  <si>
    <t>Adaptive Evolution of an Artificial RNA Genome to a Reduced Ribosome Environment</t>
  </si>
  <si>
    <t>Modified Lactic Acid Bacteria Detect and Inhibit Multiresistant Enterococci</t>
  </si>
  <si>
    <t>GeneGuard: A Modular Plasmid System Designed for Biosafety</t>
  </si>
  <si>
    <t>Speeding up Directed Evolution: Combining the Advantages of Solid-Phase Combinatorial Gene Synthesis with Statistically Guided Reduction of Screening Effort</t>
  </si>
  <si>
    <t>Reversal of the β-Oxidation Cycle in Saccharomyces cerevisiae for Production of Fuels and Chemicals</t>
  </si>
  <si>
    <t>Software-Supported USER Cloning Strategies for Site-Directed Mutagenesis and DNA Assembly</t>
  </si>
  <si>
    <t>Synthetic Gene Involving Azobenzene-Tethered T7 Promoter for the Photocontrol of Gene Expression by Visible Light</t>
  </si>
  <si>
    <t>Engineering and Characterization of New LOV-Based Fluorescent Proteins from Chlamydomonas reinhardtii and Vaucheria frigida</t>
  </si>
  <si>
    <t>Stereospecific Microbial Conversion of Lactic Acid into 1,2-Propanediol</t>
  </si>
  <si>
    <t>Synthetic Microbes As Drug Delivery Systems</t>
  </si>
  <si>
    <t>Refined Regio- and Stereoselective Hydroxylation of l-Pipecolic Acid by Protein Engineering of l-Proline cis-4-Hydroxylase Based on the X-ray Crystal Structure</t>
  </si>
  <si>
    <t>Engineering Terpene Biosynthesis in Streptomyces for Production of the Advanced Biofuel Precursor Bisabolene</t>
  </si>
  <si>
    <t>Rational Design of a Fusion Protein to Exhibit Disulfide-Mediated Logic Gate Behavior</t>
  </si>
  <si>
    <t>Transcription, Reverse Transcription, and Analysis of RNA Containing Artificial Genetic Components</t>
  </si>
  <si>
    <t>Targeted Capture and Heterologous Expression of the Pseudoalteromonas Alterochromide Gene Cluster in Escherichia coli Represents a Promising Natural Product Exploratory Platform</t>
  </si>
  <si>
    <t>Rapid Evaluation of Tyrosine Kinase Activity of Membrane-Integrated Human Epidermal Growth Factor Receptor Using the Yeast Gγ Recruitment System</t>
  </si>
  <si>
    <t>A Set of Versatile Brick Vectors and Promoters for the Assembly, Expression, and Integration of Synthetic Operons in Methylobacterium extorquens AM1 and Other Alphaproteobacteria</t>
  </si>
  <si>
    <t>Engineering Bacterial Microcompartment Shells: Chimeric Shell Proteins and Chimeric Carboxysome Shells</t>
  </si>
  <si>
    <t>Characterizing and Alleviating Substrate Limitations for Improved in vitro Ribosome Construction</t>
  </si>
  <si>
    <t>Programming Controlled Adhesion of E. coli to Target Surfaces, Cells, and Tumors with Synthetic Adhesins</t>
  </si>
  <si>
    <t>Forcing the Issue: Aromatic Tuning Facilitates Stimulus-Independent Modulation of a Two-Component Signaling Circuit</t>
  </si>
  <si>
    <t>Assessing the Combinatorial Potential of the RiPP Cyanobactin tru Pathway</t>
  </si>
  <si>
    <t>Rapidly Characterizing the Fast Dynamics of RNA Genetic Circuitry with Cell-Free Transcription–Translation (TX-TL) Systems</t>
  </si>
  <si>
    <t>Ribozyme-Based Aminoglycoside Switches of Gene Expression Engineered by Genetic Selection in S. cerevisiae</t>
  </si>
  <si>
    <t>Conditional Control of Mammalian Gene Expression by Tetracycline-Dependent Hammerhead Ribozymes</t>
  </si>
  <si>
    <t>Environmental Sensing of Heavy Metals Through Whole Cell Microbial Biosensors: A Synthetic Biology Approach</t>
  </si>
  <si>
    <t>DNA-Directed Control of Enzyme–Inhibitor Complex Formation: A Modular Approach to Reversibly Switch Enzyme Activity</t>
  </si>
  <si>
    <t>Precursor-Directed Biosynthesis of 5-Hydroxytryptophan Using Metabolically Engineered E. coli</t>
  </si>
  <si>
    <t>Biosynthesis of Antimycins with a Reconstituted 3-Formamidosalicylate Pharmacophore in Escherichia coli</t>
  </si>
  <si>
    <t>Stochasticity in Gene Expression in a Cell-Sized Compartment</t>
  </si>
  <si>
    <t>Synthetic Tunable Amplifying Buffer Circuit in E. coli</t>
  </si>
  <si>
    <t>Homology-Integrated CRISPR–Cas (HI-CRISPR) System for One-Step Multigene Disruption in Saccharomyces cerevisiae</t>
  </si>
  <si>
    <t>Synthetic Biology Toolbox for Controlling Gene Expression in the Cyanobacterium Synechococcus sp. strain PCC 7002</t>
  </si>
  <si>
    <t>Codon Compression Algorithms for Saturation Mutagenesis</t>
  </si>
  <si>
    <t>Combining Random Gene Fission and Rational Gene Fusion To Discover Near-Infrared Fluorescent Protein Fragments That Report on Protein–Protein Interactions</t>
  </si>
  <si>
    <t>Native Promoter Strategy for High-Yielding Synthesis and Engineering of Fungal Secondary Metabolites</t>
  </si>
  <si>
    <t>Tailoring the Substrate Specificity of Yeast Phenylalanyl-tRNA Synthetase toward a Phenylalanine Analog Using Multiple-Site-Specific Incorporation</t>
  </si>
  <si>
    <t>Engineering Escherichia coli into a Protein Delivery System for Mammalian Cells</t>
  </si>
  <si>
    <t>RNA Signal Amplifier Circuit with Integrated Fluorescence Output</t>
  </si>
  <si>
    <t>Function-Based Mutation-Resistant Synthetic Signaling Device Activated by HIV-1 Proteolysis</t>
  </si>
  <si>
    <t>Accurate Predictions of Genetic Circuit Behavior from Part Characterization and Modular Composition</t>
  </si>
  <si>
    <t>Expansion of Bisindole Biosynthetic Pathways by Combinatorial Construction</t>
  </si>
  <si>
    <t>Enhanced MyoD-Induced Transdifferentiation to a Myogenic Lineage by Fusion to a Potent Transactivation Domain</t>
  </si>
  <si>
    <t>MEGA (Multiple Essential Genes Assembling) Deletion and Replacement Method for Genome Reduction in Escherichia coli</t>
  </si>
  <si>
    <t>Simultaneous Utilization of Cellobiose, Xylose, and Acetic Acid from Lignocellulosic Biomass for Biofuel Production by an Engineered Yeast Platform</t>
  </si>
  <si>
    <t>Evolution of Synthetic Signaling Scaffolds by Recombination of Modular Protein Domains</t>
  </si>
  <si>
    <t>High-Efficiency Multiplex Genome Editing of Streptomyces Species Using an Engineered CRISPR/Cas System</t>
  </si>
  <si>
    <t>Exploring Lysine Riboswitch for Metabolic Flux Control and Improvement of l-Lysine Synthesis in Corynebacterium glutamicum</t>
  </si>
  <si>
    <t>Automated Design of Programmable Enzyme-Driven DNA Circuits</t>
  </si>
  <si>
    <t>Systematically Engineering Escherichia coli for Enhanced Production of 1,2-Propanediol and 1-Propanol</t>
  </si>
  <si>
    <t>Web-Based Software Tool for Constraint-Based Design Specification of Synthetic Biological Systems</t>
  </si>
  <si>
    <t>A Competitive Flow Cytometry Screening System for Directed Evolution of Therapeutic Enzyme</t>
  </si>
  <si>
    <t>Quantifying Impact of Chromosome Copy Number on Recombination in Escherichia coli</t>
  </si>
  <si>
    <t>BASIC: A New Biopart Assembly Standard for Idempotent Cloning Provides Accurate, Single-Tier DNA Assembly for Synthetic Biology</t>
  </si>
  <si>
    <t>Rationally Designed MicroRNA-Based Genetic Classifiers Target Specific Neurons in the Brain</t>
  </si>
  <si>
    <t>Functional Exchangeability of Oxidase and Dehydrogenase Reactions in the Biosynthesis of Hydroxyphenylglycine, a Nonribosomal Peptide Building Block</t>
  </si>
  <si>
    <t>Orthogonal Fatty Acid Biosynthetic Pathway Improves Fatty Acid Ethyl Ester Production in Saccharomyces cerevisiae</t>
  </si>
  <si>
    <t>Enhancing Bidirectional Electron Transfer of Shewanella oneidensis by a Synthetic Flavin Pathway</t>
  </si>
  <si>
    <t>Short Synthetic Terminators for Improved Heterologous Gene Expression in Yeast</t>
  </si>
  <si>
    <t>DNA-Linked Enzyme-Coupled Assay for Probing Glucosyltransferase Specificity</t>
  </si>
  <si>
    <t>A tetO Toolkit To Alter Expression of Genes in Saccharomyces cerevisiae</t>
  </si>
  <si>
    <t>Yeast Golden Gate (yGG) for the Efficient Assembly of S. cerevisiae Transcription Units</t>
  </si>
  <si>
    <t>Low-Cost, High-Throughput Sequencing of DNA Assemblies Using a Highly Multiplexed Nextera Process</t>
  </si>
  <si>
    <t>Generating Systems Biology Markup Language Models from the Synthetic Biology Open Language</t>
  </si>
  <si>
    <t>A Hybrid of Metabolic Flux Analysis and Bayesian Factor Modeling for Multiomic Temporal Pathway Activation</t>
  </si>
  <si>
    <t>Fast and Accurate Circuit Design Automation through Hierarchical Model Switching</t>
  </si>
  <si>
    <t>Probabilistic Analysis of Localized DNA Hybridization Circuits</t>
  </si>
  <si>
    <t>Generating Effective Models and Parameters for RNA Genetic Circuits</t>
  </si>
  <si>
    <t>Genome Calligrapher: A Web Tool for Refactoring Bacterial Genome Sequences for de Novo DNA Synthesis</t>
  </si>
  <si>
    <t>ANT: Software for Generating and Evaluating Degenerate Codons for Natural and Expanded Genetic Codes</t>
  </si>
  <si>
    <t>Predicting the Genetic Stability of Engineered DNA Sequences with the EFM Calculator</t>
  </si>
  <si>
    <t>Red Light-Regulated Reversible Nuclear Localization of Proteins in Mammalian Cells and Zebrafish</t>
  </si>
  <si>
    <t>Enhanced Protein Production in Escherichia coli by Optimization of Cloning Scars at the Vector–Coding Sequence Junction</t>
  </si>
  <si>
    <t>Regulation of Bacterial Gene Expression by Protease-Alleviated Spatial Sequestration (PASS)</t>
  </si>
  <si>
    <t>A Highly Characterized Yeast Toolkit for Modular, Multipart Assembly</t>
  </si>
  <si>
    <t>CRISPathBrick: Modular Combinatorial Assembly of Type II-A CRISPR Arrays for dCas9-Mediated Multiplex Transcriptional Repression in E. coli</t>
  </si>
  <si>
    <t>Systematic Identification of a Panel of Strong Constitutive Promoters from Streptomyces albus</t>
  </si>
  <si>
    <t>Influence of Electrostatics on Small Molecule Flux through a Protein Nanoreactor</t>
  </si>
  <si>
    <t>CRISPR-Cas9 Based Engineering of Actinomycetal Genomes</t>
  </si>
  <si>
    <t>Engineering the Controlled Assembly of Filamentous Injectisomes in E. coli K-12 for Protein Translocation into Mammalian Cells</t>
  </si>
  <si>
    <t>Accurate DNA Assembly and Genome Engineering with Optimized Uracil Excision Cloning</t>
  </si>
  <si>
    <t>Industrialization of Biology</t>
  </si>
  <si>
    <t>Trade-Offs in Improving Biofuel Tolerance Using Combinations of Efflux Pumps</t>
  </si>
  <si>
    <t>Optically Controlled Signal Amplification for DNA Computation</t>
  </si>
  <si>
    <t>Directed Evolution of a Panel of Orthogonal T7 RNA Polymerase Variants for in Vivo or in Vitro Synthetic Circuitry</t>
  </si>
  <si>
    <t>Probing Yeast Polarity with Acute, Reversible, Optogenetic Inhibition of Protein Function</t>
  </si>
  <si>
    <t>Sequence Design for a Test Tube of Interacting Nucleic Acid Strands</t>
  </si>
  <si>
    <t>TALENs-Assisted Multiplex Editing for Accelerated Genome Evolution To Improve Yeast Phenotypes</t>
  </si>
  <si>
    <t>Enzymatic Menthol Production: One-Pot Approach Using Engineered Escherichia coli</t>
  </si>
  <si>
    <t>The Dual Characteristics of Light-Induced Cryptochrome 2, Homo-oligomerization and Heterodimerization, for Optogenetic Manipulation in Mammalian Cells</t>
  </si>
  <si>
    <t>Partitioning Variability of a Compartmentalized In Vitro Transcriptional Thresholding Circuit</t>
  </si>
  <si>
    <t>In Vitro Selection for Small-Molecule-Triggered Strand Displacement and Riboswitch Activity</t>
  </si>
  <si>
    <t>A Versatile Microfluidic Device for Automating Synthetic Biology</t>
  </si>
  <si>
    <t>Creating Ribo-T: (Design, Build, Test)n</t>
  </si>
  <si>
    <t>Bacterial Recombineering: Genome Engineering via Phage-Based Homologous Recombination</t>
  </si>
  <si>
    <t>Genome Engineering in Cyanobacteria: Where We Are and Where We Need To Go</t>
  </si>
  <si>
    <t>Genome Engineering of the 2,3-Butanediol Biosynthetic Pathway for Tight Regulation in Cyanobacteria</t>
  </si>
  <si>
    <t>A Barcoding Strategy Enabling Higher-Throughput Library Screening by Microscopy</t>
  </si>
  <si>
    <t>Targeted Large-Scale Deletion of Bacterial Genomes Using CRISPR-Nickases</t>
  </si>
  <si>
    <t>CasEMBLR: Cas9-Facilitated Multiloci Genomic Integration of in Vivo Assembled DNA Parts in Saccharomyces cerevisiae</t>
  </si>
  <si>
    <t>Comprehensive Sequence-Flux Mapping of a Levoglucosan Utilization Pathway in E. coli</t>
  </si>
  <si>
    <t>Genome-Wide Tuning of Protein Expression Levels to Rapidly Engineer Microbial Traits</t>
  </si>
  <si>
    <t>GPCR-Based Chemical Biosensors for Medium-Chain Fatty Acids</t>
  </si>
  <si>
    <t>Metabolic Engineering of Synechocystis sp. PCC 6803 for Production of the Plant Diterpenoid Manoyl Oxide</t>
  </si>
  <si>
    <t>Synthetic Auxotrophs with Ligand-Dependent Essential Genes for a BL21(DE3) Biosafety Strain</t>
  </si>
  <si>
    <t>Engineering Synthetic cis-Regulatory Elements for Simultaneous Recognition of Three Transcriptional Factors in Bacteria</t>
  </si>
  <si>
    <t>Pterin-Dependent Mono-oxidation for the Microbial Synthesis of a Modified Monoterpene Indole Alkaloid</t>
  </si>
  <si>
    <t>Development of a Synthetic Malonyl-CoA Sensor in Saccharomyces cerevisiae for Intracellular Metabolite Monitoring and Genetic Screening</t>
  </si>
  <si>
    <t>Polymerase Chain Reaction on a Viral Nanoparticle</t>
  </si>
  <si>
    <t>Tunable Riboregulator Switches for Post-transcriptional Control of Gene Expression</t>
  </si>
  <si>
    <t>Engineering a Lysine-ON Riboswitch for Metabolic Control of Lysine Production in Corynebacterium glutamicum</t>
  </si>
  <si>
    <t>Tn7-Based Device for Calibrated Heterologous Gene Expression in Pseudomonas putida</t>
  </si>
  <si>
    <t>Evolutionary Design of Choline-Inducible and -Repressible T7-Based Induction Systems</t>
  </si>
  <si>
    <t>Memory and Combinatorial Logic Based on DNA Inversions: Dynamics and Evolutionary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</si>
</sst>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9"/>
      <color rgb="FF000000"/>
      <name val="&quot;Google Sans Mono&quot;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7"/>
  <sheetViews>
    <sheetView tabSelected="1" workbookViewId="0">
      <selection activeCell="C21" sqref="C21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9" t="s">
        <v>1</v>
      </c>
      <c r="C1" s="10"/>
      <c r="D1" s="10"/>
      <c r="E1" s="10"/>
      <c r="F1" s="9" t="s">
        <v>2</v>
      </c>
      <c r="G1" s="10"/>
      <c r="H1" s="10"/>
      <c r="I1" s="10"/>
      <c r="J1" s="10"/>
      <c r="K1" s="10"/>
      <c r="M1" s="9" t="s">
        <v>3</v>
      </c>
      <c r="N1" s="10"/>
      <c r="O1" s="10"/>
      <c r="P1" s="9" t="s">
        <v>4</v>
      </c>
      <c r="Q1" s="10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January!C13</f>
        <v>73</v>
      </c>
      <c r="C3" s="1">
        <f>January!D13</f>
        <v>10</v>
      </c>
      <c r="D3" s="1">
        <f>January!E13</f>
        <v>8</v>
      </c>
      <c r="E3" s="1">
        <f>January!F13</f>
        <v>5</v>
      </c>
      <c r="F3" s="1">
        <f>January!G13</f>
        <v>5</v>
      </c>
      <c r="G3" s="1">
        <f>January!H13</f>
        <v>4</v>
      </c>
      <c r="H3" s="1">
        <f>January!I13</f>
        <v>3</v>
      </c>
      <c r="I3" s="1">
        <f>January!J13</f>
        <v>2</v>
      </c>
      <c r="J3" s="1">
        <f>January!K13</f>
        <v>1</v>
      </c>
      <c r="K3" s="1">
        <f>January!L13</f>
        <v>10</v>
      </c>
      <c r="M3" s="2">
        <f t="shared" ref="M3:O3" si="0">F3/$K3</f>
        <v>0.5</v>
      </c>
      <c r="N3" s="2">
        <f t="shared" si="0"/>
        <v>0.4</v>
      </c>
      <c r="O3" s="2">
        <f t="shared" si="0"/>
        <v>0.3</v>
      </c>
      <c r="P3" s="2">
        <f t="shared" ref="P3:Q3" si="1">G3/$F3</f>
        <v>0.8</v>
      </c>
      <c r="Q3" s="2">
        <f t="shared" si="1"/>
        <v>0.6</v>
      </c>
      <c r="R3" s="2">
        <f t="shared" ref="R3:R15" si="2">I3/F3</f>
        <v>0.4</v>
      </c>
      <c r="S3" s="2">
        <f t="shared" ref="S3:S15" si="3">J3/F3</f>
        <v>0.2</v>
      </c>
      <c r="T3" s="3">
        <f t="shared" ref="T3:T15" si="4">D3/$B3</f>
        <v>0.1095890410958904</v>
      </c>
      <c r="U3" s="3">
        <f t="shared" ref="U3:U15" si="5">D3/C3</f>
        <v>0.8</v>
      </c>
      <c r="V3" s="2">
        <f t="shared" ref="V3:V15" si="6">E3/C3</f>
        <v>0.5</v>
      </c>
    </row>
    <row r="4" spans="1:22" ht="15.75" customHeight="1">
      <c r="A4" s="1" t="s">
        <v>20</v>
      </c>
      <c r="B4" s="1">
        <f>February!C13</f>
        <v>55</v>
      </c>
      <c r="C4" s="1">
        <f>February!D13</f>
        <v>12</v>
      </c>
      <c r="D4" s="1">
        <f>February!E13</f>
        <v>9</v>
      </c>
      <c r="E4" s="1">
        <f>February!F13</f>
        <v>5</v>
      </c>
      <c r="F4" s="1">
        <f>February!G13</f>
        <v>5</v>
      </c>
      <c r="G4" s="1">
        <f>February!H13</f>
        <v>4</v>
      </c>
      <c r="H4" s="1">
        <f>February!I13</f>
        <v>4</v>
      </c>
      <c r="I4" s="1">
        <f>February!J13</f>
        <v>2</v>
      </c>
      <c r="J4" s="1">
        <f>February!K13</f>
        <v>2</v>
      </c>
      <c r="K4" s="1">
        <f>February!L13</f>
        <v>10</v>
      </c>
      <c r="M4" s="2">
        <f t="shared" ref="M4:O4" si="7">F4/$K4</f>
        <v>0.5</v>
      </c>
      <c r="N4" s="2">
        <f t="shared" si="7"/>
        <v>0.4</v>
      </c>
      <c r="O4" s="2">
        <f t="shared" si="7"/>
        <v>0.4</v>
      </c>
      <c r="P4" s="2">
        <f t="shared" ref="P4:Q4" si="8">G4/$F4</f>
        <v>0.8</v>
      </c>
      <c r="Q4" s="2">
        <f t="shared" si="8"/>
        <v>0.8</v>
      </c>
      <c r="R4" s="2">
        <f t="shared" si="2"/>
        <v>0.4</v>
      </c>
      <c r="S4" s="2">
        <f t="shared" si="3"/>
        <v>0.4</v>
      </c>
      <c r="T4" s="3">
        <f t="shared" si="4"/>
        <v>0.16363636363636364</v>
      </c>
      <c r="U4" s="3">
        <f t="shared" si="5"/>
        <v>0.75</v>
      </c>
      <c r="V4" s="2">
        <f t="shared" si="6"/>
        <v>0.41666666666666669</v>
      </c>
    </row>
    <row r="5" spans="1:22" ht="15.75" customHeight="1">
      <c r="A5" s="1" t="s">
        <v>21</v>
      </c>
      <c r="B5" s="1">
        <f>March!C20</f>
        <v>82</v>
      </c>
      <c r="C5" s="1">
        <f>March!D20</f>
        <v>18</v>
      </c>
      <c r="D5" s="1">
        <f>March!E20</f>
        <v>13</v>
      </c>
      <c r="E5" s="1">
        <f>March!F20</f>
        <v>0</v>
      </c>
      <c r="F5" s="1">
        <f>March!G20</f>
        <v>9</v>
      </c>
      <c r="G5" s="1">
        <f>March!H20</f>
        <v>6</v>
      </c>
      <c r="H5" s="1">
        <f>March!I20</f>
        <v>5</v>
      </c>
      <c r="I5" s="1">
        <f>March!J20</f>
        <v>0</v>
      </c>
      <c r="J5" s="1">
        <f>March!K20</f>
        <v>0</v>
      </c>
      <c r="K5" s="1">
        <f>March!L20</f>
        <v>17</v>
      </c>
      <c r="M5" s="2">
        <f t="shared" ref="M5:O5" si="9">F5/$K5</f>
        <v>0.52941176470588236</v>
      </c>
      <c r="N5" s="2">
        <f t="shared" si="9"/>
        <v>0.35294117647058826</v>
      </c>
      <c r="O5" s="2">
        <f t="shared" si="9"/>
        <v>0.29411764705882354</v>
      </c>
      <c r="P5" s="2">
        <f t="shared" ref="P5:Q5" si="10">G5/$F5</f>
        <v>0.66666666666666663</v>
      </c>
      <c r="Q5" s="2">
        <f t="shared" si="10"/>
        <v>0.55555555555555558</v>
      </c>
      <c r="R5" s="2">
        <f t="shared" si="2"/>
        <v>0</v>
      </c>
      <c r="S5" s="2">
        <f t="shared" si="3"/>
        <v>0</v>
      </c>
      <c r="T5" s="3">
        <f t="shared" si="4"/>
        <v>0.15853658536585366</v>
      </c>
      <c r="U5" s="3">
        <f t="shared" si="5"/>
        <v>0.72222222222222221</v>
      </c>
      <c r="V5" s="2">
        <f t="shared" si="6"/>
        <v>0</v>
      </c>
    </row>
    <row r="6" spans="1:22" ht="15.75" customHeight="1">
      <c r="A6" s="1" t="s">
        <v>22</v>
      </c>
      <c r="B6" s="1">
        <f>April!C19</f>
        <v>74</v>
      </c>
      <c r="C6" s="1">
        <f>April!D19</f>
        <v>10</v>
      </c>
      <c r="D6" s="1">
        <f>April!E19</f>
        <v>4</v>
      </c>
      <c r="E6" s="1">
        <f>April!F19</f>
        <v>1</v>
      </c>
      <c r="F6" s="1">
        <f>April!G19</f>
        <v>7</v>
      </c>
      <c r="G6" s="1">
        <f>April!H19</f>
        <v>4</v>
      </c>
      <c r="H6" s="1">
        <f>April!I19</f>
        <v>4</v>
      </c>
      <c r="I6" s="1">
        <f>April!J19</f>
        <v>1</v>
      </c>
      <c r="J6" s="1">
        <f>April!K19</f>
        <v>1</v>
      </c>
      <c r="K6" s="1">
        <f>April!L19</f>
        <v>16</v>
      </c>
      <c r="M6" s="2">
        <f t="shared" ref="M6:O6" si="11">F6/$K6</f>
        <v>0.4375</v>
      </c>
      <c r="N6" s="2">
        <f t="shared" si="11"/>
        <v>0.25</v>
      </c>
      <c r="O6" s="2">
        <f t="shared" si="11"/>
        <v>0.25</v>
      </c>
      <c r="P6" s="2">
        <f t="shared" ref="P6:Q6" si="12">G6/$F6</f>
        <v>0.5714285714285714</v>
      </c>
      <c r="Q6" s="2">
        <f t="shared" si="12"/>
        <v>0.5714285714285714</v>
      </c>
      <c r="R6" s="2">
        <f t="shared" si="2"/>
        <v>0.14285714285714285</v>
      </c>
      <c r="S6" s="2">
        <f t="shared" si="3"/>
        <v>0.14285714285714285</v>
      </c>
      <c r="T6" s="3">
        <f t="shared" si="4"/>
        <v>5.4054054054054057E-2</v>
      </c>
      <c r="U6" s="3">
        <f t="shared" si="5"/>
        <v>0.4</v>
      </c>
      <c r="V6" s="2">
        <f t="shared" si="6"/>
        <v>0.1</v>
      </c>
    </row>
    <row r="7" spans="1:22" ht="15.75" customHeight="1">
      <c r="A7" s="1" t="s">
        <v>23</v>
      </c>
      <c r="B7" s="1">
        <f>May!C20</f>
        <v>98</v>
      </c>
      <c r="C7" s="1">
        <f>May!D20</f>
        <v>31</v>
      </c>
      <c r="D7" s="1">
        <f>May!E20</f>
        <v>21</v>
      </c>
      <c r="E7" s="1">
        <f>May!F20</f>
        <v>6</v>
      </c>
      <c r="F7" s="1">
        <f>May!G20</f>
        <v>12</v>
      </c>
      <c r="G7" s="1">
        <f>May!H20</f>
        <v>6</v>
      </c>
      <c r="H7" s="1">
        <f>May!I20</f>
        <v>4</v>
      </c>
      <c r="I7" s="1">
        <f>May!J20</f>
        <v>1</v>
      </c>
      <c r="J7" s="1">
        <f>May!K20</f>
        <v>1</v>
      </c>
      <c r="K7" s="1">
        <f>May!L20</f>
        <v>17</v>
      </c>
      <c r="M7" s="2">
        <f t="shared" ref="M7:O7" si="13">F7/$K7</f>
        <v>0.70588235294117652</v>
      </c>
      <c r="N7" s="2">
        <f t="shared" si="13"/>
        <v>0.35294117647058826</v>
      </c>
      <c r="O7" s="2">
        <f t="shared" si="13"/>
        <v>0.23529411764705882</v>
      </c>
      <c r="P7" s="2">
        <f t="shared" ref="P7:Q7" si="14">G7/$F7</f>
        <v>0.5</v>
      </c>
      <c r="Q7" s="2">
        <f t="shared" si="14"/>
        <v>0.33333333333333331</v>
      </c>
      <c r="R7" s="2">
        <f t="shared" si="2"/>
        <v>8.3333333333333329E-2</v>
      </c>
      <c r="S7" s="2">
        <f t="shared" si="3"/>
        <v>8.3333333333333329E-2</v>
      </c>
      <c r="T7" s="3">
        <f t="shared" si="4"/>
        <v>0.21428571428571427</v>
      </c>
      <c r="U7" s="3">
        <f t="shared" si="5"/>
        <v>0.67741935483870963</v>
      </c>
      <c r="V7" s="2">
        <f t="shared" si="6"/>
        <v>0.19354838709677419</v>
      </c>
    </row>
    <row r="8" spans="1:22" ht="15.75" customHeight="1">
      <c r="A8" s="1" t="s">
        <v>24</v>
      </c>
      <c r="B8" s="1">
        <f>June!C15</f>
        <v>52</v>
      </c>
      <c r="C8" s="1">
        <f>June!D15</f>
        <v>14</v>
      </c>
      <c r="D8" s="1">
        <f>June!E15</f>
        <v>7</v>
      </c>
      <c r="E8" s="1">
        <f>June!F15</f>
        <v>0</v>
      </c>
      <c r="F8" s="1">
        <f>June!G15</f>
        <v>7</v>
      </c>
      <c r="G8" s="1">
        <f>June!H15</f>
        <v>4</v>
      </c>
      <c r="H8" s="1">
        <f>June!I15</f>
        <v>3</v>
      </c>
      <c r="I8" s="1">
        <f>June!J15</f>
        <v>0</v>
      </c>
      <c r="J8" s="1">
        <f>June!K15</f>
        <v>0</v>
      </c>
      <c r="K8" s="1">
        <f>June!L15</f>
        <v>12</v>
      </c>
      <c r="M8" s="2">
        <f t="shared" ref="M8:O8" si="15">F8/$K8</f>
        <v>0.58333333333333337</v>
      </c>
      <c r="N8" s="2">
        <f t="shared" si="15"/>
        <v>0.33333333333333331</v>
      </c>
      <c r="O8" s="2">
        <f t="shared" si="15"/>
        <v>0.25</v>
      </c>
      <c r="P8" s="2">
        <f t="shared" ref="P8:Q8" si="16">G8/$F8</f>
        <v>0.5714285714285714</v>
      </c>
      <c r="Q8" s="2">
        <f t="shared" si="16"/>
        <v>0.42857142857142855</v>
      </c>
      <c r="R8" s="2">
        <f t="shared" si="2"/>
        <v>0</v>
      </c>
      <c r="S8" s="2">
        <f t="shared" si="3"/>
        <v>0</v>
      </c>
      <c r="T8" s="3">
        <f t="shared" si="4"/>
        <v>0.13461538461538461</v>
      </c>
      <c r="U8" s="3">
        <f t="shared" si="5"/>
        <v>0.5</v>
      </c>
      <c r="V8" s="2">
        <f t="shared" si="6"/>
        <v>0</v>
      </c>
    </row>
    <row r="9" spans="1:22" ht="15.75" customHeight="1">
      <c r="A9" s="1" t="s">
        <v>25</v>
      </c>
      <c r="B9" s="1">
        <f>July!C15</f>
        <v>55</v>
      </c>
      <c r="C9" s="1">
        <f>July!D15</f>
        <v>14</v>
      </c>
      <c r="D9" s="1">
        <f>July!E15</f>
        <v>6</v>
      </c>
      <c r="E9" s="1">
        <f>July!F15</f>
        <v>2</v>
      </c>
      <c r="F9" s="1">
        <f>July!G15</f>
        <v>7</v>
      </c>
      <c r="G9" s="1">
        <f>July!H15</f>
        <v>5</v>
      </c>
      <c r="H9" s="1">
        <f>July!I15</f>
        <v>3</v>
      </c>
      <c r="I9" s="1">
        <f>July!J15</f>
        <v>2</v>
      </c>
      <c r="J9" s="1">
        <f>July!K15</f>
        <v>2</v>
      </c>
      <c r="K9" s="1">
        <f>July!L15</f>
        <v>12</v>
      </c>
      <c r="M9" s="2">
        <f t="shared" ref="M9:O9" si="17">F9/$K9</f>
        <v>0.58333333333333337</v>
      </c>
      <c r="N9" s="2">
        <f t="shared" si="17"/>
        <v>0.41666666666666669</v>
      </c>
      <c r="O9" s="2">
        <f t="shared" si="17"/>
        <v>0.25</v>
      </c>
      <c r="P9" s="2">
        <f t="shared" ref="P9:Q9" si="18">G9/$F9</f>
        <v>0.7142857142857143</v>
      </c>
      <c r="Q9" s="2">
        <f t="shared" si="18"/>
        <v>0.42857142857142855</v>
      </c>
      <c r="R9" s="2">
        <f t="shared" si="2"/>
        <v>0.2857142857142857</v>
      </c>
      <c r="S9" s="2">
        <f t="shared" si="3"/>
        <v>0.2857142857142857</v>
      </c>
      <c r="T9" s="3">
        <f t="shared" si="4"/>
        <v>0.10909090909090909</v>
      </c>
      <c r="U9" s="3">
        <f t="shared" si="5"/>
        <v>0.42857142857142855</v>
      </c>
      <c r="V9" s="2">
        <f t="shared" si="6"/>
        <v>0.14285714285714285</v>
      </c>
    </row>
    <row r="10" spans="1:22" ht="15.75" customHeight="1">
      <c r="A10" s="1" t="s">
        <v>26</v>
      </c>
      <c r="B10" s="1">
        <f>August!C11</f>
        <v>38</v>
      </c>
      <c r="C10" s="1">
        <f>August!D11</f>
        <v>5</v>
      </c>
      <c r="D10" s="1">
        <f>August!E11</f>
        <v>4</v>
      </c>
      <c r="E10" s="1">
        <f>August!F11</f>
        <v>3</v>
      </c>
      <c r="F10" s="1">
        <f>August!G11</f>
        <v>3</v>
      </c>
      <c r="G10" s="1">
        <f>August!H11</f>
        <v>2</v>
      </c>
      <c r="H10" s="1">
        <f>August!I11</f>
        <v>2</v>
      </c>
      <c r="I10" s="1">
        <f>August!J11</f>
        <v>1</v>
      </c>
      <c r="J10" s="1">
        <f>August!K11</f>
        <v>1</v>
      </c>
      <c r="K10" s="1">
        <f>August!L11</f>
        <v>8</v>
      </c>
      <c r="M10" s="2">
        <f t="shared" ref="M10:O10" si="19">F10/$K10</f>
        <v>0.375</v>
      </c>
      <c r="N10" s="2">
        <f t="shared" si="19"/>
        <v>0.25</v>
      </c>
      <c r="O10" s="2">
        <f t="shared" si="19"/>
        <v>0.25</v>
      </c>
      <c r="P10" s="2">
        <f t="shared" ref="P10:Q10" si="20">G10/$F10</f>
        <v>0.66666666666666663</v>
      </c>
      <c r="Q10" s="2">
        <f t="shared" si="20"/>
        <v>0.66666666666666663</v>
      </c>
      <c r="R10" s="2">
        <f t="shared" si="2"/>
        <v>0.33333333333333331</v>
      </c>
      <c r="S10" s="2">
        <f t="shared" si="3"/>
        <v>0.33333333333333331</v>
      </c>
      <c r="T10" s="3">
        <f t="shared" si="4"/>
        <v>0.10526315789473684</v>
      </c>
      <c r="U10" s="3">
        <f t="shared" si="5"/>
        <v>0.8</v>
      </c>
      <c r="V10" s="2">
        <f t="shared" si="6"/>
        <v>0.6</v>
      </c>
    </row>
    <row r="11" spans="1:22" ht="15.75" customHeight="1">
      <c r="A11" s="1" t="s">
        <v>27</v>
      </c>
      <c r="B11" s="1">
        <f>September!C13</f>
        <v>56</v>
      </c>
      <c r="C11" s="1">
        <f>September!D13</f>
        <v>23</v>
      </c>
      <c r="D11" s="1">
        <f>September!E13</f>
        <v>13</v>
      </c>
      <c r="E11" s="1">
        <f>September!F13</f>
        <v>8</v>
      </c>
      <c r="F11" s="1">
        <f>September!G13</f>
        <v>8</v>
      </c>
      <c r="G11" s="1">
        <f>September!H13</f>
        <v>4</v>
      </c>
      <c r="H11" s="1">
        <f>September!I13</f>
        <v>2</v>
      </c>
      <c r="I11" s="1">
        <f>September!J13</f>
        <v>2</v>
      </c>
      <c r="J11" s="1">
        <f>September!K13</f>
        <v>0</v>
      </c>
      <c r="K11" s="1">
        <f>September!L13</f>
        <v>10</v>
      </c>
      <c r="M11" s="2">
        <f t="shared" ref="M11:O11" si="21">F11/$K11</f>
        <v>0.8</v>
      </c>
      <c r="N11" s="2">
        <f t="shared" si="21"/>
        <v>0.4</v>
      </c>
      <c r="O11" s="2">
        <f t="shared" si="21"/>
        <v>0.2</v>
      </c>
      <c r="P11" s="2">
        <f t="shared" ref="P11:Q11" si="22">G11/$F11</f>
        <v>0.5</v>
      </c>
      <c r="Q11" s="2">
        <f t="shared" si="22"/>
        <v>0.25</v>
      </c>
      <c r="R11" s="2">
        <f t="shared" si="2"/>
        <v>0.25</v>
      </c>
      <c r="S11" s="2">
        <f t="shared" si="3"/>
        <v>0</v>
      </c>
      <c r="T11" s="3">
        <f t="shared" si="4"/>
        <v>0.23214285714285715</v>
      </c>
      <c r="U11" s="3">
        <f t="shared" si="5"/>
        <v>0.56521739130434778</v>
      </c>
      <c r="V11" s="2">
        <f t="shared" si="6"/>
        <v>0.34782608695652173</v>
      </c>
    </row>
    <row r="12" spans="1:22" ht="15.75" customHeight="1">
      <c r="A12" s="1" t="s">
        <v>28</v>
      </c>
      <c r="B12" s="1">
        <f>October!C15</f>
        <v>60</v>
      </c>
      <c r="C12" s="1">
        <f>October!D15</f>
        <v>4</v>
      </c>
      <c r="D12" s="1">
        <f>October!E15</f>
        <v>2</v>
      </c>
      <c r="E12" s="1">
        <f>October!F15</f>
        <v>0</v>
      </c>
      <c r="F12" s="1">
        <f>October!G15</f>
        <v>3</v>
      </c>
      <c r="G12" s="1">
        <f>October!H15</f>
        <v>2</v>
      </c>
      <c r="H12" s="1">
        <f>October!I15</f>
        <v>1</v>
      </c>
      <c r="I12" s="1">
        <f>October!J15</f>
        <v>0</v>
      </c>
      <c r="J12" s="1">
        <f>October!K15</f>
        <v>0</v>
      </c>
      <c r="K12" s="1">
        <f>October!L15</f>
        <v>12</v>
      </c>
      <c r="M12" s="2">
        <f t="shared" ref="M12:O12" si="23">F12/$K12</f>
        <v>0.25</v>
      </c>
      <c r="N12" s="2">
        <f t="shared" si="23"/>
        <v>0.16666666666666666</v>
      </c>
      <c r="O12" s="2">
        <f t="shared" si="23"/>
        <v>8.3333333333333329E-2</v>
      </c>
      <c r="P12" s="2">
        <f t="shared" ref="P12:Q12" si="24">G12/$F12</f>
        <v>0.66666666666666663</v>
      </c>
      <c r="Q12" s="2">
        <f t="shared" si="24"/>
        <v>0.33333333333333331</v>
      </c>
      <c r="R12" s="2">
        <f t="shared" si="2"/>
        <v>0</v>
      </c>
      <c r="S12" s="2">
        <f t="shared" si="3"/>
        <v>0</v>
      </c>
      <c r="T12" s="3">
        <f t="shared" si="4"/>
        <v>3.3333333333333333E-2</v>
      </c>
      <c r="U12" s="3">
        <f t="shared" si="5"/>
        <v>0.5</v>
      </c>
      <c r="V12" s="2">
        <f t="shared" si="6"/>
        <v>0</v>
      </c>
    </row>
    <row r="13" spans="1:22" ht="15.75" customHeight="1">
      <c r="A13" s="1" t="s">
        <v>29</v>
      </c>
      <c r="B13" s="1">
        <f>November!C12</f>
        <v>35</v>
      </c>
      <c r="C13" s="1">
        <f>November!D12</f>
        <v>15</v>
      </c>
      <c r="D13" s="1">
        <f>November!E12</f>
        <v>10</v>
      </c>
      <c r="E13" s="1">
        <f>November!F12</f>
        <v>4</v>
      </c>
      <c r="F13" s="1">
        <f>November!G12</f>
        <v>7</v>
      </c>
      <c r="G13" s="1">
        <f>November!H12</f>
        <v>4</v>
      </c>
      <c r="H13" s="1">
        <f>November!I12</f>
        <v>3</v>
      </c>
      <c r="I13" s="1">
        <f>November!J12</f>
        <v>1</v>
      </c>
      <c r="J13" s="1">
        <f>November!K12</f>
        <v>0</v>
      </c>
      <c r="K13" s="1">
        <f>November!L12</f>
        <v>9</v>
      </c>
      <c r="M13" s="2">
        <f t="shared" ref="M13:O13" si="25">F13/$K13</f>
        <v>0.77777777777777779</v>
      </c>
      <c r="N13" s="2">
        <f t="shared" si="25"/>
        <v>0.44444444444444442</v>
      </c>
      <c r="O13" s="2">
        <f t="shared" si="25"/>
        <v>0.33333333333333331</v>
      </c>
      <c r="P13" s="2">
        <f t="shared" ref="P13:Q13" si="26">G13/$F13</f>
        <v>0.5714285714285714</v>
      </c>
      <c r="Q13" s="2">
        <f t="shared" si="26"/>
        <v>0.42857142857142855</v>
      </c>
      <c r="R13" s="2">
        <f t="shared" si="2"/>
        <v>0.14285714285714285</v>
      </c>
      <c r="S13" s="2">
        <f t="shared" si="3"/>
        <v>0</v>
      </c>
      <c r="T13" s="3">
        <f t="shared" si="4"/>
        <v>0.2857142857142857</v>
      </c>
      <c r="U13" s="3">
        <f t="shared" si="5"/>
        <v>0.66666666666666663</v>
      </c>
      <c r="V13" s="2">
        <f t="shared" si="6"/>
        <v>0.26666666666666666</v>
      </c>
    </row>
    <row r="14" spans="1:22" ht="15.75" customHeight="1">
      <c r="A14" s="1" t="s">
        <v>30</v>
      </c>
      <c r="B14" s="1">
        <f>December!C15</f>
        <v>65</v>
      </c>
      <c r="C14" s="1">
        <f>December!D15</f>
        <v>21</v>
      </c>
      <c r="D14" s="1">
        <f>December!E15</f>
        <v>10</v>
      </c>
      <c r="E14" s="1">
        <f>December!F15</f>
        <v>4</v>
      </c>
      <c r="F14" s="1">
        <f>December!G15</f>
        <v>11</v>
      </c>
      <c r="G14" s="1">
        <f>December!H15</f>
        <v>6</v>
      </c>
      <c r="H14" s="1">
        <f>December!I15</f>
        <v>5</v>
      </c>
      <c r="I14" s="1">
        <f>December!J15</f>
        <v>2</v>
      </c>
      <c r="J14" s="1">
        <f>December!K15</f>
        <v>1</v>
      </c>
      <c r="K14" s="1">
        <f>December!L15</f>
        <v>12</v>
      </c>
      <c r="M14" s="2">
        <f t="shared" ref="M14:O14" si="27">F14/$K14</f>
        <v>0.91666666666666663</v>
      </c>
      <c r="N14" s="2">
        <f t="shared" si="27"/>
        <v>0.5</v>
      </c>
      <c r="O14" s="2">
        <f t="shared" si="27"/>
        <v>0.41666666666666669</v>
      </c>
      <c r="P14" s="2">
        <f t="shared" ref="P14:Q14" si="28">G14/$F14</f>
        <v>0.54545454545454541</v>
      </c>
      <c r="Q14" s="2">
        <f t="shared" si="28"/>
        <v>0.45454545454545453</v>
      </c>
      <c r="R14" s="2">
        <f t="shared" si="2"/>
        <v>0.18181818181818182</v>
      </c>
      <c r="S14" s="2">
        <f t="shared" si="3"/>
        <v>9.0909090909090912E-2</v>
      </c>
      <c r="T14" s="3">
        <f t="shared" si="4"/>
        <v>0.15384615384615385</v>
      </c>
      <c r="U14" s="3">
        <f t="shared" si="5"/>
        <v>0.47619047619047616</v>
      </c>
      <c r="V14" s="2">
        <f t="shared" si="6"/>
        <v>0.19047619047619047</v>
      </c>
    </row>
    <row r="15" spans="1:22" ht="15.75" customHeight="1">
      <c r="A15" s="1" t="s">
        <v>31</v>
      </c>
      <c r="B15" s="1">
        <f t="shared" ref="B15:K15" si="29">SUM(B3:B14)</f>
        <v>743</v>
      </c>
      <c r="C15" s="1">
        <f t="shared" si="29"/>
        <v>177</v>
      </c>
      <c r="D15" s="1">
        <f t="shared" si="29"/>
        <v>107</v>
      </c>
      <c r="E15" s="1">
        <f t="shared" si="29"/>
        <v>38</v>
      </c>
      <c r="F15" s="1">
        <f t="shared" si="29"/>
        <v>84</v>
      </c>
      <c r="G15" s="1">
        <f t="shared" si="29"/>
        <v>51</v>
      </c>
      <c r="H15" s="1">
        <f t="shared" si="29"/>
        <v>39</v>
      </c>
      <c r="I15" s="1">
        <f t="shared" si="29"/>
        <v>14</v>
      </c>
      <c r="J15" s="1">
        <f t="shared" si="29"/>
        <v>9</v>
      </c>
      <c r="K15" s="1">
        <f t="shared" si="29"/>
        <v>145</v>
      </c>
      <c r="M15" s="2">
        <f t="shared" ref="M15:O15" si="30">F15/$K15</f>
        <v>0.57931034482758625</v>
      </c>
      <c r="N15" s="2">
        <f t="shared" si="30"/>
        <v>0.35172413793103446</v>
      </c>
      <c r="O15" s="2">
        <f t="shared" si="30"/>
        <v>0.26896551724137929</v>
      </c>
      <c r="P15" s="2">
        <f t="shared" ref="P15:Q15" si="31">G15/$F15</f>
        <v>0.6071428571428571</v>
      </c>
      <c r="Q15" s="2">
        <f t="shared" si="31"/>
        <v>0.4642857142857143</v>
      </c>
      <c r="R15" s="2">
        <f t="shared" si="2"/>
        <v>0.16666666666666666</v>
      </c>
      <c r="S15" s="2">
        <f t="shared" si="3"/>
        <v>0.10714285714285714</v>
      </c>
      <c r="T15" s="3">
        <f t="shared" si="4"/>
        <v>0.14401076716016151</v>
      </c>
      <c r="U15" s="3">
        <f t="shared" si="5"/>
        <v>0.60451977401129942</v>
      </c>
      <c r="V15" s="2">
        <f t="shared" si="6"/>
        <v>0.21468926553672316</v>
      </c>
    </row>
    <row r="17" spans="1:3" ht="15.75" customHeight="1">
      <c r="B17" s="1"/>
    </row>
    <row r="23" spans="1:3" ht="15.75" customHeight="1">
      <c r="B23" s="4"/>
      <c r="C23" s="4"/>
    </row>
    <row r="24" spans="1:3" ht="15.75" customHeight="1">
      <c r="B24" s="4"/>
      <c r="C24" s="4"/>
    </row>
    <row r="25" spans="1:3" ht="15.75" customHeight="1">
      <c r="B25" s="4"/>
      <c r="C25" s="4"/>
    </row>
    <row r="26" spans="1:3" ht="15.75" customHeight="1">
      <c r="B26" s="4"/>
      <c r="C26" s="4"/>
    </row>
    <row r="27" spans="1:3" ht="15.75" customHeight="1">
      <c r="A2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6"/>
  <sheetViews>
    <sheetView workbookViewId="0">
      <selection activeCell="A35" sqref="A35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43</v>
      </c>
      <c r="B3" s="1"/>
      <c r="C3" s="1">
        <v>2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44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12" si="0">D4&gt;0</f>
        <v>0</v>
      </c>
      <c r="H4" s="1" t="b">
        <f t="shared" ref="H4:H12" si="1">E4&gt;0</f>
        <v>0</v>
      </c>
      <c r="I4" s="1" t="b">
        <f t="shared" ref="I4:I12" si="2">AND(G4,(D4=E4))</f>
        <v>0</v>
      </c>
      <c r="J4" s="1" t="b">
        <f t="shared" ref="J4:J12" si="3">(F4&gt;0)</f>
        <v>0</v>
      </c>
      <c r="K4" s="1" t="b">
        <f t="shared" ref="K4:K12" si="4">AND(I4,(E4=F4))</f>
        <v>0</v>
      </c>
    </row>
    <row r="5" spans="1:12" ht="15.75" customHeight="1">
      <c r="A5" s="1" t="s">
        <v>45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46</v>
      </c>
      <c r="B6" s="1"/>
      <c r="C6" s="1">
        <v>6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47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48</v>
      </c>
      <c r="B8" s="1"/>
      <c r="C8" s="1">
        <v>9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49</v>
      </c>
      <c r="B9" s="1"/>
      <c r="C9" s="1">
        <v>6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50</v>
      </c>
      <c r="B10" s="1"/>
      <c r="C10" s="1">
        <v>20</v>
      </c>
      <c r="D10" s="1">
        <v>4</v>
      </c>
      <c r="E10" s="1">
        <v>4</v>
      </c>
      <c r="F10" s="1">
        <v>4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2" ht="15.75" customHeight="1">
      <c r="A11" s="1" t="s">
        <v>51</v>
      </c>
      <c r="B11" s="1"/>
      <c r="C11" s="1">
        <v>11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52</v>
      </c>
      <c r="B12" s="1"/>
      <c r="C12" s="1">
        <v>7</v>
      </c>
      <c r="D12" s="1">
        <v>2</v>
      </c>
      <c r="E12" s="1">
        <v>1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1</v>
      </c>
      <c r="K12" s="1" t="b">
        <f t="shared" si="4"/>
        <v>0</v>
      </c>
    </row>
    <row r="13" spans="1:12" ht="15.75" customHeight="1">
      <c r="B13" s="1" t="s">
        <v>53</v>
      </c>
      <c r="C13" s="1">
        <f>SUM(C2:C12)</f>
        <v>73</v>
      </c>
      <c r="D13" s="1">
        <f>SUM(D2:D12)</f>
        <v>10</v>
      </c>
      <c r="E13" s="1">
        <f>SUM(E2:E12)</f>
        <v>8</v>
      </c>
      <c r="F13" s="1">
        <f>SUM(F2:F12)</f>
        <v>5</v>
      </c>
      <c r="G13" s="1">
        <f>COUNTIF(G3:G12,"TRUE")</f>
        <v>5</v>
      </c>
      <c r="H13" s="1">
        <f>COUNTIF(H3:H12,"TRUE")</f>
        <v>4</v>
      </c>
      <c r="I13" s="1">
        <f>COUNTIF(I3:I12,"TRUE")</f>
        <v>3</v>
      </c>
      <c r="J13" s="1">
        <f>COUNTIF(J3:J12,"TRUE")</f>
        <v>2</v>
      </c>
      <c r="K13" s="1">
        <f>COUNTIF(K3:K12,"TRUE")</f>
        <v>1</v>
      </c>
      <c r="L13" s="6">
        <f>COUNTA(E3:E12)</f>
        <v>10</v>
      </c>
    </row>
    <row r="14" spans="1:12" ht="15.75" customHeight="1">
      <c r="E14" s="1" t="s">
        <v>3</v>
      </c>
      <c r="F14" s="2"/>
      <c r="G14" s="2">
        <f>G13/L13</f>
        <v>0.5</v>
      </c>
      <c r="H14" s="2">
        <f>H13/L13</f>
        <v>0.4</v>
      </c>
      <c r="I14" s="2">
        <f>I13/L13</f>
        <v>0.3</v>
      </c>
      <c r="J14" s="2">
        <f>J13/L13</f>
        <v>0.2</v>
      </c>
      <c r="K14" s="2">
        <f>K13/L13</f>
        <v>0.1</v>
      </c>
    </row>
    <row r="15" spans="1:12" ht="15.75" customHeight="1">
      <c r="E15" s="1" t="s">
        <v>54</v>
      </c>
      <c r="F15" s="2"/>
      <c r="G15" s="2"/>
      <c r="H15" s="2">
        <f>H13/G13</f>
        <v>0.8</v>
      </c>
      <c r="I15" s="2">
        <f>I13/G13</f>
        <v>0.6</v>
      </c>
      <c r="J15" s="2">
        <f>J13/G13</f>
        <v>0.4</v>
      </c>
      <c r="K15" s="2">
        <f>K13/G13</f>
        <v>0.2</v>
      </c>
    </row>
    <row r="16" spans="1:12" ht="15.75" customHeight="1">
      <c r="E16" s="1" t="s">
        <v>55</v>
      </c>
      <c r="F16" s="2"/>
      <c r="G16" s="2">
        <f>E13/C13</f>
        <v>0.1095890410958904</v>
      </c>
      <c r="H16" s="2">
        <f>E13/D13</f>
        <v>0.8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6"/>
  <sheetViews>
    <sheetView workbookViewId="0">
      <selection activeCell="A13" sqref="A13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56</v>
      </c>
      <c r="B3" s="1"/>
      <c r="C3" s="1">
        <v>4</v>
      </c>
      <c r="D3" s="1">
        <v>4</v>
      </c>
      <c r="E3" s="1">
        <v>4</v>
      </c>
      <c r="F3" s="1">
        <v>4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2" ht="15.75" customHeight="1">
      <c r="A4" s="1" t="s">
        <v>57</v>
      </c>
      <c r="B4" s="1"/>
      <c r="C4" s="1">
        <v>6</v>
      </c>
      <c r="D4" s="1">
        <v>3</v>
      </c>
      <c r="E4" s="1">
        <v>0</v>
      </c>
      <c r="F4" s="1">
        <v>0</v>
      </c>
      <c r="G4" s="1" t="b">
        <f t="shared" ref="G4:G12" si="0">D4&gt;0</f>
        <v>1</v>
      </c>
      <c r="H4" s="1" t="b">
        <f t="shared" ref="H4:H12" si="1">E4&gt;0</f>
        <v>0</v>
      </c>
      <c r="I4" s="1" t="b">
        <f t="shared" ref="I4:I12" si="2">AND(G4,(D4=E4))</f>
        <v>0</v>
      </c>
      <c r="J4" s="1" t="b">
        <f t="shared" ref="J4:J12" si="3">(F4&gt;0)</f>
        <v>0</v>
      </c>
      <c r="K4" s="1" t="b">
        <f t="shared" ref="K4:K12" si="4">AND(I4,(E4=F4))</f>
        <v>0</v>
      </c>
    </row>
    <row r="5" spans="1:12" ht="15.75" customHeight="1">
      <c r="A5" s="1" t="s">
        <v>58</v>
      </c>
      <c r="B5" s="1"/>
      <c r="C5" s="1">
        <v>4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59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60</v>
      </c>
      <c r="B7" s="1"/>
      <c r="C7" s="1">
        <v>5</v>
      </c>
      <c r="D7" s="1">
        <v>3</v>
      </c>
      <c r="E7" s="1">
        <v>3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61</v>
      </c>
      <c r="B8" s="1"/>
      <c r="C8" s="1">
        <v>5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2" ht="15.75" customHeight="1">
      <c r="A9" s="1" t="s">
        <v>62</v>
      </c>
      <c r="B9" s="1"/>
      <c r="C9" s="1">
        <v>7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63</v>
      </c>
      <c r="B10" s="1"/>
      <c r="C10" s="1">
        <v>3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64</v>
      </c>
      <c r="B11" s="1"/>
      <c r="C11" s="1">
        <v>7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65</v>
      </c>
      <c r="B12" s="1"/>
      <c r="C12" s="1">
        <v>9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B13" s="1" t="s">
        <v>53</v>
      </c>
      <c r="C13" s="1">
        <f>SUM(C2:C12)</f>
        <v>55</v>
      </c>
      <c r="D13" s="1">
        <f>SUM(D2:D12)</f>
        <v>12</v>
      </c>
      <c r="E13" s="1">
        <f>SUM(E2:E12)</f>
        <v>9</v>
      </c>
      <c r="F13" s="1">
        <f>SUM(F2:F12)</f>
        <v>5</v>
      </c>
      <c r="G13" s="1">
        <f>COUNTIF(G3:G12,"TRUE")</f>
        <v>5</v>
      </c>
      <c r="H13" s="1">
        <f>COUNTIF(H3:H12,"TRUE")</f>
        <v>4</v>
      </c>
      <c r="I13" s="1">
        <f>COUNTIF(I3:I12,"TRUE")</f>
        <v>4</v>
      </c>
      <c r="J13" s="1">
        <f>COUNTIF(J3:J12,"TRUE")</f>
        <v>2</v>
      </c>
      <c r="K13" s="1">
        <f>COUNTIF(K3:K12,"TRUE")</f>
        <v>2</v>
      </c>
      <c r="L13" s="6">
        <f>COUNTA(E3:E12)</f>
        <v>10</v>
      </c>
    </row>
    <row r="14" spans="1:12" ht="15.75" customHeight="1">
      <c r="E14" s="1" t="s">
        <v>3</v>
      </c>
      <c r="F14" s="2"/>
      <c r="G14" s="2">
        <f>G13/L13</f>
        <v>0.5</v>
      </c>
      <c r="H14" s="2">
        <f>H13/L13</f>
        <v>0.4</v>
      </c>
      <c r="I14" s="2">
        <f>I13/L13</f>
        <v>0.4</v>
      </c>
      <c r="J14" s="2">
        <f>J13/L13</f>
        <v>0.2</v>
      </c>
      <c r="K14" s="2">
        <f>K13/L13</f>
        <v>0.2</v>
      </c>
    </row>
    <row r="15" spans="1:12" ht="15.75" customHeight="1">
      <c r="E15" s="1" t="s">
        <v>54</v>
      </c>
      <c r="F15" s="2"/>
      <c r="G15" s="2"/>
      <c r="H15" s="2">
        <f>H13/G13</f>
        <v>0.8</v>
      </c>
      <c r="I15" s="2">
        <f>I13/G13</f>
        <v>0.8</v>
      </c>
      <c r="J15" s="2">
        <f>J13/G13</f>
        <v>0.4</v>
      </c>
      <c r="K15" s="2">
        <f>K13/G13</f>
        <v>0.4</v>
      </c>
    </row>
    <row r="16" spans="1:12" ht="15.75" customHeight="1">
      <c r="E16" s="1" t="s">
        <v>55</v>
      </c>
      <c r="F16" s="2"/>
      <c r="G16" s="2">
        <f>E13/C13</f>
        <v>0.16363636363636364</v>
      </c>
      <c r="H16" s="2">
        <f>E13/D13</f>
        <v>0.75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3"/>
  <sheetViews>
    <sheetView workbookViewId="0">
      <selection activeCell="A20" sqref="A20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66</v>
      </c>
      <c r="B3" s="1"/>
      <c r="C3" s="1">
        <v>6</v>
      </c>
      <c r="D3" s="1">
        <v>1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67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19" si="0">D4&gt;0</f>
        <v>0</v>
      </c>
      <c r="H4" s="1" t="b">
        <f t="shared" ref="H4:H19" si="1">E4&gt;0</f>
        <v>0</v>
      </c>
      <c r="I4" s="1" t="b">
        <f t="shared" ref="I4:I19" si="2">AND(G4,(D4=E4))</f>
        <v>0</v>
      </c>
      <c r="J4" s="1" t="b">
        <f t="shared" ref="J4:J19" si="3">(F4&gt;0)</f>
        <v>0</v>
      </c>
      <c r="K4" s="1" t="b">
        <f t="shared" ref="K4:K19" si="4">AND(I4,(E4=F4))</f>
        <v>0</v>
      </c>
    </row>
    <row r="5" spans="1:11" ht="15.75" customHeight="1">
      <c r="A5" s="1" t="s">
        <v>68</v>
      </c>
      <c r="B5" s="1"/>
      <c r="C5" s="1">
        <v>4</v>
      </c>
      <c r="D5" s="1">
        <v>4</v>
      </c>
      <c r="E5" s="1">
        <v>4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69</v>
      </c>
      <c r="B6" s="1"/>
      <c r="C6" s="1">
        <v>3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70</v>
      </c>
      <c r="B7" s="1"/>
      <c r="C7" s="1">
        <v>5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71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72</v>
      </c>
      <c r="B9" s="1"/>
      <c r="C9" s="1">
        <v>3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73</v>
      </c>
      <c r="B10" s="1"/>
      <c r="C10" s="1">
        <v>5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74</v>
      </c>
      <c r="B11" s="1"/>
      <c r="C11" s="1">
        <v>7</v>
      </c>
      <c r="D11" s="1">
        <v>2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75</v>
      </c>
      <c r="B12" s="1"/>
      <c r="C12" s="1">
        <v>5</v>
      </c>
      <c r="D12" s="1">
        <v>2</v>
      </c>
      <c r="E12" s="1">
        <v>2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76</v>
      </c>
      <c r="B13" s="1"/>
      <c r="C13" s="1">
        <v>5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77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78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79</v>
      </c>
      <c r="B16" s="1"/>
      <c r="C16" s="1">
        <v>5</v>
      </c>
      <c r="D16" s="1">
        <v>5</v>
      </c>
      <c r="E16" s="1">
        <v>4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80</v>
      </c>
      <c r="B17" s="1"/>
      <c r="C17" s="1">
        <v>4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81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82</v>
      </c>
      <c r="B19" s="1"/>
      <c r="C19" s="1">
        <v>4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B20" s="1" t="s">
        <v>53</v>
      </c>
      <c r="C20" s="1">
        <f>SUM(C2:C19)</f>
        <v>82</v>
      </c>
      <c r="D20" s="1">
        <f>SUM(D2:D19)</f>
        <v>18</v>
      </c>
      <c r="E20" s="1">
        <f>SUM(E2:E19)</f>
        <v>13</v>
      </c>
      <c r="F20" s="1">
        <f>SUM(F2:F19)</f>
        <v>0</v>
      </c>
      <c r="G20" s="1">
        <f>COUNTIF(G3:G19,"TRUE")</f>
        <v>9</v>
      </c>
      <c r="H20" s="1">
        <f>COUNTIF(H3:H19,"TRUE")</f>
        <v>6</v>
      </c>
      <c r="I20" s="1">
        <f>COUNTIF(I3:I19,"TRUE")</f>
        <v>5</v>
      </c>
      <c r="J20" s="1">
        <f>COUNTIF(J3:J19,"TRUE")</f>
        <v>0</v>
      </c>
      <c r="K20" s="1">
        <f>COUNTIF(K3:K19,"TRUE")</f>
        <v>0</v>
      </c>
      <c r="L20" s="6">
        <f>COUNTA(E3:E19)</f>
        <v>17</v>
      </c>
    </row>
    <row r="21" spans="1:12" ht="15.75" customHeight="1">
      <c r="E21" s="1" t="s">
        <v>3</v>
      </c>
      <c r="F21" s="2"/>
      <c r="G21" s="2">
        <f>G20/L20</f>
        <v>0.52941176470588236</v>
      </c>
      <c r="H21" s="2">
        <f>H20/L20</f>
        <v>0.35294117647058826</v>
      </c>
      <c r="I21" s="2">
        <f>I20/L20</f>
        <v>0.29411764705882354</v>
      </c>
      <c r="J21" s="2">
        <f>J20/L20</f>
        <v>0</v>
      </c>
      <c r="K21" s="2">
        <f>K20/L20</f>
        <v>0</v>
      </c>
    </row>
    <row r="22" spans="1:12" ht="15.75" customHeight="1">
      <c r="E22" s="1" t="s">
        <v>54</v>
      </c>
      <c r="F22" s="2"/>
      <c r="G22" s="2"/>
      <c r="H22" s="2">
        <f>H20/G20</f>
        <v>0.66666666666666663</v>
      </c>
      <c r="I22" s="2">
        <f>I20/G20</f>
        <v>0.55555555555555558</v>
      </c>
      <c r="J22" s="2">
        <f>J20/G20</f>
        <v>0</v>
      </c>
      <c r="K22" s="2">
        <f>K20/G20</f>
        <v>0</v>
      </c>
    </row>
    <row r="23" spans="1:12" ht="15.75" customHeight="1">
      <c r="E23" s="1" t="s">
        <v>55</v>
      </c>
      <c r="F23" s="2"/>
      <c r="G23" s="2">
        <f>E20/C20</f>
        <v>0.15853658536585366</v>
      </c>
      <c r="H23" s="2">
        <f>E20/D20</f>
        <v>0.72222222222222221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2"/>
  <sheetViews>
    <sheetView workbookViewId="0">
      <selection activeCell="A19" sqref="A19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83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84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18" si="0">D4&gt;0</f>
        <v>0</v>
      </c>
      <c r="H4" s="1" t="b">
        <f t="shared" ref="H4:H18" si="1">E4&gt;0</f>
        <v>0</v>
      </c>
      <c r="I4" s="1" t="b">
        <f t="shared" ref="I4:I18" si="2">AND(G4,(D4=E4))</f>
        <v>0</v>
      </c>
      <c r="J4" s="1" t="b">
        <f t="shared" ref="J4:J18" si="3">(F4&gt;0)</f>
        <v>0</v>
      </c>
      <c r="K4" s="1" t="b">
        <f t="shared" ref="K4:K18" si="4">AND(I4,(E4=F4))</f>
        <v>0</v>
      </c>
    </row>
    <row r="5" spans="1:11" ht="15.75" customHeight="1">
      <c r="A5" s="1" t="s">
        <v>85</v>
      </c>
      <c r="B5" s="1"/>
      <c r="C5" s="1">
        <v>2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86</v>
      </c>
      <c r="B6" s="1"/>
      <c r="C6" s="1">
        <v>1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87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88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89</v>
      </c>
      <c r="B9" s="1"/>
      <c r="C9" s="1">
        <v>3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90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91</v>
      </c>
      <c r="B11" s="1"/>
      <c r="C11" s="1">
        <v>5</v>
      </c>
      <c r="D11" s="1">
        <v>4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92</v>
      </c>
      <c r="B12" s="1"/>
      <c r="C12" s="1">
        <v>5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93</v>
      </c>
      <c r="B13" s="1"/>
      <c r="C13" s="1">
        <v>6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94</v>
      </c>
      <c r="B14" s="1"/>
      <c r="C14" s="1">
        <v>5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95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96</v>
      </c>
      <c r="B16" s="1"/>
      <c r="C16" s="1">
        <v>5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97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98</v>
      </c>
      <c r="B18" s="1"/>
      <c r="C18" s="1">
        <v>7</v>
      </c>
      <c r="D18" s="1">
        <v>1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B19" s="1" t="s">
        <v>53</v>
      </c>
      <c r="C19" s="1">
        <f>SUM(C2:C18)</f>
        <v>74</v>
      </c>
      <c r="D19" s="1">
        <f>SUM(D2:D18)</f>
        <v>10</v>
      </c>
      <c r="E19" s="1">
        <f>SUM(E2:E18)</f>
        <v>4</v>
      </c>
      <c r="F19" s="1">
        <f>SUM(F2:F18)</f>
        <v>1</v>
      </c>
      <c r="G19" s="1">
        <f>COUNTIF(G3:G18,"TRUE")</f>
        <v>7</v>
      </c>
      <c r="H19" s="1">
        <f>COUNTIF(H3:H18,"TRUE")</f>
        <v>4</v>
      </c>
      <c r="I19" s="1">
        <f>COUNTIF(I3:I18,"TRUE")</f>
        <v>4</v>
      </c>
      <c r="J19" s="1">
        <f>COUNTIF(J3:J18,"TRUE")</f>
        <v>1</v>
      </c>
      <c r="K19" s="1">
        <f>COUNTIF(K3:K18,"TRUE")</f>
        <v>1</v>
      </c>
      <c r="L19" s="6">
        <f>COUNTA(E3:E18)</f>
        <v>16</v>
      </c>
    </row>
    <row r="20" spans="1:12" ht="15.75" customHeight="1">
      <c r="E20" s="1" t="s">
        <v>3</v>
      </c>
      <c r="F20" s="2"/>
      <c r="G20" s="2">
        <f>G19/L19</f>
        <v>0.4375</v>
      </c>
      <c r="H20" s="2">
        <f>H19/L19</f>
        <v>0.25</v>
      </c>
      <c r="I20" s="2">
        <f>I19/L19</f>
        <v>0.25</v>
      </c>
      <c r="J20" s="2">
        <f>J19/L19</f>
        <v>6.25E-2</v>
      </c>
      <c r="K20" s="2">
        <f>K19/L19</f>
        <v>6.25E-2</v>
      </c>
    </row>
    <row r="21" spans="1:12" ht="15.75" customHeight="1">
      <c r="E21" s="1" t="s">
        <v>54</v>
      </c>
      <c r="F21" s="2"/>
      <c r="G21" s="2"/>
      <c r="H21" s="2">
        <f>H19/G19</f>
        <v>0.5714285714285714</v>
      </c>
      <c r="I21" s="2">
        <f>I19/G19</f>
        <v>0.5714285714285714</v>
      </c>
      <c r="J21" s="2">
        <f>J19/G19</f>
        <v>0.14285714285714285</v>
      </c>
      <c r="K21" s="2">
        <f>K19/G19</f>
        <v>0.14285714285714285</v>
      </c>
    </row>
    <row r="22" spans="1:12" ht="15.75" customHeight="1">
      <c r="E22" s="1" t="s">
        <v>55</v>
      </c>
      <c r="F22" s="2"/>
      <c r="G22" s="2">
        <f>E19/C19</f>
        <v>5.4054054054054057E-2</v>
      </c>
      <c r="H22" s="2">
        <f>E19/D19</f>
        <v>0.4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3"/>
  <sheetViews>
    <sheetView workbookViewId="0">
      <selection activeCell="A20" sqref="A20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5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99</v>
      </c>
      <c r="B3" s="1"/>
      <c r="C3" s="1">
        <v>7</v>
      </c>
      <c r="D3" s="1">
        <v>6</v>
      </c>
      <c r="E3" s="1">
        <v>6</v>
      </c>
      <c r="F3" s="1">
        <v>6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100</v>
      </c>
      <c r="B4" s="1"/>
      <c r="C4" s="1">
        <v>5</v>
      </c>
      <c r="D4" s="1">
        <v>1</v>
      </c>
      <c r="E4" s="1">
        <v>0</v>
      </c>
      <c r="F4" s="1">
        <v>0</v>
      </c>
      <c r="G4" s="1" t="b">
        <f t="shared" ref="G4:G19" si="0">D4&gt;0</f>
        <v>1</v>
      </c>
      <c r="H4" s="1" t="b">
        <f t="shared" ref="H4:H19" si="1">E4&gt;0</f>
        <v>0</v>
      </c>
      <c r="I4" s="1" t="b">
        <f t="shared" ref="I4:I19" si="2">AND(G4,(D4=E4))</f>
        <v>0</v>
      </c>
      <c r="J4" s="1" t="b">
        <f t="shared" ref="J4:J19" si="3">(F4&gt;0)</f>
        <v>0</v>
      </c>
      <c r="K4" s="1" t="b">
        <f t="shared" ref="K4:K19" si="4">AND(I4,(E4=F4))</f>
        <v>0</v>
      </c>
    </row>
    <row r="5" spans="1:11" ht="15.75" customHeight="1">
      <c r="A5" s="1" t="s">
        <v>101</v>
      </c>
      <c r="B5" s="1"/>
      <c r="C5" s="1">
        <v>5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102</v>
      </c>
      <c r="B6" s="1"/>
      <c r="C6" s="1">
        <v>1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103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104</v>
      </c>
      <c r="B8" s="1"/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105</v>
      </c>
      <c r="B9" s="1"/>
      <c r="C9" s="1">
        <v>6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106</v>
      </c>
      <c r="B10" s="1"/>
      <c r="C10" s="1">
        <v>5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107</v>
      </c>
      <c r="B11" s="1"/>
      <c r="C11" s="1">
        <v>5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108</v>
      </c>
      <c r="B12" s="1"/>
      <c r="C12" s="1">
        <v>6</v>
      </c>
      <c r="D12" s="1">
        <v>5</v>
      </c>
      <c r="E12" s="1">
        <v>5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109</v>
      </c>
      <c r="B13" s="1"/>
      <c r="C13" s="1">
        <v>9</v>
      </c>
      <c r="D13" s="1">
        <v>2</v>
      </c>
      <c r="E13" s="1">
        <v>2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110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111</v>
      </c>
      <c r="B15" s="1"/>
      <c r="C15" s="1">
        <v>7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112</v>
      </c>
      <c r="B16" s="1"/>
      <c r="C16" s="1">
        <v>7</v>
      </c>
      <c r="D16" s="1">
        <v>5</v>
      </c>
      <c r="E16" s="1">
        <v>3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113</v>
      </c>
      <c r="B17" s="1"/>
      <c r="C17" s="1">
        <v>8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114</v>
      </c>
      <c r="B18" s="1"/>
      <c r="C18" s="1">
        <v>7</v>
      </c>
      <c r="D18" s="1">
        <v>4</v>
      </c>
      <c r="E18" s="1">
        <v>3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115</v>
      </c>
      <c r="B19" s="1"/>
      <c r="C19" s="1">
        <v>2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B20" s="1" t="s">
        <v>53</v>
      </c>
      <c r="C20" s="1">
        <f>SUM(C2:C19)</f>
        <v>98</v>
      </c>
      <c r="D20" s="1">
        <f>SUM(D2:D19)</f>
        <v>31</v>
      </c>
      <c r="E20" s="1">
        <f>SUM(E2:E19)</f>
        <v>21</v>
      </c>
      <c r="F20" s="1">
        <f>SUM(F2:F19)</f>
        <v>6</v>
      </c>
      <c r="G20" s="1">
        <f>COUNTIF(G3:G19,"TRUE")</f>
        <v>12</v>
      </c>
      <c r="H20" s="1">
        <f>COUNTIF(H3:H19,"TRUE")</f>
        <v>6</v>
      </c>
      <c r="I20" s="1">
        <f>COUNTIF(I3:I19,"TRUE")</f>
        <v>4</v>
      </c>
      <c r="J20" s="1">
        <f>COUNTIF(J3:J19,"TRUE")</f>
        <v>1</v>
      </c>
      <c r="K20" s="1">
        <f>COUNTIF(K3:K19,"TRUE")</f>
        <v>1</v>
      </c>
      <c r="L20" s="6">
        <f>COUNTA(E3:E19)</f>
        <v>17</v>
      </c>
    </row>
    <row r="21" spans="1:12" ht="15.75" customHeight="1">
      <c r="E21" s="1" t="s">
        <v>3</v>
      </c>
      <c r="F21" s="2"/>
      <c r="G21" s="2">
        <f>G20/L20</f>
        <v>0.70588235294117652</v>
      </c>
      <c r="H21" s="2">
        <f>H20/L20</f>
        <v>0.35294117647058826</v>
      </c>
      <c r="I21" s="2">
        <f>I20/L20</f>
        <v>0.23529411764705882</v>
      </c>
      <c r="J21" s="2">
        <f>J20/L20</f>
        <v>5.8823529411764705E-2</v>
      </c>
      <c r="K21" s="2">
        <f>K20/L20</f>
        <v>5.8823529411764705E-2</v>
      </c>
    </row>
    <row r="22" spans="1:12" ht="15.75" customHeight="1">
      <c r="E22" s="1" t="s">
        <v>54</v>
      </c>
      <c r="F22" s="2"/>
      <c r="G22" s="2"/>
      <c r="H22" s="2">
        <f>H20/G20</f>
        <v>0.5</v>
      </c>
      <c r="I22" s="2">
        <f>I20/G20</f>
        <v>0.33333333333333331</v>
      </c>
      <c r="J22" s="2">
        <f>J20/G20</f>
        <v>8.3333333333333329E-2</v>
      </c>
      <c r="K22" s="2">
        <f>K20/G20</f>
        <v>8.3333333333333329E-2</v>
      </c>
    </row>
    <row r="23" spans="1:12" ht="15.75" customHeight="1">
      <c r="E23" s="1" t="s">
        <v>55</v>
      </c>
      <c r="F23" s="2"/>
      <c r="G23" s="2">
        <f>E20/C20</f>
        <v>0.21428571428571427</v>
      </c>
      <c r="H23" s="2">
        <f>E20/D20</f>
        <v>0.67741935483870963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8"/>
  <sheetViews>
    <sheetView workbookViewId="0">
      <selection activeCell="A15" sqref="A15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116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117</v>
      </c>
      <c r="B4" s="1"/>
      <c r="C4" s="1">
        <v>5</v>
      </c>
      <c r="D4" s="1">
        <v>4</v>
      </c>
      <c r="E4" s="1">
        <v>4</v>
      </c>
      <c r="F4" s="1">
        <v>0</v>
      </c>
      <c r="G4" s="1" t="b">
        <f t="shared" ref="G4:G14" si="0">D4&gt;0</f>
        <v>1</v>
      </c>
      <c r="H4" s="1" t="b">
        <f t="shared" ref="H4:H14" si="1">E4&gt;0</f>
        <v>1</v>
      </c>
      <c r="I4" s="1" t="b">
        <f t="shared" ref="I4:I14" si="2">AND(G4,(D4=E4))</f>
        <v>1</v>
      </c>
      <c r="J4" s="1" t="b">
        <f t="shared" ref="J4:J14" si="3">(F4&gt;0)</f>
        <v>0</v>
      </c>
      <c r="K4" s="1" t="b">
        <f t="shared" ref="K4:K14" si="4">AND(I4,(E4=F4))</f>
        <v>0</v>
      </c>
    </row>
    <row r="5" spans="1:12" ht="15.75" customHeight="1">
      <c r="A5" s="1" t="s">
        <v>118</v>
      </c>
      <c r="B5" s="1"/>
      <c r="C5" s="1">
        <v>6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119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120</v>
      </c>
      <c r="B7" s="1"/>
      <c r="C7" s="1">
        <v>3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121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122</v>
      </c>
      <c r="B9" s="1"/>
      <c r="C9" s="1">
        <v>4</v>
      </c>
      <c r="D9" s="1">
        <v>2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123</v>
      </c>
      <c r="B10" s="1"/>
      <c r="C10" s="1">
        <v>2</v>
      </c>
      <c r="D10" s="1">
        <v>2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124</v>
      </c>
      <c r="B11" s="1"/>
      <c r="C11" s="1">
        <v>4</v>
      </c>
      <c r="D11" s="1">
        <v>2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125</v>
      </c>
      <c r="B12" s="1"/>
      <c r="C12" s="1">
        <v>7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A13" s="1" t="s">
        <v>126</v>
      </c>
      <c r="B13" s="1"/>
      <c r="C13" s="1">
        <v>5</v>
      </c>
      <c r="D13" s="1">
        <v>2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2" ht="15.75" customHeight="1">
      <c r="A14" s="1" t="s">
        <v>127</v>
      </c>
      <c r="B14" s="1"/>
      <c r="C14" s="1">
        <v>1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2" ht="15.75" customHeight="1">
      <c r="B15" s="1" t="s">
        <v>53</v>
      </c>
      <c r="C15" s="1">
        <f>SUM(C2:C14)</f>
        <v>52</v>
      </c>
      <c r="D15" s="1">
        <f>SUM(D2:D14)</f>
        <v>14</v>
      </c>
      <c r="E15" s="1">
        <f>SUM(E2:E14)</f>
        <v>7</v>
      </c>
      <c r="F15" s="1">
        <f>SUM(F2:F14)</f>
        <v>0</v>
      </c>
      <c r="G15" s="1">
        <f>COUNTIF(G3:G14,"TRUE")</f>
        <v>7</v>
      </c>
      <c r="H15" s="1">
        <f>COUNTIF(H3:H14,"TRUE")</f>
        <v>4</v>
      </c>
      <c r="I15" s="1">
        <f>COUNTIF(I3:I14,"TRUE")</f>
        <v>3</v>
      </c>
      <c r="J15" s="1">
        <f>COUNTIF(J3:J14,"TRUE")</f>
        <v>0</v>
      </c>
      <c r="K15" s="1">
        <f>COUNTIF(K3:K14,"TRUE")</f>
        <v>0</v>
      </c>
      <c r="L15" s="6">
        <f>COUNTA(E3:E14)</f>
        <v>12</v>
      </c>
    </row>
    <row r="16" spans="1:12" ht="15.75" customHeight="1">
      <c r="E16" s="1" t="s">
        <v>3</v>
      </c>
      <c r="F16" s="2"/>
      <c r="G16" s="2">
        <f>G15/L15</f>
        <v>0.58333333333333337</v>
      </c>
      <c r="H16" s="2">
        <f>H15/L15</f>
        <v>0.33333333333333331</v>
      </c>
      <c r="I16" s="2">
        <f>I15/L15</f>
        <v>0.25</v>
      </c>
      <c r="J16" s="2">
        <f>J15/L15</f>
        <v>0</v>
      </c>
      <c r="K16" s="2">
        <f>K15/L15</f>
        <v>0</v>
      </c>
    </row>
    <row r="17" spans="5:11" ht="15.75" customHeight="1">
      <c r="E17" s="1" t="s">
        <v>54</v>
      </c>
      <c r="F17" s="2"/>
      <c r="G17" s="2"/>
      <c r="H17" s="2">
        <f>H15/G15</f>
        <v>0.5714285714285714</v>
      </c>
      <c r="I17" s="2">
        <f>I15/G15</f>
        <v>0.42857142857142855</v>
      </c>
      <c r="J17" s="2">
        <f>J15/G15</f>
        <v>0</v>
      </c>
      <c r="K17" s="2">
        <f>K15/G15</f>
        <v>0</v>
      </c>
    </row>
    <row r="18" spans="5:11" ht="15.75" customHeight="1">
      <c r="E18" s="1" t="s">
        <v>55</v>
      </c>
      <c r="F18" s="2"/>
      <c r="G18" s="2">
        <f>E15/C15</f>
        <v>0.13461538461538461</v>
      </c>
      <c r="H18" s="2">
        <f>E15/D15</f>
        <v>0.5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8"/>
  <sheetViews>
    <sheetView workbookViewId="0">
      <selection activeCell="A15" sqref="A15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128</v>
      </c>
      <c r="B3" s="1"/>
      <c r="C3" s="1">
        <v>3</v>
      </c>
      <c r="D3" s="1">
        <v>2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129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14" si="0">D4&gt;0</f>
        <v>0</v>
      </c>
      <c r="H4" s="1" t="b">
        <f t="shared" ref="H4:H14" si="1">E4&gt;0</f>
        <v>0</v>
      </c>
      <c r="I4" s="1" t="b">
        <f t="shared" ref="I4:I14" si="2">AND(G4,(D4=E4))</f>
        <v>0</v>
      </c>
      <c r="J4" s="1" t="b">
        <f t="shared" ref="J4:J14" si="3">(F4&gt;0)</f>
        <v>0</v>
      </c>
      <c r="K4" s="1" t="b">
        <f t="shared" ref="K4:K14" si="4">AND(I4,(E4=F4))</f>
        <v>0</v>
      </c>
    </row>
    <row r="5" spans="1:12" ht="15.75" customHeight="1">
      <c r="A5" s="1" t="s">
        <v>130</v>
      </c>
      <c r="B5" s="1"/>
      <c r="C5" s="1">
        <v>5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2" ht="15.75" customHeight="1">
      <c r="A6" s="1" t="s">
        <v>131</v>
      </c>
      <c r="B6" s="1"/>
      <c r="C6" s="1">
        <v>4</v>
      </c>
      <c r="D6" s="1">
        <v>1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132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133</v>
      </c>
      <c r="B8" s="1"/>
      <c r="C8" s="1">
        <v>4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134</v>
      </c>
      <c r="B9" s="1"/>
      <c r="C9" s="1">
        <v>4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2" ht="15.75" customHeight="1">
      <c r="A10" s="1" t="s">
        <v>135</v>
      </c>
      <c r="B10" s="1"/>
      <c r="C10" s="1">
        <v>8</v>
      </c>
      <c r="D10" s="1">
        <v>2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136</v>
      </c>
      <c r="B11" s="1"/>
      <c r="C11" s="1">
        <v>4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137</v>
      </c>
      <c r="B12" s="1"/>
      <c r="C12" s="1">
        <v>6</v>
      </c>
      <c r="D12" s="1">
        <v>4</v>
      </c>
      <c r="E12" s="1">
        <v>2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A13" s="1" t="s">
        <v>138</v>
      </c>
      <c r="B13" s="1"/>
      <c r="C13" s="1">
        <v>4</v>
      </c>
      <c r="D13" s="1">
        <v>3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2" ht="15.75" customHeight="1">
      <c r="A14" s="1" t="s">
        <v>139</v>
      </c>
      <c r="B14" s="1"/>
      <c r="C14" s="1">
        <v>5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2" ht="15.75" customHeight="1">
      <c r="B15" s="1" t="s">
        <v>53</v>
      </c>
      <c r="C15" s="1">
        <f>SUM(C2:C14)</f>
        <v>55</v>
      </c>
      <c r="D15" s="1">
        <f>SUM(D2:D14)</f>
        <v>14</v>
      </c>
      <c r="E15" s="1">
        <f>SUM(E2:E14)</f>
        <v>6</v>
      </c>
      <c r="F15" s="1">
        <f>SUM(F2:F14)</f>
        <v>2</v>
      </c>
      <c r="G15" s="1">
        <f>COUNTIF(G3:G14,"TRUE")</f>
        <v>7</v>
      </c>
      <c r="H15" s="1">
        <f>COUNTIF(H3:H14,"TRUE")</f>
        <v>5</v>
      </c>
      <c r="I15" s="1">
        <f>COUNTIF(I3:I14,"TRUE")</f>
        <v>3</v>
      </c>
      <c r="J15" s="1">
        <f>COUNTIF(J3:J14,"TRUE")</f>
        <v>2</v>
      </c>
      <c r="K15" s="1">
        <f>COUNTIF(K3:K14,"TRUE")</f>
        <v>2</v>
      </c>
      <c r="L15" s="6">
        <f>COUNTA(E3:E14)</f>
        <v>12</v>
      </c>
    </row>
    <row r="16" spans="1:12" ht="15.75" customHeight="1">
      <c r="E16" s="1" t="s">
        <v>3</v>
      </c>
      <c r="F16" s="2"/>
      <c r="G16" s="2">
        <f>G15/L15</f>
        <v>0.58333333333333337</v>
      </c>
      <c r="H16" s="2">
        <f>H15/L15</f>
        <v>0.41666666666666669</v>
      </c>
      <c r="I16" s="2">
        <f>I15/L15</f>
        <v>0.25</v>
      </c>
      <c r="J16" s="2">
        <f>J15/L15</f>
        <v>0.16666666666666666</v>
      </c>
      <c r="K16" s="2">
        <f>K15/L15</f>
        <v>0.16666666666666666</v>
      </c>
    </row>
    <row r="17" spans="5:11" ht="15.75" customHeight="1">
      <c r="E17" s="1" t="s">
        <v>54</v>
      </c>
      <c r="F17" s="2"/>
      <c r="G17" s="2"/>
      <c r="H17" s="2">
        <f>H15/G15</f>
        <v>0.7142857142857143</v>
      </c>
      <c r="I17" s="2">
        <f>I15/G15</f>
        <v>0.42857142857142855</v>
      </c>
      <c r="J17" s="2">
        <f>J15/G15</f>
        <v>0.2857142857142857</v>
      </c>
      <c r="K17" s="2">
        <f>K15/G15</f>
        <v>0.2857142857142857</v>
      </c>
    </row>
    <row r="18" spans="5:11" ht="15.75" customHeight="1">
      <c r="E18" s="1" t="s">
        <v>55</v>
      </c>
      <c r="F18" s="2"/>
      <c r="G18" s="2">
        <f>E15/C15</f>
        <v>0.10909090909090909</v>
      </c>
      <c r="H18" s="2">
        <f>E15/D15</f>
        <v>0.42857142857142855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4"/>
  <sheetViews>
    <sheetView workbookViewId="0">
      <selection activeCell="A11" sqref="A11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140</v>
      </c>
      <c r="B3" s="1"/>
      <c r="C3" s="1">
        <v>4</v>
      </c>
      <c r="D3" s="1">
        <v>3</v>
      </c>
      <c r="E3" s="1">
        <v>3</v>
      </c>
      <c r="F3" s="1">
        <v>3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2" ht="15.75" customHeight="1">
      <c r="A4" s="1" t="s">
        <v>141</v>
      </c>
      <c r="B4" s="1"/>
      <c r="C4" s="1">
        <v>6</v>
      </c>
      <c r="D4" s="1">
        <v>0</v>
      </c>
      <c r="E4" s="1">
        <v>0</v>
      </c>
      <c r="F4" s="1">
        <v>0</v>
      </c>
      <c r="G4" s="1" t="b">
        <f t="shared" ref="G4:G10" si="0">D4&gt;0</f>
        <v>0</v>
      </c>
      <c r="H4" s="1" t="b">
        <f t="shared" ref="H4:H10" si="1">E4&gt;0</f>
        <v>0</v>
      </c>
      <c r="I4" s="1" t="b">
        <f t="shared" ref="I4:I10" si="2">AND(G4,(D4=E4))</f>
        <v>0</v>
      </c>
      <c r="J4" s="1" t="b">
        <f t="shared" ref="J4:J10" si="3">(F4&gt;0)</f>
        <v>0</v>
      </c>
      <c r="K4" s="1" t="b">
        <f t="shared" ref="K4:K10" si="4">AND(I4,(E4=F4))</f>
        <v>0</v>
      </c>
    </row>
    <row r="5" spans="1:12" ht="15.75" customHeight="1">
      <c r="A5" s="1" t="s">
        <v>142</v>
      </c>
      <c r="B5" s="1"/>
      <c r="C5" s="1">
        <v>3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143</v>
      </c>
      <c r="B6" s="1"/>
      <c r="C6" s="1">
        <v>12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144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145</v>
      </c>
      <c r="B8" s="1"/>
      <c r="C8" s="1">
        <v>4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146</v>
      </c>
      <c r="B9" s="1"/>
      <c r="C9" s="1">
        <v>1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147</v>
      </c>
      <c r="B10" s="1"/>
      <c r="C10" s="1">
        <v>2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B11" s="1" t="s">
        <v>53</v>
      </c>
      <c r="C11" s="1">
        <f>SUM(C2:C10)</f>
        <v>38</v>
      </c>
      <c r="D11" s="1">
        <f>SUM(D2:D10)</f>
        <v>5</v>
      </c>
      <c r="E11" s="1">
        <f>SUM(E2:E10)</f>
        <v>4</v>
      </c>
      <c r="F11" s="1">
        <f>SUM(F2:F10)</f>
        <v>3</v>
      </c>
      <c r="G11" s="1">
        <f>COUNTIF(G3:G10,"TRUE")</f>
        <v>3</v>
      </c>
      <c r="H11" s="1">
        <f>COUNTIF(H3:H10,"TRUE")</f>
        <v>2</v>
      </c>
      <c r="I11" s="1">
        <f>COUNTIF(I3:I10,"TRUE")</f>
        <v>2</v>
      </c>
      <c r="J11" s="1">
        <f>COUNTIF(J3:J10,"TRUE")</f>
        <v>1</v>
      </c>
      <c r="K11" s="1">
        <f>COUNTIF(K3:K10,"TRUE")</f>
        <v>1</v>
      </c>
      <c r="L11" s="6">
        <f>COUNTA(E3:E10)</f>
        <v>8</v>
      </c>
    </row>
    <row r="12" spans="1:12" ht="15.75" customHeight="1">
      <c r="E12" s="1" t="s">
        <v>3</v>
      </c>
      <c r="F12" s="2"/>
      <c r="G12" s="2">
        <f>G11/L11</f>
        <v>0.375</v>
      </c>
      <c r="H12" s="2">
        <f>H11/L11</f>
        <v>0.25</v>
      </c>
      <c r="I12" s="2">
        <f>I11/L11</f>
        <v>0.25</v>
      </c>
      <c r="J12" s="2">
        <f>J11/L11</f>
        <v>0.125</v>
      </c>
      <c r="K12" s="2">
        <f>K11/L11</f>
        <v>0.125</v>
      </c>
    </row>
    <row r="13" spans="1:12" ht="15.75" customHeight="1">
      <c r="E13" s="1" t="s">
        <v>54</v>
      </c>
      <c r="F13" s="2"/>
      <c r="G13" s="2"/>
      <c r="H13" s="2">
        <f>H11/G11</f>
        <v>0.66666666666666663</v>
      </c>
      <c r="I13" s="2">
        <f>I11/G11</f>
        <v>0.66666666666666663</v>
      </c>
      <c r="J13" s="2">
        <f>J11/G11</f>
        <v>0.33333333333333331</v>
      </c>
      <c r="K13" s="2">
        <f>K11/G11</f>
        <v>0.33333333333333331</v>
      </c>
    </row>
    <row r="14" spans="1:12" ht="15.75" customHeight="1">
      <c r="E14" s="1" t="s">
        <v>55</v>
      </c>
      <c r="F14" s="2"/>
      <c r="G14" s="2">
        <f>E11/C11</f>
        <v>0.10526315789473684</v>
      </c>
      <c r="H14" s="2">
        <f>E11/D11</f>
        <v>0.8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6"/>
  <sheetViews>
    <sheetView workbookViewId="0">
      <selection activeCell="A13" sqref="A13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148</v>
      </c>
      <c r="B3" s="1"/>
      <c r="C3" s="1">
        <v>3</v>
      </c>
      <c r="D3" s="1">
        <v>2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149</v>
      </c>
      <c r="B4" s="1"/>
      <c r="C4" s="1">
        <v>4</v>
      </c>
      <c r="D4" s="1">
        <v>1</v>
      </c>
      <c r="E4" s="1">
        <v>1</v>
      </c>
      <c r="F4" s="1">
        <v>0</v>
      </c>
      <c r="G4" s="1" t="b">
        <f t="shared" ref="G4:G12" si="0">D4&gt;0</f>
        <v>1</v>
      </c>
      <c r="H4" s="1" t="b">
        <f t="shared" ref="H4:H12" si="1">E4&gt;0</f>
        <v>1</v>
      </c>
      <c r="I4" s="1" t="b">
        <f t="shared" ref="I4:I12" si="2">AND(G4,(D4=E4))</f>
        <v>1</v>
      </c>
      <c r="J4" s="1" t="b">
        <f t="shared" ref="J4:J12" si="3">(F4&gt;0)</f>
        <v>0</v>
      </c>
      <c r="K4" s="1" t="b">
        <f t="shared" ref="K4:K12" si="4">AND(I4,(E4=F4))</f>
        <v>0</v>
      </c>
    </row>
    <row r="5" spans="1:12" ht="15.75" customHeight="1">
      <c r="A5" s="1" t="s">
        <v>150</v>
      </c>
      <c r="B5" s="1"/>
      <c r="C5" s="1">
        <v>8</v>
      </c>
      <c r="D5" s="1">
        <v>4</v>
      </c>
      <c r="E5" s="1">
        <v>4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151</v>
      </c>
      <c r="B6" s="1"/>
      <c r="C6" s="1">
        <v>9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152</v>
      </c>
      <c r="B7" s="1"/>
      <c r="C7" s="1">
        <v>8</v>
      </c>
      <c r="D7" s="1">
        <v>7</v>
      </c>
      <c r="E7" s="1">
        <v>6</v>
      </c>
      <c r="F7" s="1">
        <v>6</v>
      </c>
      <c r="G7" s="1" t="b">
        <f t="shared" si="0"/>
        <v>1</v>
      </c>
      <c r="H7" s="1" t="b">
        <f t="shared" si="1"/>
        <v>1</v>
      </c>
      <c r="I7" s="1" t="b">
        <f t="shared" si="2"/>
        <v>0</v>
      </c>
      <c r="J7" s="1" t="b">
        <f t="shared" si="3"/>
        <v>1</v>
      </c>
      <c r="K7" s="1" t="b">
        <f t="shared" si="4"/>
        <v>0</v>
      </c>
    </row>
    <row r="8" spans="1:12" ht="15.75" customHeight="1">
      <c r="A8" s="1" t="s">
        <v>153</v>
      </c>
      <c r="B8" s="1"/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154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155</v>
      </c>
      <c r="B10" s="1"/>
      <c r="C10" s="1">
        <v>5</v>
      </c>
      <c r="D10" s="1">
        <v>4</v>
      </c>
      <c r="E10" s="1">
        <v>2</v>
      </c>
      <c r="F10" s="1">
        <v>2</v>
      </c>
      <c r="G10" s="1" t="b">
        <f t="shared" si="0"/>
        <v>1</v>
      </c>
      <c r="H10" s="1" t="b">
        <f t="shared" si="1"/>
        <v>1</v>
      </c>
      <c r="I10" s="1" t="b">
        <f t="shared" si="2"/>
        <v>0</v>
      </c>
      <c r="J10" s="1" t="b">
        <f t="shared" si="3"/>
        <v>1</v>
      </c>
      <c r="K10" s="1" t="b">
        <f t="shared" si="4"/>
        <v>0</v>
      </c>
    </row>
    <row r="11" spans="1:12" ht="15.75" customHeight="1">
      <c r="A11" s="1" t="s">
        <v>156</v>
      </c>
      <c r="B11" s="1"/>
      <c r="C11" s="1">
        <v>6</v>
      </c>
      <c r="D11" s="1">
        <v>2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157</v>
      </c>
      <c r="B12" s="1"/>
      <c r="C12" s="1">
        <v>2</v>
      </c>
      <c r="D12" s="1">
        <v>2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B13" s="1" t="s">
        <v>53</v>
      </c>
      <c r="C13" s="1">
        <f>SUM(C2:C12)</f>
        <v>56</v>
      </c>
      <c r="D13" s="1">
        <f>SUM(D2:D12)</f>
        <v>23</v>
      </c>
      <c r="E13" s="1">
        <f>SUM(E2:E12)</f>
        <v>13</v>
      </c>
      <c r="F13" s="1">
        <f>SUM(F2:F12)</f>
        <v>8</v>
      </c>
      <c r="G13" s="1">
        <f>COUNTIF(G3:G12,"TRUE")</f>
        <v>8</v>
      </c>
      <c r="H13" s="1">
        <f>COUNTIF(H3:H12,"TRUE")</f>
        <v>4</v>
      </c>
      <c r="I13" s="1">
        <f>COUNTIF(I3:I12,"TRUE")</f>
        <v>2</v>
      </c>
      <c r="J13" s="1">
        <f>COUNTIF(J3:J12,"TRUE")</f>
        <v>2</v>
      </c>
      <c r="K13" s="1">
        <f>COUNTIF(K3:K12,"TRUE")</f>
        <v>0</v>
      </c>
      <c r="L13" s="6">
        <f>COUNTA(E3:E12)</f>
        <v>10</v>
      </c>
    </row>
    <row r="14" spans="1:12" ht="15.75" customHeight="1">
      <c r="E14" s="1" t="s">
        <v>3</v>
      </c>
      <c r="F14" s="2"/>
      <c r="G14" s="2">
        <f>G13/L13</f>
        <v>0.8</v>
      </c>
      <c r="H14" s="2">
        <f>H13/L13</f>
        <v>0.4</v>
      </c>
      <c r="I14" s="2">
        <f>I13/L13</f>
        <v>0.2</v>
      </c>
      <c r="J14" s="2">
        <f>J13/L13</f>
        <v>0.2</v>
      </c>
      <c r="K14" s="2">
        <f>K13/L13</f>
        <v>0</v>
      </c>
    </row>
    <row r="15" spans="1:12" ht="15.75" customHeight="1">
      <c r="E15" s="1" t="s">
        <v>54</v>
      </c>
      <c r="F15" s="2"/>
      <c r="G15" s="2"/>
      <c r="H15" s="2">
        <f>H13/G13</f>
        <v>0.5</v>
      </c>
      <c r="I15" s="2">
        <f>I13/G13</f>
        <v>0.25</v>
      </c>
      <c r="J15" s="2">
        <f>J13/G13</f>
        <v>0.25</v>
      </c>
      <c r="K15" s="2">
        <f>K13/G13</f>
        <v>0</v>
      </c>
    </row>
    <row r="16" spans="1:12" ht="15.75" customHeight="1">
      <c r="E16" s="1" t="s">
        <v>55</v>
      </c>
      <c r="F16" s="2"/>
      <c r="G16" s="2">
        <f>E13/C13</f>
        <v>0.23214285714285715</v>
      </c>
      <c r="H16" s="2">
        <f>E13/D13</f>
        <v>0.56521739130434778</v>
      </c>
    </row>
  </sheetData>
  <hyperlinks>
    <hyperlink ref="E1" r:id="rId1" xr:uid="{00000000-0004-0000-0900-000000000000}"/>
  </hyperlinks>
  <pageMargins left="0.7" right="0.7" top="0.75" bottom="0.75" header="0.3" footer="0.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18"/>
  <sheetViews>
    <sheetView workbookViewId="0">
      <selection activeCell="A15" sqref="A15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158</v>
      </c>
      <c r="B3" s="1"/>
      <c r="C3" s="1">
        <v>1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159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14" si="0">D4&gt;0</f>
        <v>0</v>
      </c>
      <c r="H4" s="1" t="b">
        <f t="shared" ref="H4:H14" si="1">E4&gt;0</f>
        <v>0</v>
      </c>
      <c r="I4" s="1" t="b">
        <f t="shared" ref="I4:I14" si="2">AND(G4,(D4=E4))</f>
        <v>0</v>
      </c>
      <c r="J4" s="1" t="b">
        <f t="shared" ref="J4:J14" si="3">(F4&gt;0)</f>
        <v>0</v>
      </c>
      <c r="K4" s="1" t="b">
        <f t="shared" ref="K4:K14" si="4">AND(I4,(E4=F4))</f>
        <v>0</v>
      </c>
    </row>
    <row r="5" spans="1:12" ht="15.75" customHeight="1">
      <c r="A5" s="1" t="s">
        <v>160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161</v>
      </c>
      <c r="B6" s="1"/>
      <c r="C6" s="1">
        <v>2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1" t="s">
        <v>162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163</v>
      </c>
      <c r="B8" s="1"/>
      <c r="C8" s="1">
        <v>10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164</v>
      </c>
      <c r="B9" s="1"/>
      <c r="C9" s="1">
        <v>5</v>
      </c>
      <c r="D9" s="1">
        <v>2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165</v>
      </c>
      <c r="B10" s="1"/>
      <c r="C10" s="1">
        <v>3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166</v>
      </c>
      <c r="B11" s="1"/>
      <c r="C11" s="1">
        <v>7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1" t="s">
        <v>167</v>
      </c>
      <c r="B12" s="1"/>
      <c r="C12" s="1">
        <v>6</v>
      </c>
      <c r="D12" s="1">
        <v>1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2" ht="15.75" customHeight="1">
      <c r="A13" s="1" t="s">
        <v>168</v>
      </c>
      <c r="B13" s="1"/>
      <c r="C13" s="1">
        <v>7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2" ht="15.75" customHeight="1">
      <c r="A14" s="1" t="s">
        <v>169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2" ht="15.75" customHeight="1">
      <c r="B15" s="1" t="s">
        <v>53</v>
      </c>
      <c r="C15" s="1">
        <f>SUM(C2:C14)</f>
        <v>60</v>
      </c>
      <c r="D15" s="1">
        <f>SUM(D2:D14)</f>
        <v>4</v>
      </c>
      <c r="E15" s="1">
        <f>SUM(E2:E14)</f>
        <v>2</v>
      </c>
      <c r="F15" s="1">
        <f>SUM(F2:F14)</f>
        <v>0</v>
      </c>
      <c r="G15" s="1">
        <f>COUNTIF(G3:G14,"TRUE")</f>
        <v>3</v>
      </c>
      <c r="H15" s="1">
        <f>COUNTIF(H3:H14,"TRUE")</f>
        <v>2</v>
      </c>
      <c r="I15" s="1">
        <f>COUNTIF(I3:I14,"TRUE")</f>
        <v>1</v>
      </c>
      <c r="J15" s="1">
        <f>COUNTIF(J3:J14,"TRUE")</f>
        <v>0</v>
      </c>
      <c r="K15" s="1">
        <f>COUNTIF(K3:K14,"TRUE")</f>
        <v>0</v>
      </c>
      <c r="L15" s="6">
        <f>COUNTA(E3:E14)</f>
        <v>12</v>
      </c>
    </row>
    <row r="16" spans="1:12" ht="15.75" customHeight="1">
      <c r="E16" s="1" t="s">
        <v>3</v>
      </c>
      <c r="F16" s="2"/>
      <c r="G16" s="2">
        <f>G15/L15</f>
        <v>0.25</v>
      </c>
      <c r="H16" s="2">
        <f>H15/L15</f>
        <v>0.16666666666666666</v>
      </c>
      <c r="I16" s="2">
        <f>I15/L15</f>
        <v>8.3333333333333329E-2</v>
      </c>
      <c r="J16" s="2">
        <f>J15/L15</f>
        <v>0</v>
      </c>
      <c r="K16" s="2">
        <f>K15/L15</f>
        <v>0</v>
      </c>
    </row>
    <row r="17" spans="5:11" ht="15.75" customHeight="1">
      <c r="E17" s="1" t="s">
        <v>54</v>
      </c>
      <c r="F17" s="2"/>
      <c r="G17" s="2"/>
      <c r="H17" s="2">
        <f>H15/G15</f>
        <v>0.66666666666666663</v>
      </c>
      <c r="I17" s="2">
        <f>I15/G15</f>
        <v>0.33333333333333331</v>
      </c>
      <c r="J17" s="2">
        <f>J15/G15</f>
        <v>0</v>
      </c>
      <c r="K17" s="2">
        <f>K15/G15</f>
        <v>0</v>
      </c>
    </row>
    <row r="18" spans="5:11" ht="15.75" customHeight="1">
      <c r="E18" s="1" t="s">
        <v>55</v>
      </c>
      <c r="F18" s="2"/>
      <c r="G18" s="2">
        <f>E15/C15</f>
        <v>3.3333333333333333E-2</v>
      </c>
      <c r="H18" s="2">
        <f>E15/D15</f>
        <v>0.5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15"/>
  <sheetViews>
    <sheetView workbookViewId="0">
      <selection activeCell="A12" sqref="A12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1" t="s">
        <v>170</v>
      </c>
      <c r="B3" s="1"/>
      <c r="C3" s="1">
        <v>1</v>
      </c>
      <c r="D3" s="1">
        <v>1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1" t="s">
        <v>171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11" si="0">D4&gt;0</f>
        <v>0</v>
      </c>
      <c r="H4" s="1" t="b">
        <f t="shared" ref="H4:H11" si="1">E4&gt;0</f>
        <v>0</v>
      </c>
      <c r="I4" s="1" t="b">
        <f t="shared" ref="I4:I11" si="2">AND(G4,(D4=E4))</f>
        <v>0</v>
      </c>
      <c r="J4" s="1" t="b">
        <f t="shared" ref="J4:J11" si="3">(F4&gt;0)</f>
        <v>0</v>
      </c>
      <c r="K4" s="1" t="b">
        <f t="shared" ref="K4:K11" si="4">AND(I4,(E4=F4))</f>
        <v>0</v>
      </c>
    </row>
    <row r="5" spans="1:12" ht="15.75" customHeight="1">
      <c r="A5" s="1" t="s">
        <v>172</v>
      </c>
      <c r="B5" s="1"/>
      <c r="C5" s="1">
        <v>1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2" ht="15.75" customHeight="1">
      <c r="A6" s="1" t="s">
        <v>173</v>
      </c>
      <c r="B6" s="1"/>
      <c r="C6" s="1">
        <v>6</v>
      </c>
      <c r="D6" s="1">
        <v>5</v>
      </c>
      <c r="E6" s="1">
        <v>5</v>
      </c>
      <c r="F6" s="1">
        <v>4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0</v>
      </c>
    </row>
    <row r="7" spans="1:12" ht="15.75" customHeight="1">
      <c r="A7" s="1" t="s">
        <v>174</v>
      </c>
      <c r="B7" s="1"/>
      <c r="C7" s="1">
        <v>4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2" ht="15.75" customHeight="1">
      <c r="A8" s="1" t="s">
        <v>175</v>
      </c>
      <c r="B8" s="1"/>
      <c r="C8" s="1">
        <v>4</v>
      </c>
      <c r="D8" s="1">
        <v>4</v>
      </c>
      <c r="E8" s="1">
        <v>2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2" ht="15.75" customHeight="1">
      <c r="A9" s="1" t="s">
        <v>176</v>
      </c>
      <c r="B9" s="1"/>
      <c r="C9" s="1">
        <v>3</v>
      </c>
      <c r="D9" s="1">
        <v>2</v>
      </c>
      <c r="E9" s="1">
        <v>2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1" t="s">
        <v>177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1" t="s">
        <v>178</v>
      </c>
      <c r="B11" s="1"/>
      <c r="C11" s="1">
        <v>6</v>
      </c>
      <c r="D11" s="1">
        <v>1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2" ht="15.75" customHeight="1">
      <c r="B12" s="1" t="s">
        <v>53</v>
      </c>
      <c r="C12" s="1">
        <f>SUM(C2:C11)</f>
        <v>35</v>
      </c>
      <c r="D12" s="1">
        <f>SUM(D2:D11)</f>
        <v>15</v>
      </c>
      <c r="E12" s="1">
        <f>SUM(E2:E11)</f>
        <v>10</v>
      </c>
      <c r="F12" s="1">
        <f>SUM(F2:F11)</f>
        <v>4</v>
      </c>
      <c r="G12" s="1">
        <f>COUNTIF(G3:G11,"TRUE")</f>
        <v>7</v>
      </c>
      <c r="H12" s="1">
        <f>COUNTIF(H3:H11,"TRUE")</f>
        <v>4</v>
      </c>
      <c r="I12" s="1">
        <f>COUNTIF(I3:I11,"TRUE")</f>
        <v>3</v>
      </c>
      <c r="J12" s="1">
        <f>COUNTIF(J3:J11,"TRUE")</f>
        <v>1</v>
      </c>
      <c r="K12" s="1">
        <f>COUNTIF(K3:K11,"TRUE")</f>
        <v>0</v>
      </c>
      <c r="L12" s="6">
        <f>COUNTA(E3:E11)</f>
        <v>9</v>
      </c>
    </row>
    <row r="13" spans="1:12" ht="15.75" customHeight="1">
      <c r="E13" s="1" t="s">
        <v>3</v>
      </c>
      <c r="F13" s="2"/>
      <c r="G13" s="2">
        <f>G12/L12</f>
        <v>0.77777777777777779</v>
      </c>
      <c r="H13" s="2">
        <f>H12/L12</f>
        <v>0.44444444444444442</v>
      </c>
      <c r="I13" s="2">
        <f>I12/L12</f>
        <v>0.33333333333333331</v>
      </c>
      <c r="J13" s="2">
        <f>J12/L12</f>
        <v>0.1111111111111111</v>
      </c>
      <c r="K13" s="2">
        <f>K12/L12</f>
        <v>0</v>
      </c>
    </row>
    <row r="14" spans="1:12" ht="15.75" customHeight="1">
      <c r="E14" s="1" t="s">
        <v>54</v>
      </c>
      <c r="F14" s="2"/>
      <c r="G14" s="2"/>
      <c r="H14" s="2">
        <f>H12/G12</f>
        <v>0.5714285714285714</v>
      </c>
      <c r="I14" s="2">
        <f>I12/G12</f>
        <v>0.42857142857142855</v>
      </c>
      <c r="J14" s="2">
        <f>J12/G12</f>
        <v>0.14285714285714285</v>
      </c>
      <c r="K14" s="2">
        <f>K12/G12</f>
        <v>0</v>
      </c>
    </row>
    <row r="15" spans="1:12" ht="15.75" customHeight="1">
      <c r="E15" s="1" t="s">
        <v>55</v>
      </c>
      <c r="F15" s="2"/>
      <c r="G15" s="2">
        <f>E12/C12</f>
        <v>0.2857142857142857</v>
      </c>
      <c r="H15" s="2">
        <f>E12/D12</f>
        <v>0.66666666666666663</v>
      </c>
    </row>
  </sheetData>
  <hyperlinks>
    <hyperlink ref="E1" r:id="rId1" xr:uid="{00000000-0004-0000-0B00-000000000000}"/>
  </hyperlinks>
  <pageMargins left="0.7" right="0.7" top="0.75" bottom="0.75" header="0.3" footer="0.3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18"/>
  <sheetViews>
    <sheetView workbookViewId="0">
      <selection activeCell="D31" sqref="D31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2" ht="15.75" customHeight="1">
      <c r="D1" s="1" t="s">
        <v>32</v>
      </c>
      <c r="E1" s="5" t="s">
        <v>33</v>
      </c>
    </row>
    <row r="2" spans="1:12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2" ht="15.75" customHeight="1">
      <c r="A3" s="7" t="s">
        <v>179</v>
      </c>
      <c r="B3" s="7"/>
      <c r="C3" s="8">
        <v>4</v>
      </c>
      <c r="D3" s="8">
        <v>4</v>
      </c>
      <c r="E3" s="8">
        <v>0</v>
      </c>
      <c r="F3" s="8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2" ht="15.75" customHeight="1">
      <c r="A4" s="7" t="s">
        <v>180</v>
      </c>
      <c r="B4" s="7"/>
      <c r="C4" s="8">
        <v>5</v>
      </c>
      <c r="D4" s="8">
        <v>1</v>
      </c>
      <c r="E4" s="8">
        <v>0</v>
      </c>
      <c r="F4" s="8">
        <v>0</v>
      </c>
      <c r="G4" s="1" t="b">
        <f t="shared" ref="G4:G14" si="0">D4&gt;0</f>
        <v>1</v>
      </c>
      <c r="H4" s="1" t="b">
        <f t="shared" ref="H4:H14" si="1">E4&gt;0</f>
        <v>0</v>
      </c>
      <c r="I4" s="1" t="b">
        <f t="shared" ref="I4:I14" si="2">AND(G4,(D4=E4))</f>
        <v>0</v>
      </c>
      <c r="J4" s="1" t="b">
        <f t="shared" ref="J4:J14" si="3">(F4&gt;0)</f>
        <v>0</v>
      </c>
      <c r="K4" s="1" t="b">
        <f t="shared" ref="K4:K14" si="4">AND(I4,(E4=F4))</f>
        <v>0</v>
      </c>
    </row>
    <row r="5" spans="1:12" ht="15.75" customHeight="1">
      <c r="A5" s="7" t="s">
        <v>181</v>
      </c>
      <c r="B5" s="7"/>
      <c r="C5" s="8">
        <v>3</v>
      </c>
      <c r="D5" s="8">
        <v>1</v>
      </c>
      <c r="E5" s="8">
        <v>1</v>
      </c>
      <c r="F5" s="8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2" ht="15.75" customHeight="1">
      <c r="A6" s="7" t="s">
        <v>182</v>
      </c>
      <c r="B6" s="7"/>
      <c r="C6" s="8">
        <v>7</v>
      </c>
      <c r="D6" s="8">
        <v>2</v>
      </c>
      <c r="E6" s="8">
        <v>0</v>
      </c>
      <c r="F6" s="8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2" ht="15.75" customHeight="1">
      <c r="A7" s="7" t="s">
        <v>183</v>
      </c>
      <c r="B7" s="7"/>
      <c r="C7" s="8">
        <v>7</v>
      </c>
      <c r="D7" s="8">
        <v>0</v>
      </c>
      <c r="E7" s="8">
        <v>0</v>
      </c>
      <c r="F7" s="8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2" ht="15.75" customHeight="1">
      <c r="A8" s="7" t="s">
        <v>184</v>
      </c>
      <c r="B8" s="7"/>
      <c r="C8" s="8">
        <v>5</v>
      </c>
      <c r="D8" s="8">
        <v>1</v>
      </c>
      <c r="E8" s="8">
        <v>1</v>
      </c>
      <c r="F8" s="8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2" ht="15.75" customHeight="1">
      <c r="A9" s="7" t="s">
        <v>185</v>
      </c>
      <c r="B9" s="7"/>
      <c r="C9" s="8">
        <v>10</v>
      </c>
      <c r="D9" s="8">
        <v>1</v>
      </c>
      <c r="E9" s="8">
        <v>0</v>
      </c>
      <c r="F9" s="8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2" ht="15.75" customHeight="1">
      <c r="A10" s="7" t="s">
        <v>186</v>
      </c>
      <c r="B10" s="7"/>
      <c r="C10" s="8">
        <v>6</v>
      </c>
      <c r="D10" s="8">
        <v>2</v>
      </c>
      <c r="E10" s="8">
        <v>0</v>
      </c>
      <c r="F10" s="8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2" ht="15.75" customHeight="1">
      <c r="A11" s="7" t="s">
        <v>187</v>
      </c>
      <c r="B11" s="7"/>
      <c r="C11" s="8">
        <v>3</v>
      </c>
      <c r="D11" s="8">
        <v>2</v>
      </c>
      <c r="E11" s="8">
        <v>2</v>
      </c>
      <c r="F11" s="8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2" ht="15.75" customHeight="1">
      <c r="A12" s="7" t="s">
        <v>188</v>
      </c>
      <c r="B12" s="7"/>
      <c r="C12" s="8">
        <v>7</v>
      </c>
      <c r="D12" s="8">
        <v>2</v>
      </c>
      <c r="E12" s="8">
        <v>1</v>
      </c>
      <c r="F12" s="8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1</v>
      </c>
      <c r="K12" s="1" t="b">
        <f t="shared" si="4"/>
        <v>0</v>
      </c>
    </row>
    <row r="13" spans="1:12" ht="15.75" customHeight="1">
      <c r="A13" s="7" t="s">
        <v>189</v>
      </c>
      <c r="B13" s="7"/>
      <c r="C13" s="8">
        <v>5</v>
      </c>
      <c r="D13" s="8">
        <v>2</v>
      </c>
      <c r="E13" s="8">
        <v>2</v>
      </c>
      <c r="F13" s="8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2" ht="15.75" customHeight="1">
      <c r="A14" s="7" t="s">
        <v>190</v>
      </c>
      <c r="B14" s="7"/>
      <c r="C14" s="8">
        <v>3</v>
      </c>
      <c r="D14" s="8">
        <v>3</v>
      </c>
      <c r="E14" s="8">
        <v>3</v>
      </c>
      <c r="F14" s="8">
        <v>3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2" ht="15.75" customHeight="1">
      <c r="B15" s="1" t="s">
        <v>53</v>
      </c>
      <c r="C15" s="1">
        <f>SUM(C2:C14)</f>
        <v>65</v>
      </c>
      <c r="D15" s="1">
        <f>SUM(D2:D14)</f>
        <v>21</v>
      </c>
      <c r="E15" s="1">
        <f>SUM(E2:E14)</f>
        <v>10</v>
      </c>
      <c r="F15" s="1">
        <f>SUM(F2:F14)</f>
        <v>4</v>
      </c>
      <c r="G15" s="1">
        <f>COUNTIF(G3:G14,"TRUE")</f>
        <v>11</v>
      </c>
      <c r="H15" s="1">
        <f>COUNTIF(H3:H14,"TRUE")</f>
        <v>6</v>
      </c>
      <c r="I15" s="1">
        <f>COUNTIF(I3:I14,"TRUE")</f>
        <v>5</v>
      </c>
      <c r="J15" s="1">
        <f>COUNTIF(J3:J14,"TRUE")</f>
        <v>2</v>
      </c>
      <c r="K15" s="1">
        <f>COUNTIF(K3:K14,"TRUE")</f>
        <v>1</v>
      </c>
      <c r="L15" s="6">
        <f>COUNTA(E3:E14)</f>
        <v>12</v>
      </c>
    </row>
    <row r="16" spans="1:12" ht="15.75" customHeight="1">
      <c r="E16" s="1" t="s">
        <v>3</v>
      </c>
      <c r="F16" s="2"/>
      <c r="G16" s="2">
        <f>G15/L15</f>
        <v>0.91666666666666663</v>
      </c>
      <c r="H16" s="2">
        <f>H15/L15</f>
        <v>0.5</v>
      </c>
      <c r="I16" s="2">
        <f>I15/L15</f>
        <v>0.41666666666666669</v>
      </c>
      <c r="J16" s="2">
        <f>J15/L15</f>
        <v>0.16666666666666666</v>
      </c>
      <c r="K16" s="2">
        <f>K15/L15</f>
        <v>8.3333333333333329E-2</v>
      </c>
    </row>
    <row r="17" spans="5:11" ht="15.75" customHeight="1">
      <c r="E17" s="1" t="s">
        <v>54</v>
      </c>
      <c r="F17" s="2"/>
      <c r="G17" s="2"/>
      <c r="H17" s="2">
        <f>H15/G15</f>
        <v>0.54545454545454541</v>
      </c>
      <c r="I17" s="2">
        <f>I15/G15</f>
        <v>0.45454545454545453</v>
      </c>
      <c r="J17" s="2">
        <f>J15/G15</f>
        <v>0.18181818181818182</v>
      </c>
      <c r="K17" s="2">
        <f>K15/G15</f>
        <v>9.0909090909090912E-2</v>
      </c>
    </row>
    <row r="18" spans="5:11" ht="15.75" customHeight="1">
      <c r="E18" s="1" t="s">
        <v>55</v>
      </c>
      <c r="F18" s="2"/>
      <c r="G18" s="2">
        <f>E15/C15</f>
        <v>0.15384615384615385</v>
      </c>
      <c r="H18" s="2">
        <f>E15/D15</f>
        <v>0.47619047619047616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2025-06-11T20:14:35Z</dcterms:modified>
</cp:coreProperties>
</file>