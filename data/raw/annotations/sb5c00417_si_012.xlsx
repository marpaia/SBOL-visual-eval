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FA385B8C-AD34-9C4F-B15D-9C526C2A178A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K4" i="13" s="1"/>
  <c r="J4" i="13"/>
  <c r="G5" i="13"/>
  <c r="H5" i="13"/>
  <c r="I5" i="13"/>
  <c r="J5" i="13"/>
  <c r="K5" i="13"/>
  <c r="G6" i="13"/>
  <c r="H6" i="13"/>
  <c r="I6" i="13"/>
  <c r="K6" i="13" s="1"/>
  <c r="J6" i="13"/>
  <c r="G7" i="13"/>
  <c r="H7" i="13"/>
  <c r="I7" i="13"/>
  <c r="J7" i="13"/>
  <c r="K7" i="13"/>
  <c r="G8" i="13"/>
  <c r="H8" i="13"/>
  <c r="I8" i="13"/>
  <c r="K8" i="13" s="1"/>
  <c r="J8" i="13"/>
  <c r="G9" i="13"/>
  <c r="H9" i="13"/>
  <c r="I9" i="13"/>
  <c r="J9" i="13"/>
  <c r="K9" i="13"/>
  <c r="G10" i="13"/>
  <c r="H10" i="13"/>
  <c r="I10" i="13"/>
  <c r="K10" i="13" s="1"/>
  <c r="J10" i="13"/>
  <c r="G11" i="13"/>
  <c r="H11" i="13"/>
  <c r="I11" i="13"/>
  <c r="J11" i="13"/>
  <c r="K11" i="13"/>
  <c r="G12" i="13"/>
  <c r="H12" i="13"/>
  <c r="I12" i="13"/>
  <c r="K12" i="13" s="1"/>
  <c r="J12" i="13"/>
  <c r="G13" i="13"/>
  <c r="H13" i="13"/>
  <c r="I13" i="13"/>
  <c r="J13" i="13"/>
  <c r="K13" i="13"/>
  <c r="G14" i="13"/>
  <c r="H14" i="13"/>
  <c r="I14" i="13"/>
  <c r="K14" i="13" s="1"/>
  <c r="J14" i="13"/>
  <c r="G15" i="13"/>
  <c r="H15" i="13"/>
  <c r="I15" i="13"/>
  <c r="J15" i="13"/>
  <c r="K15" i="13"/>
  <c r="G16" i="13"/>
  <c r="H16" i="13"/>
  <c r="I16" i="13"/>
  <c r="K16" i="13" s="1"/>
  <c r="J16" i="13"/>
  <c r="G17" i="13"/>
  <c r="H17" i="13"/>
  <c r="I17" i="13"/>
  <c r="K17" i="13" s="1"/>
  <c r="J17" i="13"/>
  <c r="G18" i="13"/>
  <c r="H18" i="13"/>
  <c r="I18" i="13"/>
  <c r="K18" i="13" s="1"/>
  <c r="J18" i="13"/>
  <c r="G19" i="13"/>
  <c r="H19" i="13"/>
  <c r="I19" i="13"/>
  <c r="J19" i="13"/>
  <c r="K19" i="13"/>
  <c r="G20" i="13"/>
  <c r="H20" i="13"/>
  <c r="I20" i="13"/>
  <c r="K20" i="13" s="1"/>
  <c r="J20" i="13"/>
  <c r="G21" i="13"/>
  <c r="H21" i="13"/>
  <c r="I21" i="13"/>
  <c r="J21" i="13"/>
  <c r="K21" i="13"/>
  <c r="G22" i="13"/>
  <c r="H22" i="13"/>
  <c r="I22" i="13"/>
  <c r="K22" i="13" s="1"/>
  <c r="J22" i="13"/>
  <c r="G23" i="13"/>
  <c r="H23" i="13"/>
  <c r="I23" i="13"/>
  <c r="J23" i="13"/>
  <c r="K23" i="13"/>
  <c r="G24" i="13"/>
  <c r="H24" i="13"/>
  <c r="I24" i="13"/>
  <c r="K24" i="13" s="1"/>
  <c r="J24" i="13"/>
  <c r="G25" i="13"/>
  <c r="H25" i="13"/>
  <c r="I25" i="13"/>
  <c r="J25" i="13"/>
  <c r="K25" i="13"/>
  <c r="G26" i="13"/>
  <c r="H26" i="13"/>
  <c r="I26" i="13"/>
  <c r="K26" i="13" s="1"/>
  <c r="J26" i="13"/>
  <c r="G27" i="13"/>
  <c r="H27" i="13"/>
  <c r="I27" i="13"/>
  <c r="J27" i="13"/>
  <c r="K27" i="13"/>
  <c r="G28" i="13"/>
  <c r="H28" i="13"/>
  <c r="I28" i="13"/>
  <c r="K28" i="13" s="1"/>
  <c r="J28" i="13"/>
  <c r="G29" i="13"/>
  <c r="H29" i="13"/>
  <c r="I29" i="13"/>
  <c r="J29" i="13"/>
  <c r="K29" i="13"/>
  <c r="G30" i="13"/>
  <c r="H30" i="13"/>
  <c r="I30" i="13"/>
  <c r="K30" i="13" s="1"/>
  <c r="J30" i="13"/>
  <c r="G31" i="13"/>
  <c r="H31" i="13"/>
  <c r="I31" i="13"/>
  <c r="J31" i="13"/>
  <c r="K31" i="13"/>
  <c r="G32" i="13"/>
  <c r="H32" i="13"/>
  <c r="I32" i="13"/>
  <c r="K32" i="13" s="1"/>
  <c r="J32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23" i="12"/>
  <c r="H23" i="12"/>
  <c r="I23" i="12"/>
  <c r="J23" i="12"/>
  <c r="K23" i="12"/>
  <c r="G24" i="12"/>
  <c r="H24" i="12"/>
  <c r="I24" i="12"/>
  <c r="J24" i="12"/>
  <c r="K24" i="12"/>
  <c r="G25" i="12"/>
  <c r="H25" i="12"/>
  <c r="I25" i="12"/>
  <c r="J25" i="12"/>
  <c r="K25" i="12"/>
  <c r="G26" i="12"/>
  <c r="H26" i="12"/>
  <c r="I26" i="12"/>
  <c r="J26" i="12"/>
  <c r="K26" i="12"/>
  <c r="G27" i="12"/>
  <c r="H27" i="12"/>
  <c r="I27" i="12"/>
  <c r="J27" i="12"/>
  <c r="K27" i="12"/>
  <c r="G28" i="12"/>
  <c r="H28" i="12"/>
  <c r="I28" i="12"/>
  <c r="J28" i="12"/>
  <c r="K28" i="12"/>
  <c r="G29" i="12"/>
  <c r="H29" i="12"/>
  <c r="I29" i="12"/>
  <c r="J29" i="12"/>
  <c r="K29" i="12"/>
  <c r="G30" i="12"/>
  <c r="H30" i="12"/>
  <c r="I30" i="12"/>
  <c r="J30" i="12"/>
  <c r="K30" i="12"/>
  <c r="G31" i="12"/>
  <c r="H31" i="12"/>
  <c r="I31" i="12"/>
  <c r="J31" i="12"/>
  <c r="K31" i="12"/>
  <c r="G32" i="12"/>
  <c r="H32" i="12"/>
  <c r="I32" i="12"/>
  <c r="J32" i="12"/>
  <c r="K32" i="12"/>
  <c r="G33" i="12"/>
  <c r="H33" i="12"/>
  <c r="I33" i="12"/>
  <c r="J33" i="12"/>
  <c r="K33" i="12"/>
  <c r="G34" i="12"/>
  <c r="H34" i="12"/>
  <c r="I34" i="12"/>
  <c r="J34" i="12"/>
  <c r="K34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H29" i="11"/>
  <c r="I29" i="11"/>
  <c r="J29" i="11"/>
  <c r="K29" i="11"/>
  <c r="G30" i="11"/>
  <c r="H30" i="11"/>
  <c r="I30" i="11"/>
  <c r="J30" i="11"/>
  <c r="K30" i="11"/>
  <c r="G31" i="11"/>
  <c r="H31" i="11"/>
  <c r="I31" i="11"/>
  <c r="J31" i="11"/>
  <c r="K31" i="11"/>
  <c r="G32" i="11"/>
  <c r="H32" i="11"/>
  <c r="I32" i="11"/>
  <c r="J32" i="11"/>
  <c r="K32" i="11"/>
  <c r="G33" i="11"/>
  <c r="H33" i="11"/>
  <c r="I33" i="11"/>
  <c r="J33" i="11"/>
  <c r="K33" i="11"/>
  <c r="G34" i="11"/>
  <c r="H34" i="11"/>
  <c r="I34" i="11"/>
  <c r="J34" i="11"/>
  <c r="K34" i="11"/>
  <c r="G35" i="11"/>
  <c r="H35" i="11"/>
  <c r="I35" i="11"/>
  <c r="J35" i="11"/>
  <c r="K35" i="11"/>
  <c r="G36" i="11"/>
  <c r="H36" i="11"/>
  <c r="I36" i="11"/>
  <c r="J36" i="11"/>
  <c r="K36" i="11"/>
  <c r="G37" i="11"/>
  <c r="H37" i="11"/>
  <c r="I37" i="11"/>
  <c r="J37" i="11"/>
  <c r="K37" i="11"/>
  <c r="G38" i="11"/>
  <c r="H38" i="11"/>
  <c r="I38" i="11"/>
  <c r="J38" i="11"/>
  <c r="K38" i="11"/>
  <c r="G39" i="11"/>
  <c r="H39" i="11"/>
  <c r="I39" i="11"/>
  <c r="J39" i="11"/>
  <c r="K39" i="11"/>
  <c r="G40" i="11"/>
  <c r="H40" i="11"/>
  <c r="I40" i="11"/>
  <c r="J40" i="11"/>
  <c r="K40" i="11"/>
  <c r="G41" i="11"/>
  <c r="H41" i="11"/>
  <c r="I41" i="11"/>
  <c r="J41" i="11"/>
  <c r="K41" i="11"/>
  <c r="G42" i="11"/>
  <c r="H42" i="11"/>
  <c r="I42" i="11"/>
  <c r="J42" i="11"/>
  <c r="K42" i="11"/>
  <c r="G43" i="11"/>
  <c r="H43" i="11"/>
  <c r="I43" i="11"/>
  <c r="J43" i="11"/>
  <c r="K43" i="11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G16" i="10"/>
  <c r="H16" i="10"/>
  <c r="I16" i="10"/>
  <c r="J16" i="10"/>
  <c r="K16" i="10"/>
  <c r="G17" i="10"/>
  <c r="H17" i="10"/>
  <c r="I17" i="10"/>
  <c r="J17" i="10"/>
  <c r="K17" i="10"/>
  <c r="G18" i="10"/>
  <c r="H18" i="10"/>
  <c r="I18" i="10"/>
  <c r="J18" i="10"/>
  <c r="K18" i="10"/>
  <c r="G19" i="10"/>
  <c r="H19" i="10"/>
  <c r="I19" i="10"/>
  <c r="J19" i="10"/>
  <c r="K19" i="10"/>
  <c r="G20" i="10"/>
  <c r="H20" i="10"/>
  <c r="I20" i="10"/>
  <c r="J20" i="10"/>
  <c r="K20" i="10"/>
  <c r="G21" i="10"/>
  <c r="H21" i="10"/>
  <c r="I21" i="10"/>
  <c r="J21" i="10"/>
  <c r="K21" i="10"/>
  <c r="G22" i="10"/>
  <c r="H22" i="10"/>
  <c r="I22" i="10"/>
  <c r="J22" i="10"/>
  <c r="K22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H9" i="9"/>
  <c r="I9" i="9"/>
  <c r="J9" i="9"/>
  <c r="K9" i="9"/>
  <c r="G10" i="9"/>
  <c r="H10" i="9"/>
  <c r="I10" i="9"/>
  <c r="J10" i="9"/>
  <c r="K10" i="9"/>
  <c r="G11" i="9"/>
  <c r="H11" i="9"/>
  <c r="I11" i="9"/>
  <c r="J11" i="9"/>
  <c r="K11" i="9"/>
  <c r="G12" i="9"/>
  <c r="H12" i="9"/>
  <c r="I12" i="9"/>
  <c r="J12" i="9"/>
  <c r="K12" i="9"/>
  <c r="G13" i="9"/>
  <c r="H13" i="9"/>
  <c r="I13" i="9"/>
  <c r="J13" i="9"/>
  <c r="K13" i="9"/>
  <c r="G14" i="9"/>
  <c r="H14" i="9"/>
  <c r="I14" i="9"/>
  <c r="J14" i="9"/>
  <c r="K14" i="9"/>
  <c r="G15" i="9"/>
  <c r="H15" i="9"/>
  <c r="I15" i="9"/>
  <c r="J15" i="9"/>
  <c r="K15" i="9"/>
  <c r="G16" i="9"/>
  <c r="H16" i="9"/>
  <c r="I16" i="9"/>
  <c r="J16" i="9"/>
  <c r="K16" i="9"/>
  <c r="G17" i="9"/>
  <c r="H17" i="9"/>
  <c r="I17" i="9"/>
  <c r="J17" i="9"/>
  <c r="K17" i="9"/>
  <c r="G18" i="9"/>
  <c r="H18" i="9"/>
  <c r="I18" i="9"/>
  <c r="J18" i="9"/>
  <c r="K18" i="9"/>
  <c r="G19" i="9"/>
  <c r="H19" i="9"/>
  <c r="I19" i="9"/>
  <c r="J19" i="9"/>
  <c r="K19" i="9"/>
  <c r="G20" i="9"/>
  <c r="H20" i="9"/>
  <c r="I20" i="9"/>
  <c r="J20" i="9"/>
  <c r="K20" i="9"/>
  <c r="G21" i="9"/>
  <c r="H21" i="9"/>
  <c r="I21" i="9"/>
  <c r="J21" i="9"/>
  <c r="K21" i="9"/>
  <c r="G22" i="9"/>
  <c r="H22" i="9"/>
  <c r="I22" i="9"/>
  <c r="J22" i="9"/>
  <c r="K22" i="9"/>
  <c r="G23" i="9"/>
  <c r="H23" i="9"/>
  <c r="I23" i="9"/>
  <c r="J23" i="9"/>
  <c r="K23" i="9"/>
  <c r="G24" i="9"/>
  <c r="H24" i="9"/>
  <c r="I24" i="9"/>
  <c r="J24" i="9"/>
  <c r="K24" i="9"/>
  <c r="G25" i="9"/>
  <c r="H25" i="9"/>
  <c r="I25" i="9"/>
  <c r="J25" i="9"/>
  <c r="K25" i="9"/>
  <c r="G26" i="9"/>
  <c r="H26" i="9"/>
  <c r="I26" i="9"/>
  <c r="J26" i="9"/>
  <c r="K26" i="9"/>
  <c r="G27" i="9"/>
  <c r="H27" i="9"/>
  <c r="I27" i="9"/>
  <c r="J27" i="9"/>
  <c r="K27" i="9"/>
  <c r="G28" i="9"/>
  <c r="H28" i="9"/>
  <c r="I28" i="9"/>
  <c r="J28" i="9"/>
  <c r="K28" i="9"/>
  <c r="G29" i="9"/>
  <c r="H29" i="9"/>
  <c r="I29" i="9"/>
  <c r="J29" i="9"/>
  <c r="K29" i="9"/>
  <c r="G30" i="9"/>
  <c r="H30" i="9"/>
  <c r="I30" i="9"/>
  <c r="J30" i="9"/>
  <c r="K30" i="9"/>
  <c r="G31" i="9"/>
  <c r="H31" i="9"/>
  <c r="I31" i="9"/>
  <c r="J31" i="9"/>
  <c r="K31" i="9"/>
  <c r="G32" i="9"/>
  <c r="H32" i="9"/>
  <c r="I32" i="9"/>
  <c r="J32" i="9"/>
  <c r="K32" i="9"/>
  <c r="G33" i="9"/>
  <c r="H33" i="9"/>
  <c r="I33" i="9"/>
  <c r="J33" i="9"/>
  <c r="K33" i="9"/>
  <c r="G34" i="9"/>
  <c r="H34" i="9"/>
  <c r="I34" i="9"/>
  <c r="J34" i="9"/>
  <c r="K34" i="9"/>
  <c r="G35" i="9"/>
  <c r="H35" i="9"/>
  <c r="I35" i="9"/>
  <c r="J35" i="9"/>
  <c r="K35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23" i="8"/>
  <c r="H23" i="8"/>
  <c r="I23" i="8"/>
  <c r="J23" i="8"/>
  <c r="K23" i="8"/>
  <c r="G24" i="8"/>
  <c r="H24" i="8"/>
  <c r="I24" i="8"/>
  <c r="J24" i="8"/>
  <c r="K24" i="8"/>
  <c r="G25" i="8"/>
  <c r="H25" i="8"/>
  <c r="I25" i="8"/>
  <c r="J25" i="8"/>
  <c r="K25" i="8"/>
  <c r="G26" i="8"/>
  <c r="H26" i="8"/>
  <c r="I26" i="8"/>
  <c r="J26" i="8"/>
  <c r="K26" i="8"/>
  <c r="G27" i="8"/>
  <c r="H27" i="8"/>
  <c r="I27" i="8"/>
  <c r="J27" i="8"/>
  <c r="K27" i="8"/>
  <c r="G28" i="8"/>
  <c r="H28" i="8"/>
  <c r="I28" i="8"/>
  <c r="J28" i="8"/>
  <c r="K28" i="8"/>
  <c r="G29" i="8"/>
  <c r="H29" i="8"/>
  <c r="I29" i="8"/>
  <c r="J29" i="8"/>
  <c r="K29" i="8"/>
  <c r="G30" i="8"/>
  <c r="H30" i="8"/>
  <c r="I30" i="8"/>
  <c r="J30" i="8"/>
  <c r="K30" i="8"/>
  <c r="G31" i="8"/>
  <c r="H31" i="8"/>
  <c r="I31" i="8"/>
  <c r="J31" i="8"/>
  <c r="K31" i="8"/>
  <c r="G32" i="8"/>
  <c r="H32" i="8"/>
  <c r="I32" i="8"/>
  <c r="J32" i="8"/>
  <c r="K32" i="8"/>
  <c r="G4" i="7"/>
  <c r="H4" i="7"/>
  <c r="I4" i="7"/>
  <c r="J4" i="7"/>
  <c r="K4" i="7"/>
  <c r="G5" i="7"/>
  <c r="I5" i="7" s="1"/>
  <c r="K5" i="7" s="1"/>
  <c r="H5" i="7"/>
  <c r="J5" i="7"/>
  <c r="G6" i="7"/>
  <c r="H6" i="7"/>
  <c r="I6" i="7"/>
  <c r="J6" i="7"/>
  <c r="K6" i="7"/>
  <c r="G7" i="7"/>
  <c r="I7" i="7" s="1"/>
  <c r="K7" i="7" s="1"/>
  <c r="H7" i="7"/>
  <c r="J7" i="7"/>
  <c r="G8" i="7"/>
  <c r="H8" i="7"/>
  <c r="I8" i="7"/>
  <c r="J8" i="7"/>
  <c r="K8" i="7"/>
  <c r="G9" i="7"/>
  <c r="I9" i="7" s="1"/>
  <c r="K9" i="7" s="1"/>
  <c r="H9" i="7"/>
  <c r="J9" i="7"/>
  <c r="G10" i="7"/>
  <c r="H10" i="7"/>
  <c r="I10" i="7"/>
  <c r="J10" i="7"/>
  <c r="K10" i="7"/>
  <c r="G11" i="7"/>
  <c r="I11" i="7" s="1"/>
  <c r="K11" i="7" s="1"/>
  <c r="H11" i="7"/>
  <c r="J11" i="7"/>
  <c r="G12" i="7"/>
  <c r="H12" i="7"/>
  <c r="I12" i="7"/>
  <c r="J12" i="7"/>
  <c r="K12" i="7"/>
  <c r="G13" i="7"/>
  <c r="I13" i="7" s="1"/>
  <c r="K13" i="7" s="1"/>
  <c r="H13" i="7"/>
  <c r="J13" i="7"/>
  <c r="G14" i="7"/>
  <c r="H14" i="7"/>
  <c r="I14" i="7"/>
  <c r="J14" i="7"/>
  <c r="K14" i="7"/>
  <c r="G15" i="7"/>
  <c r="I15" i="7" s="1"/>
  <c r="K15" i="7" s="1"/>
  <c r="H15" i="7"/>
  <c r="J15" i="7"/>
  <c r="G16" i="7"/>
  <c r="H16" i="7"/>
  <c r="I16" i="7"/>
  <c r="J16" i="7"/>
  <c r="K16" i="7"/>
  <c r="G17" i="7"/>
  <c r="I17" i="7" s="1"/>
  <c r="K17" i="7" s="1"/>
  <c r="H17" i="7"/>
  <c r="J17" i="7"/>
  <c r="G18" i="7"/>
  <c r="H18" i="7"/>
  <c r="I18" i="7"/>
  <c r="J18" i="7"/>
  <c r="K18" i="7"/>
  <c r="G19" i="7"/>
  <c r="I19" i="7" s="1"/>
  <c r="K19" i="7" s="1"/>
  <c r="H19" i="7"/>
  <c r="J19" i="7"/>
  <c r="G20" i="7"/>
  <c r="H20" i="7"/>
  <c r="I20" i="7"/>
  <c r="J20" i="7"/>
  <c r="K20" i="7"/>
  <c r="G21" i="7"/>
  <c r="I21" i="7" s="1"/>
  <c r="K21" i="7" s="1"/>
  <c r="H21" i="7"/>
  <c r="J21" i="7"/>
  <c r="G22" i="7"/>
  <c r="H22" i="7"/>
  <c r="I22" i="7"/>
  <c r="J22" i="7"/>
  <c r="K22" i="7"/>
  <c r="G23" i="7"/>
  <c r="I23" i="7" s="1"/>
  <c r="K23" i="7" s="1"/>
  <c r="H23" i="7"/>
  <c r="J23" i="7"/>
  <c r="G24" i="7"/>
  <c r="H24" i="7"/>
  <c r="I24" i="7"/>
  <c r="J24" i="7"/>
  <c r="K24" i="7"/>
  <c r="G25" i="7"/>
  <c r="I25" i="7" s="1"/>
  <c r="K25" i="7" s="1"/>
  <c r="H25" i="7"/>
  <c r="J25" i="7"/>
  <c r="G26" i="7"/>
  <c r="H26" i="7"/>
  <c r="I26" i="7"/>
  <c r="J26" i="7"/>
  <c r="K26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20" i="6"/>
  <c r="H20" i="6"/>
  <c r="I20" i="6"/>
  <c r="J20" i="6"/>
  <c r="K20" i="6"/>
  <c r="G21" i="6"/>
  <c r="H21" i="6"/>
  <c r="I21" i="6"/>
  <c r="J21" i="6"/>
  <c r="K21" i="6"/>
  <c r="G22" i="6"/>
  <c r="H22" i="6"/>
  <c r="I22" i="6"/>
  <c r="J22" i="6"/>
  <c r="K22" i="6"/>
  <c r="G23" i="6"/>
  <c r="H23" i="6"/>
  <c r="I23" i="6"/>
  <c r="J23" i="6"/>
  <c r="K23" i="6"/>
  <c r="G24" i="6"/>
  <c r="H24" i="6"/>
  <c r="I24" i="6"/>
  <c r="J24" i="6"/>
  <c r="K24" i="6"/>
  <c r="G25" i="6"/>
  <c r="H25" i="6"/>
  <c r="I25" i="6"/>
  <c r="J25" i="6"/>
  <c r="K25" i="6"/>
  <c r="G26" i="6"/>
  <c r="H26" i="6"/>
  <c r="I26" i="6"/>
  <c r="J26" i="6"/>
  <c r="K26" i="6"/>
  <c r="G27" i="6"/>
  <c r="H27" i="6"/>
  <c r="I27" i="6"/>
  <c r="J27" i="6"/>
  <c r="K27" i="6"/>
  <c r="G28" i="6"/>
  <c r="H28" i="6"/>
  <c r="I28" i="6"/>
  <c r="J28" i="6"/>
  <c r="K28" i="6"/>
  <c r="G4" i="5"/>
  <c r="H4" i="5"/>
  <c r="I4" i="5"/>
  <c r="K4" i="5" s="1"/>
  <c r="J4" i="5"/>
  <c r="G5" i="5"/>
  <c r="H5" i="5"/>
  <c r="I5" i="5"/>
  <c r="J5" i="5"/>
  <c r="K5" i="5"/>
  <c r="G6" i="5"/>
  <c r="H6" i="5"/>
  <c r="I6" i="5"/>
  <c r="K6" i="5" s="1"/>
  <c r="J6" i="5"/>
  <c r="G7" i="5"/>
  <c r="H7" i="5"/>
  <c r="I7" i="5"/>
  <c r="J7" i="5"/>
  <c r="K7" i="5"/>
  <c r="G8" i="5"/>
  <c r="H8" i="5"/>
  <c r="I8" i="5"/>
  <c r="K8" i="5" s="1"/>
  <c r="J8" i="5"/>
  <c r="G9" i="5"/>
  <c r="H9" i="5"/>
  <c r="I9" i="5"/>
  <c r="J9" i="5"/>
  <c r="K9" i="5"/>
  <c r="G10" i="5"/>
  <c r="H10" i="5"/>
  <c r="I10" i="5"/>
  <c r="K10" i="5" s="1"/>
  <c r="J10" i="5"/>
  <c r="G11" i="5"/>
  <c r="H11" i="5"/>
  <c r="I11" i="5"/>
  <c r="J11" i="5"/>
  <c r="K11" i="5"/>
  <c r="G12" i="5"/>
  <c r="H12" i="5"/>
  <c r="I12" i="5"/>
  <c r="K12" i="5" s="1"/>
  <c r="J12" i="5"/>
  <c r="G13" i="5"/>
  <c r="H13" i="5"/>
  <c r="I13" i="5"/>
  <c r="J13" i="5"/>
  <c r="K13" i="5"/>
  <c r="G14" i="5"/>
  <c r="H14" i="5"/>
  <c r="I14" i="5"/>
  <c r="K14" i="5" s="1"/>
  <c r="J14" i="5"/>
  <c r="G15" i="5"/>
  <c r="H15" i="5"/>
  <c r="I15" i="5"/>
  <c r="J15" i="5"/>
  <c r="K15" i="5"/>
  <c r="G16" i="5"/>
  <c r="H16" i="5"/>
  <c r="I16" i="5"/>
  <c r="K16" i="5" s="1"/>
  <c r="J16" i="5"/>
  <c r="G17" i="5"/>
  <c r="H17" i="5"/>
  <c r="I17" i="5"/>
  <c r="J17" i="5"/>
  <c r="K17" i="5"/>
  <c r="G18" i="5"/>
  <c r="H18" i="5"/>
  <c r="I18" i="5"/>
  <c r="K18" i="5" s="1"/>
  <c r="J18" i="5"/>
  <c r="G19" i="5"/>
  <c r="H19" i="5"/>
  <c r="I19" i="5"/>
  <c r="J19" i="5"/>
  <c r="K19" i="5"/>
  <c r="G20" i="5"/>
  <c r="H20" i="5"/>
  <c r="I20" i="5"/>
  <c r="K20" i="5" s="1"/>
  <c r="J20" i="5"/>
  <c r="G21" i="5"/>
  <c r="H21" i="5"/>
  <c r="I21" i="5"/>
  <c r="J21" i="5"/>
  <c r="K21" i="5"/>
  <c r="G22" i="5"/>
  <c r="H22" i="5"/>
  <c r="I22" i="5"/>
  <c r="K22" i="5" s="1"/>
  <c r="J22" i="5"/>
  <c r="G23" i="5"/>
  <c r="H23" i="5"/>
  <c r="I23" i="5"/>
  <c r="K23" i="5" s="1"/>
  <c r="J23" i="5"/>
  <c r="G24" i="5"/>
  <c r="H24" i="5"/>
  <c r="I24" i="5"/>
  <c r="K24" i="5" s="1"/>
  <c r="J24" i="5"/>
  <c r="G25" i="5"/>
  <c r="H25" i="5"/>
  <c r="I25" i="5"/>
  <c r="K25" i="5" s="1"/>
  <c r="J25" i="5"/>
  <c r="G26" i="5"/>
  <c r="H26" i="5"/>
  <c r="I26" i="5"/>
  <c r="K26" i="5" s="1"/>
  <c r="J26" i="5"/>
  <c r="G27" i="5"/>
  <c r="H27" i="5"/>
  <c r="I27" i="5"/>
  <c r="J27" i="5"/>
  <c r="K27" i="5"/>
  <c r="G28" i="5"/>
  <c r="H28" i="5"/>
  <c r="I28" i="5"/>
  <c r="K28" i="5" s="1"/>
  <c r="J28" i="5"/>
  <c r="G29" i="5"/>
  <c r="H29" i="5"/>
  <c r="I29" i="5"/>
  <c r="J29" i="5"/>
  <c r="K29" i="5"/>
  <c r="G30" i="5"/>
  <c r="H30" i="5"/>
  <c r="I30" i="5"/>
  <c r="K30" i="5" s="1"/>
  <c r="J30" i="5"/>
  <c r="G31" i="5"/>
  <c r="H31" i="5"/>
  <c r="I31" i="5"/>
  <c r="K31" i="5" s="1"/>
  <c r="J31" i="5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3" i="4"/>
  <c r="H23" i="4"/>
  <c r="I23" i="4"/>
  <c r="J23" i="4"/>
  <c r="K23" i="4"/>
  <c r="G24" i="4"/>
  <c r="H24" i="4"/>
  <c r="I24" i="4"/>
  <c r="J24" i="4"/>
  <c r="K24" i="4"/>
  <c r="G25" i="4"/>
  <c r="H25" i="4"/>
  <c r="I25" i="4"/>
  <c r="J25" i="4"/>
  <c r="K25" i="4"/>
  <c r="G26" i="4"/>
  <c r="H26" i="4"/>
  <c r="I26" i="4"/>
  <c r="J26" i="4"/>
  <c r="K26" i="4"/>
  <c r="G27" i="4"/>
  <c r="H27" i="4"/>
  <c r="I27" i="4"/>
  <c r="J27" i="4"/>
  <c r="K27" i="4"/>
  <c r="G28" i="4"/>
  <c r="H28" i="4"/>
  <c r="I28" i="4"/>
  <c r="J28" i="4"/>
  <c r="K28" i="4"/>
  <c r="G29" i="4"/>
  <c r="H29" i="4"/>
  <c r="I29" i="4"/>
  <c r="J29" i="4"/>
  <c r="K29" i="4"/>
  <c r="G30" i="4"/>
  <c r="H30" i="4"/>
  <c r="I30" i="4"/>
  <c r="J30" i="4"/>
  <c r="K30" i="4"/>
  <c r="G31" i="4"/>
  <c r="H31" i="4"/>
  <c r="I31" i="4"/>
  <c r="J31" i="4"/>
  <c r="K31" i="4"/>
  <c r="G32" i="4"/>
  <c r="H32" i="4"/>
  <c r="I32" i="4"/>
  <c r="J32" i="4"/>
  <c r="K32" i="4"/>
  <c r="G33" i="4"/>
  <c r="H33" i="4"/>
  <c r="I33" i="4"/>
  <c r="J33" i="4"/>
  <c r="K33" i="4"/>
  <c r="G34" i="4"/>
  <c r="H34" i="4"/>
  <c r="I34" i="4"/>
  <c r="J34" i="4"/>
  <c r="K34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I12" i="3"/>
  <c r="J12" i="3"/>
  <c r="K12" i="3"/>
  <c r="G13" i="3"/>
  <c r="H13" i="3"/>
  <c r="I13" i="3"/>
  <c r="J13" i="3"/>
  <c r="K13" i="3"/>
  <c r="G14" i="3"/>
  <c r="H14" i="3"/>
  <c r="I14" i="3"/>
  <c r="J14" i="3"/>
  <c r="K14" i="3"/>
  <c r="G15" i="3"/>
  <c r="H15" i="3"/>
  <c r="I15" i="3"/>
  <c r="J15" i="3"/>
  <c r="K15" i="3"/>
  <c r="G16" i="3"/>
  <c r="H16" i="3"/>
  <c r="I16" i="3"/>
  <c r="J16" i="3"/>
  <c r="K16" i="3"/>
  <c r="G17" i="3"/>
  <c r="H17" i="3"/>
  <c r="I17" i="3"/>
  <c r="J17" i="3"/>
  <c r="K17" i="3"/>
  <c r="G18" i="3"/>
  <c r="H18" i="3"/>
  <c r="I18" i="3"/>
  <c r="J18" i="3"/>
  <c r="K18" i="3"/>
  <c r="G19" i="3"/>
  <c r="H19" i="3"/>
  <c r="I19" i="3"/>
  <c r="J19" i="3"/>
  <c r="K19" i="3"/>
  <c r="G20" i="3"/>
  <c r="H20" i="3"/>
  <c r="I20" i="3"/>
  <c r="J20" i="3"/>
  <c r="K20" i="3"/>
  <c r="G21" i="3"/>
  <c r="H21" i="3"/>
  <c r="I21" i="3"/>
  <c r="J21" i="3"/>
  <c r="K21" i="3"/>
  <c r="G22" i="3"/>
  <c r="H22" i="3"/>
  <c r="I22" i="3"/>
  <c r="J22" i="3"/>
  <c r="K22" i="3"/>
  <c r="G23" i="3"/>
  <c r="H23" i="3"/>
  <c r="I23" i="3"/>
  <c r="J23" i="3"/>
  <c r="K23" i="3"/>
  <c r="G24" i="3"/>
  <c r="H24" i="3"/>
  <c r="I24" i="3"/>
  <c r="J24" i="3"/>
  <c r="K24" i="3"/>
  <c r="G25" i="3"/>
  <c r="H25" i="3"/>
  <c r="I25" i="3"/>
  <c r="J25" i="3"/>
  <c r="K25" i="3"/>
  <c r="G26" i="3"/>
  <c r="H26" i="3"/>
  <c r="I26" i="3"/>
  <c r="J26" i="3"/>
  <c r="K26" i="3"/>
  <c r="G27" i="3"/>
  <c r="H27" i="3"/>
  <c r="I27" i="3"/>
  <c r="J27" i="3"/>
  <c r="K27" i="3"/>
  <c r="G28" i="3"/>
  <c r="H28" i="3"/>
  <c r="I28" i="3"/>
  <c r="J28" i="3"/>
  <c r="K28" i="3"/>
  <c r="G29" i="3"/>
  <c r="H29" i="3"/>
  <c r="I29" i="3"/>
  <c r="J29" i="3"/>
  <c r="K29" i="3"/>
  <c r="G30" i="3"/>
  <c r="H30" i="3"/>
  <c r="I30" i="3"/>
  <c r="J30" i="3"/>
  <c r="K30" i="3"/>
  <c r="G31" i="3"/>
  <c r="H31" i="3"/>
  <c r="I31" i="3"/>
  <c r="J31" i="3"/>
  <c r="K31" i="3"/>
  <c r="G32" i="3"/>
  <c r="H32" i="3"/>
  <c r="I32" i="3"/>
  <c r="J32" i="3"/>
  <c r="K32" i="3"/>
  <c r="G33" i="3"/>
  <c r="H33" i="3"/>
  <c r="I33" i="3"/>
  <c r="J33" i="3"/>
  <c r="K33" i="3"/>
  <c r="G34" i="3"/>
  <c r="H34" i="3"/>
  <c r="I34" i="3"/>
  <c r="K34" i="3" s="1"/>
  <c r="J34" i="3"/>
  <c r="G35" i="3"/>
  <c r="H35" i="3"/>
  <c r="I35" i="3"/>
  <c r="J35" i="3"/>
  <c r="K35" i="3"/>
  <c r="G36" i="3"/>
  <c r="H36" i="3"/>
  <c r="I36" i="3"/>
  <c r="J36" i="3"/>
  <c r="K36" i="3"/>
  <c r="G37" i="3"/>
  <c r="H37" i="3"/>
  <c r="I37" i="3"/>
  <c r="J37" i="3"/>
  <c r="K37" i="3"/>
  <c r="G38" i="3"/>
  <c r="H38" i="3"/>
  <c r="I38" i="3"/>
  <c r="J38" i="3"/>
  <c r="K38" i="3"/>
  <c r="G39" i="3"/>
  <c r="H39" i="3"/>
  <c r="I39" i="3"/>
  <c r="J39" i="3"/>
  <c r="K39" i="3"/>
  <c r="G40" i="3"/>
  <c r="H40" i="3"/>
  <c r="I40" i="3"/>
  <c r="J40" i="3"/>
  <c r="K40" i="3"/>
  <c r="G41" i="3"/>
  <c r="H41" i="3"/>
  <c r="I41" i="3"/>
  <c r="J41" i="3"/>
  <c r="K41" i="3"/>
  <c r="G42" i="3"/>
  <c r="H42" i="3"/>
  <c r="I42" i="3"/>
  <c r="J42" i="3"/>
  <c r="K42" i="3"/>
  <c r="G43" i="3"/>
  <c r="H43" i="3"/>
  <c r="I43" i="3"/>
  <c r="J43" i="3"/>
  <c r="K43" i="3"/>
  <c r="G44" i="3"/>
  <c r="H44" i="3"/>
  <c r="I44" i="3"/>
  <c r="J44" i="3"/>
  <c r="K44" i="3"/>
  <c r="G45" i="3"/>
  <c r="H45" i="3"/>
  <c r="I45" i="3"/>
  <c r="J45" i="3"/>
  <c r="K45" i="3"/>
  <c r="G46" i="3"/>
  <c r="H46" i="3"/>
  <c r="I46" i="3"/>
  <c r="J46" i="3"/>
  <c r="K46" i="3"/>
  <c r="G47" i="3"/>
  <c r="H47" i="3"/>
  <c r="I47" i="3"/>
  <c r="J47" i="3"/>
  <c r="K47" i="3"/>
  <c r="G48" i="3"/>
  <c r="H48" i="3"/>
  <c r="I48" i="3"/>
  <c r="J48" i="3"/>
  <c r="K48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G24" i="2"/>
  <c r="H24" i="2"/>
  <c r="I24" i="2"/>
  <c r="J24" i="2"/>
  <c r="K24" i="2"/>
  <c r="G25" i="2"/>
  <c r="H25" i="2"/>
  <c r="I25" i="2"/>
  <c r="J25" i="2"/>
  <c r="K25" i="2"/>
  <c r="G26" i="2"/>
  <c r="H26" i="2"/>
  <c r="I26" i="2"/>
  <c r="J26" i="2"/>
  <c r="K26" i="2"/>
  <c r="G27" i="2"/>
  <c r="H27" i="2"/>
  <c r="I27" i="2"/>
  <c r="J27" i="2"/>
  <c r="K27" i="2"/>
  <c r="G28" i="2"/>
  <c r="H28" i="2"/>
  <c r="I28" i="2"/>
  <c r="J28" i="2"/>
  <c r="K28" i="2"/>
  <c r="G29" i="2"/>
  <c r="H29" i="2"/>
  <c r="I29" i="2"/>
  <c r="J29" i="2"/>
  <c r="K29" i="2"/>
  <c r="G30" i="2"/>
  <c r="H30" i="2"/>
  <c r="I30" i="2"/>
  <c r="J30" i="2"/>
  <c r="K30" i="2"/>
  <c r="G31" i="2"/>
  <c r="H31" i="2"/>
  <c r="I31" i="2"/>
  <c r="J31" i="2"/>
  <c r="K31" i="2"/>
  <c r="G32" i="2"/>
  <c r="H32" i="2"/>
  <c r="I32" i="2"/>
  <c r="J32" i="2"/>
  <c r="K32" i="2"/>
  <c r="G33" i="2"/>
  <c r="H33" i="2"/>
  <c r="I33" i="2"/>
  <c r="J33" i="2"/>
  <c r="K33" i="2"/>
  <c r="G34" i="2"/>
  <c r="H34" i="2"/>
  <c r="I34" i="2"/>
  <c r="J34" i="2"/>
  <c r="K34" i="2"/>
  <c r="G35" i="2"/>
  <c r="H35" i="2"/>
  <c r="I35" i="2"/>
  <c r="J35" i="2"/>
  <c r="K35" i="2"/>
  <c r="G36" i="2"/>
  <c r="H36" i="2"/>
  <c r="I36" i="2"/>
  <c r="J36" i="2"/>
  <c r="K36" i="2"/>
  <c r="G37" i="2"/>
  <c r="H37" i="2"/>
  <c r="I37" i="2"/>
  <c r="J37" i="2"/>
  <c r="K37" i="2"/>
  <c r="G38" i="2"/>
  <c r="H38" i="2"/>
  <c r="I38" i="2"/>
  <c r="J38" i="2"/>
  <c r="K38" i="2"/>
  <c r="G39" i="2"/>
  <c r="H39" i="2"/>
  <c r="I39" i="2"/>
  <c r="J39" i="2"/>
  <c r="K39" i="2"/>
  <c r="G40" i="2"/>
  <c r="H40" i="2"/>
  <c r="I40" i="2"/>
  <c r="J40" i="2"/>
  <c r="K40" i="2"/>
  <c r="G41" i="2"/>
  <c r="H41" i="2"/>
  <c r="I41" i="2"/>
  <c r="J41" i="2"/>
  <c r="K41" i="2"/>
  <c r="G42" i="2"/>
  <c r="H42" i="2"/>
  <c r="I42" i="2"/>
  <c r="J42" i="2"/>
  <c r="K42" i="2"/>
  <c r="G43" i="2"/>
  <c r="H43" i="2"/>
  <c r="I43" i="2"/>
  <c r="J43" i="2"/>
  <c r="K43" i="2"/>
  <c r="G44" i="2"/>
  <c r="H44" i="2"/>
  <c r="I44" i="2"/>
  <c r="J44" i="2"/>
  <c r="K44" i="2"/>
  <c r="G45" i="2"/>
  <c r="H45" i="2"/>
  <c r="I45" i="2"/>
  <c r="J45" i="2"/>
  <c r="K45" i="2"/>
  <c r="G46" i="2"/>
  <c r="H46" i="2"/>
  <c r="I46" i="2"/>
  <c r="J46" i="2"/>
  <c r="K46" i="2"/>
  <c r="G47" i="2"/>
  <c r="H47" i="2"/>
  <c r="I47" i="2"/>
  <c r="J47" i="2"/>
  <c r="K47" i="2"/>
  <c r="G48" i="2"/>
  <c r="H48" i="2"/>
  <c r="I48" i="2"/>
  <c r="J48" i="2"/>
  <c r="K48" i="2"/>
  <c r="G49" i="2"/>
  <c r="H49" i="2"/>
  <c r="I49" i="2"/>
  <c r="J49" i="2"/>
  <c r="K49" i="2"/>
  <c r="G50" i="2"/>
  <c r="H50" i="2"/>
  <c r="I50" i="2"/>
  <c r="J50" i="2"/>
  <c r="K50" i="2"/>
  <c r="G51" i="2"/>
  <c r="H51" i="2"/>
  <c r="I51" i="2"/>
  <c r="J51" i="2"/>
  <c r="K51" i="2"/>
  <c r="G52" i="2"/>
  <c r="H52" i="2"/>
  <c r="I52" i="2"/>
  <c r="J52" i="2"/>
  <c r="K52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I3" i="6"/>
  <c r="K3" i="6" s="1"/>
  <c r="H3" i="6"/>
  <c r="G3" i="6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K3" i="2"/>
  <c r="J3" i="2"/>
  <c r="I3" i="2"/>
  <c r="H3" i="2"/>
  <c r="G3" i="2"/>
  <c r="L33" i="13"/>
  <c r="F33" i="13"/>
  <c r="E33" i="13"/>
  <c r="H36" i="13" s="1"/>
  <c r="D33" i="13"/>
  <c r="C33" i="13"/>
  <c r="L35" i="12"/>
  <c r="F35" i="12"/>
  <c r="E35" i="12"/>
  <c r="G38" i="12" s="1"/>
  <c r="D35" i="12"/>
  <c r="C35" i="12"/>
  <c r="H47" i="11"/>
  <c r="L44" i="11"/>
  <c r="F44" i="11"/>
  <c r="E12" i="1" s="1"/>
  <c r="V12" i="1" s="1"/>
  <c r="E44" i="11"/>
  <c r="D44" i="11"/>
  <c r="C44" i="11"/>
  <c r="G47" i="11" s="1"/>
  <c r="H26" i="10"/>
  <c r="G26" i="10"/>
  <c r="L23" i="10"/>
  <c r="F23" i="10"/>
  <c r="E11" i="1" s="1"/>
  <c r="V11" i="1" s="1"/>
  <c r="E23" i="10"/>
  <c r="D23" i="10"/>
  <c r="C23" i="10"/>
  <c r="H39" i="9"/>
  <c r="L36" i="9"/>
  <c r="F36" i="9"/>
  <c r="E36" i="9"/>
  <c r="G39" i="9" s="1"/>
  <c r="D36" i="9"/>
  <c r="C36" i="9"/>
  <c r="H36" i="8"/>
  <c r="L33" i="8"/>
  <c r="F33" i="8"/>
  <c r="E9" i="1" s="1"/>
  <c r="V9" i="1" s="1"/>
  <c r="E33" i="8"/>
  <c r="D33" i="8"/>
  <c r="C33" i="8"/>
  <c r="G36" i="8" s="1"/>
  <c r="H30" i="7"/>
  <c r="G30" i="7"/>
  <c r="L27" i="7"/>
  <c r="F27" i="7"/>
  <c r="E8" i="1" s="1"/>
  <c r="V8" i="1" s="1"/>
  <c r="E27" i="7"/>
  <c r="D27" i="7"/>
  <c r="C27" i="7"/>
  <c r="H32" i="6"/>
  <c r="L29" i="6"/>
  <c r="F29" i="6"/>
  <c r="E29" i="6"/>
  <c r="D29" i="6"/>
  <c r="C29" i="6"/>
  <c r="G32" i="6" s="1"/>
  <c r="G35" i="5"/>
  <c r="L32" i="5"/>
  <c r="K6" i="1" s="1"/>
  <c r="F32" i="5"/>
  <c r="E6" i="1" s="1"/>
  <c r="E32" i="5"/>
  <c r="D32" i="5"/>
  <c r="C6" i="1" s="1"/>
  <c r="U6" i="1" s="1"/>
  <c r="C32" i="5"/>
  <c r="G38" i="4"/>
  <c r="L35" i="4"/>
  <c r="F35" i="4"/>
  <c r="E35" i="4"/>
  <c r="H38" i="4" s="1"/>
  <c r="D35" i="4"/>
  <c r="C35" i="4"/>
  <c r="H52" i="3"/>
  <c r="G52" i="3"/>
  <c r="L49" i="3"/>
  <c r="F49" i="3"/>
  <c r="E4" i="1" s="1"/>
  <c r="V4" i="1" s="1"/>
  <c r="E49" i="3"/>
  <c r="D49" i="3"/>
  <c r="C49" i="3"/>
  <c r="H56" i="2"/>
  <c r="G56" i="2"/>
  <c r="L53" i="2"/>
  <c r="K3" i="1" s="1"/>
  <c r="K15" i="1" s="1"/>
  <c r="F53" i="2"/>
  <c r="E3" i="1" s="1"/>
  <c r="E53" i="2"/>
  <c r="D53" i="2"/>
  <c r="C53" i="2"/>
  <c r="U14" i="1"/>
  <c r="K14" i="1"/>
  <c r="E14" i="1"/>
  <c r="D14" i="1"/>
  <c r="T14" i="1" s="1"/>
  <c r="C14" i="1"/>
  <c r="V14" i="1" s="1"/>
  <c r="B14" i="1"/>
  <c r="U13" i="1"/>
  <c r="K13" i="1"/>
  <c r="E13" i="1"/>
  <c r="D13" i="1"/>
  <c r="T13" i="1" s="1"/>
  <c r="C13" i="1"/>
  <c r="V13" i="1" s="1"/>
  <c r="B13" i="1"/>
  <c r="U12" i="1"/>
  <c r="K12" i="1"/>
  <c r="D12" i="1"/>
  <c r="T12" i="1" s="1"/>
  <c r="C12" i="1"/>
  <c r="B12" i="1"/>
  <c r="U11" i="1"/>
  <c r="K11" i="1"/>
  <c r="D11" i="1"/>
  <c r="T11" i="1" s="1"/>
  <c r="C11" i="1"/>
  <c r="B11" i="1"/>
  <c r="U10" i="1"/>
  <c r="K10" i="1"/>
  <c r="E10" i="1"/>
  <c r="D10" i="1"/>
  <c r="T10" i="1" s="1"/>
  <c r="C10" i="1"/>
  <c r="V10" i="1" s="1"/>
  <c r="B10" i="1"/>
  <c r="U9" i="1"/>
  <c r="K9" i="1"/>
  <c r="D9" i="1"/>
  <c r="T9" i="1" s="1"/>
  <c r="C9" i="1"/>
  <c r="B9" i="1"/>
  <c r="U8" i="1"/>
  <c r="K8" i="1"/>
  <c r="D8" i="1"/>
  <c r="C8" i="1"/>
  <c r="B8" i="1"/>
  <c r="U7" i="1"/>
  <c r="K7" i="1"/>
  <c r="E7" i="1"/>
  <c r="D7" i="1"/>
  <c r="T7" i="1" s="1"/>
  <c r="C7" i="1"/>
  <c r="V7" i="1" s="1"/>
  <c r="B7" i="1"/>
  <c r="D6" i="1"/>
  <c r="T6" i="1" s="1"/>
  <c r="B6" i="1"/>
  <c r="U5" i="1"/>
  <c r="K5" i="1"/>
  <c r="E5" i="1"/>
  <c r="D5" i="1"/>
  <c r="C5" i="1"/>
  <c r="V5" i="1" s="1"/>
  <c r="B5" i="1"/>
  <c r="U4" i="1"/>
  <c r="K4" i="1"/>
  <c r="D4" i="1"/>
  <c r="T4" i="1" s="1"/>
  <c r="C4" i="1"/>
  <c r="B4" i="1"/>
  <c r="U3" i="1"/>
  <c r="D3" i="1"/>
  <c r="T3" i="1" s="1"/>
  <c r="C3" i="1"/>
  <c r="C15" i="1" s="1"/>
  <c r="B3" i="1"/>
  <c r="H23" i="10" l="1"/>
  <c r="K44" i="11"/>
  <c r="J35" i="12"/>
  <c r="I35" i="12"/>
  <c r="I36" i="12" s="1"/>
  <c r="I44" i="11"/>
  <c r="I45" i="11" s="1"/>
  <c r="H44" i="11"/>
  <c r="H45" i="11" s="1"/>
  <c r="G23" i="10"/>
  <c r="G24" i="10" s="1"/>
  <c r="H36" i="9"/>
  <c r="G10" i="1" s="1"/>
  <c r="K35" i="4"/>
  <c r="K36" i="4" s="1"/>
  <c r="K35" i="12"/>
  <c r="J13" i="1" s="1"/>
  <c r="I23" i="10"/>
  <c r="H11" i="1" s="1"/>
  <c r="O11" i="1" s="1"/>
  <c r="I49" i="3"/>
  <c r="H4" i="1" s="1"/>
  <c r="O4" i="1" s="1"/>
  <c r="G33" i="8"/>
  <c r="F9" i="1" s="1"/>
  <c r="M9" i="1" s="1"/>
  <c r="J53" i="2"/>
  <c r="I3" i="1" s="1"/>
  <c r="J49" i="3"/>
  <c r="I4" i="1" s="1"/>
  <c r="K33" i="8"/>
  <c r="K34" i="8" s="1"/>
  <c r="J27" i="7"/>
  <c r="I8" i="1" s="1"/>
  <c r="J35" i="4"/>
  <c r="I5" i="1" s="1"/>
  <c r="J36" i="9"/>
  <c r="I10" i="1" s="1"/>
  <c r="K29" i="6"/>
  <c r="J7" i="1" s="1"/>
  <c r="H33" i="8"/>
  <c r="H34" i="8" s="1"/>
  <c r="K36" i="9"/>
  <c r="K37" i="9" s="1"/>
  <c r="J23" i="10"/>
  <c r="G35" i="12"/>
  <c r="G33" i="13"/>
  <c r="F14" i="1" s="1"/>
  <c r="M14" i="1" s="1"/>
  <c r="K27" i="7"/>
  <c r="K28" i="7" s="1"/>
  <c r="I33" i="8"/>
  <c r="H9" i="1" s="1"/>
  <c r="O9" i="1" s="1"/>
  <c r="G36" i="9"/>
  <c r="F10" i="1" s="1"/>
  <c r="M10" i="1" s="1"/>
  <c r="I35" i="4"/>
  <c r="I36" i="4" s="1"/>
  <c r="I32" i="5"/>
  <c r="H6" i="1" s="1"/>
  <c r="G27" i="7"/>
  <c r="G28" i="7" s="1"/>
  <c r="H27" i="7"/>
  <c r="G8" i="1" s="1"/>
  <c r="I53" i="2"/>
  <c r="I54" i="2" s="1"/>
  <c r="G32" i="5"/>
  <c r="K49" i="3"/>
  <c r="K50" i="3" s="1"/>
  <c r="H35" i="4"/>
  <c r="G5" i="1" s="1"/>
  <c r="N5" i="1" s="1"/>
  <c r="I36" i="9"/>
  <c r="H10" i="1" s="1"/>
  <c r="I27" i="7"/>
  <c r="H8" i="1" s="1"/>
  <c r="K23" i="10"/>
  <c r="H32" i="5"/>
  <c r="H35" i="12"/>
  <c r="H36" i="12" s="1"/>
  <c r="H33" i="13"/>
  <c r="G14" i="1" s="1"/>
  <c r="G35" i="4"/>
  <c r="G36" i="4" s="1"/>
  <c r="H29" i="6"/>
  <c r="G7" i="1" s="1"/>
  <c r="J44" i="11"/>
  <c r="I33" i="13"/>
  <c r="I34" i="13" s="1"/>
  <c r="G29" i="6"/>
  <c r="F7" i="1" s="1"/>
  <c r="M7" i="1" s="1"/>
  <c r="G49" i="3"/>
  <c r="F4" i="1" s="1"/>
  <c r="M4" i="1" s="1"/>
  <c r="K53" i="2"/>
  <c r="K54" i="2" s="1"/>
  <c r="J32" i="5"/>
  <c r="I29" i="6"/>
  <c r="I30" i="6" s="1"/>
  <c r="J33" i="13"/>
  <c r="I14" i="1" s="1"/>
  <c r="H49" i="3"/>
  <c r="G53" i="2"/>
  <c r="K32" i="5"/>
  <c r="K33" i="5" s="1"/>
  <c r="J29" i="6"/>
  <c r="J33" i="8"/>
  <c r="J34" i="8" s="1"/>
  <c r="G44" i="11"/>
  <c r="K33" i="13"/>
  <c r="K34" i="13" s="1"/>
  <c r="H53" i="2"/>
  <c r="H54" i="2" s="1"/>
  <c r="G11" i="1"/>
  <c r="H24" i="10"/>
  <c r="T5" i="1"/>
  <c r="V6" i="1"/>
  <c r="K45" i="11"/>
  <c r="J12" i="1"/>
  <c r="I13" i="1"/>
  <c r="J36" i="12"/>
  <c r="E15" i="1"/>
  <c r="V15" i="1" s="1"/>
  <c r="V3" i="1"/>
  <c r="T8" i="1"/>
  <c r="B15" i="1"/>
  <c r="H35" i="5"/>
  <c r="D15" i="1"/>
  <c r="I50" i="3"/>
  <c r="H38" i="12"/>
  <c r="G36" i="13"/>
  <c r="I37" i="12" l="1"/>
  <c r="H13" i="1"/>
  <c r="O13" i="1" s="1"/>
  <c r="G12" i="1"/>
  <c r="N12" i="1" s="1"/>
  <c r="H12" i="1"/>
  <c r="O12" i="1" s="1"/>
  <c r="G34" i="8"/>
  <c r="H25" i="10"/>
  <c r="F11" i="1"/>
  <c r="M11" i="1" s="1"/>
  <c r="J5" i="1"/>
  <c r="K37" i="4"/>
  <c r="H37" i="9"/>
  <c r="K25" i="10"/>
  <c r="I35" i="8"/>
  <c r="I25" i="10"/>
  <c r="I46" i="11"/>
  <c r="J25" i="10"/>
  <c r="J24" i="10"/>
  <c r="I11" i="1"/>
  <c r="I24" i="10"/>
  <c r="H38" i="9"/>
  <c r="H5" i="1"/>
  <c r="O5" i="1" s="1"/>
  <c r="J55" i="2"/>
  <c r="K36" i="12"/>
  <c r="J54" i="2"/>
  <c r="K35" i="8"/>
  <c r="K30" i="6"/>
  <c r="J37" i="9"/>
  <c r="G50" i="3"/>
  <c r="I51" i="3"/>
  <c r="I28" i="7"/>
  <c r="K46" i="11"/>
  <c r="F12" i="1"/>
  <c r="M12" i="1" s="1"/>
  <c r="K31" i="6"/>
  <c r="I9" i="1"/>
  <c r="R9" i="1" s="1"/>
  <c r="H46" i="11"/>
  <c r="G30" i="6"/>
  <c r="H51" i="3"/>
  <c r="I34" i="5"/>
  <c r="J46" i="11"/>
  <c r="G45" i="11"/>
  <c r="F8" i="1"/>
  <c r="M8" i="1" s="1"/>
  <c r="I33" i="5"/>
  <c r="J36" i="4"/>
  <c r="J38" i="9"/>
  <c r="H34" i="13"/>
  <c r="J35" i="8"/>
  <c r="J10" i="1"/>
  <c r="S10" i="1" s="1"/>
  <c r="H35" i="8"/>
  <c r="H7" i="1"/>
  <c r="Q7" i="1" s="1"/>
  <c r="K38" i="9"/>
  <c r="G13" i="1"/>
  <c r="N13" i="1" s="1"/>
  <c r="H31" i="6"/>
  <c r="G33" i="5"/>
  <c r="J8" i="1"/>
  <c r="H28" i="7"/>
  <c r="F6" i="1"/>
  <c r="M6" i="1" s="1"/>
  <c r="J35" i="13"/>
  <c r="H29" i="7"/>
  <c r="I35" i="13"/>
  <c r="K51" i="3"/>
  <c r="H3" i="1"/>
  <c r="O3" i="1" s="1"/>
  <c r="G37" i="9"/>
  <c r="H14" i="1"/>
  <c r="Q14" i="1" s="1"/>
  <c r="J28" i="7"/>
  <c r="G54" i="2"/>
  <c r="K29" i="7"/>
  <c r="H36" i="4"/>
  <c r="H37" i="12"/>
  <c r="J31" i="6"/>
  <c r="H37" i="4"/>
  <c r="H50" i="3"/>
  <c r="F5" i="1"/>
  <c r="M5" i="1" s="1"/>
  <c r="J50" i="3"/>
  <c r="J9" i="1"/>
  <c r="S9" i="1" s="1"/>
  <c r="J34" i="13"/>
  <c r="J34" i="5"/>
  <c r="H34" i="5"/>
  <c r="J4" i="1"/>
  <c r="S4" i="1" s="1"/>
  <c r="H35" i="13"/>
  <c r="F13" i="1"/>
  <c r="M13" i="1" s="1"/>
  <c r="G9" i="1"/>
  <c r="N9" i="1" s="1"/>
  <c r="J29" i="7"/>
  <c r="J6" i="1"/>
  <c r="G36" i="12"/>
  <c r="J37" i="12"/>
  <c r="I37" i="9"/>
  <c r="I55" i="2"/>
  <c r="K34" i="5"/>
  <c r="I29" i="7"/>
  <c r="J11" i="1"/>
  <c r="I38" i="9"/>
  <c r="J51" i="3"/>
  <c r="J3" i="1"/>
  <c r="J30" i="6"/>
  <c r="H30" i="6"/>
  <c r="I7" i="1"/>
  <c r="R7" i="1" s="1"/>
  <c r="I12" i="1"/>
  <c r="I34" i="8"/>
  <c r="J37" i="4"/>
  <c r="F3" i="1"/>
  <c r="R3" i="1" s="1"/>
  <c r="G34" i="13"/>
  <c r="R14" i="1"/>
  <c r="I31" i="6"/>
  <c r="I6" i="1"/>
  <c r="K35" i="13"/>
  <c r="G6" i="1"/>
  <c r="N6" i="1" s="1"/>
  <c r="J33" i="5"/>
  <c r="J45" i="11"/>
  <c r="G4" i="1"/>
  <c r="N4" i="1" s="1"/>
  <c r="K55" i="2"/>
  <c r="I37" i="4"/>
  <c r="K37" i="12"/>
  <c r="H55" i="2"/>
  <c r="G3" i="1"/>
  <c r="J14" i="1"/>
  <c r="S14" i="1" s="1"/>
  <c r="H33" i="5"/>
  <c r="S7" i="1"/>
  <c r="K24" i="10"/>
  <c r="Q9" i="1"/>
  <c r="T15" i="1"/>
  <c r="U15" i="1"/>
  <c r="N8" i="1"/>
  <c r="N11" i="1"/>
  <c r="N14" i="1"/>
  <c r="P14" i="1"/>
  <c r="O8" i="1"/>
  <c r="R4" i="1"/>
  <c r="Q10" i="1"/>
  <c r="O10" i="1"/>
  <c r="P10" i="1"/>
  <c r="N10" i="1"/>
  <c r="N7" i="1"/>
  <c r="P7" i="1"/>
  <c r="O6" i="1"/>
  <c r="Q4" i="1"/>
  <c r="R10" i="1"/>
  <c r="S11" i="1" l="1"/>
  <c r="P11" i="1"/>
  <c r="R11" i="1"/>
  <c r="Q11" i="1"/>
  <c r="R8" i="1"/>
  <c r="Q8" i="1"/>
  <c r="P8" i="1"/>
  <c r="S12" i="1"/>
  <c r="R12" i="1"/>
  <c r="Q12" i="1"/>
  <c r="P12" i="1"/>
  <c r="O7" i="1"/>
  <c r="S8" i="1"/>
  <c r="Q5" i="1"/>
  <c r="O14" i="1"/>
  <c r="Q13" i="1"/>
  <c r="Q6" i="1"/>
  <c r="R6" i="1"/>
  <c r="S6" i="1"/>
  <c r="R5" i="1"/>
  <c r="S5" i="1"/>
  <c r="P5" i="1"/>
  <c r="H15" i="1"/>
  <c r="P13" i="1"/>
  <c r="P9" i="1"/>
  <c r="R13" i="1"/>
  <c r="S13" i="1"/>
  <c r="M3" i="1"/>
  <c r="F15" i="1"/>
  <c r="M15" i="1" s="1"/>
  <c r="Q3" i="1"/>
  <c r="S3" i="1"/>
  <c r="J15" i="1"/>
  <c r="G15" i="1"/>
  <c r="N15" i="1" s="1"/>
  <c r="P6" i="1"/>
  <c r="P4" i="1"/>
  <c r="I15" i="1"/>
  <c r="P3" i="1"/>
  <c r="N3" i="1"/>
  <c r="Q15" i="1" l="1"/>
  <c r="O15" i="1"/>
  <c r="S15" i="1"/>
  <c r="R15" i="1"/>
  <c r="P15" i="1"/>
</calcChain>
</file>

<file path=xl/sharedStrings.xml><?xml version="1.0" encoding="utf-8"?>
<sst xmlns="http://schemas.openxmlformats.org/spreadsheetml/2006/main" count="640" uniqueCount="444">
  <si>
    <t>Year: 2022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</si>
  <si>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</si>
  <si>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</si>
  <si>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</si>
  <si>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</si>
  <si>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</si>
  <si>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</si>
  <si>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</si>
  <si>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</si>
  <si>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</si>
  <si>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</si>
  <si>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</si>
  <si>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</si>
  <si>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</si>
  <si>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</si>
  <si>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</si>
  <si>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</si>
  <si>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</si>
  <si>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</si>
  <si>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</si>
  <si>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</si>
  <si>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</si>
  <si>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</si>
  <si>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</si>
  <si>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</si>
  <si>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</si>
  <si>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</si>
  <si>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</si>
  <si>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</si>
  <si>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</si>
  <si>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</si>
  <si>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</si>
  <si>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>January 2022 Issue (vol 11, #1)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</si>
  <si>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</si>
  <si>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</si>
  <si>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</si>
  <si>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</si>
  <si>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</si>
  <si>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</si>
  <si>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</si>
  <si>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</si>
  <si>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</si>
  <si>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</si>
  <si>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</si>
  <si>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Synthetic Biology in Chimeric Antigen Receptor T (CAR T) Cell Engineering</t>
  </si>
  <si>
    <t>Advances in Approaches to Study Chromatin-Mediated Epigenetic Memory</t>
  </si>
  <si>
    <t>3D Bioprinting in Skin Related Research: Recent Achievements and Application Perspectives</t>
  </si>
  <si>
    <t>GPCR-FEX: A Fluoride-Based Selection System for Rapid GPCR Screening and Engineering</t>
  </si>
  <si>
    <t>RNA Editing with Viral RNA-Dependent RNA Polymerase</t>
  </si>
  <si>
    <t>Repurposing the Homing Endonuclease I-SceI for Positive Selection and Development of Gene-Editing Technologies</t>
  </si>
  <si>
    <t>Analysis of Three Architectures for Controlling PTP1B with Light</t>
  </si>
  <si>
    <t>Development and Application of a New Arabinose-Inducible Vector in High-Attachment Strain Stenotrophomonas AGS-1 from Aerobic Granular Sludge</t>
  </si>
  <si>
    <t>CRISPR-Cas9-mediated Large Cluster Deletion and Multiplex Genome Editing in Paenibacillus polymyxa</t>
  </si>
  <si>
    <t>Reprogramming the Biosynthesis of Precursor Peptide to Create a Selenazole-Containing Nosiheptide Analogue</t>
  </si>
  <si>
    <t>Precise Prediction of Promoter Strength Based on a De Novo Synthetic Promoter Library Coupled with Machine Learning</t>
  </si>
  <si>
    <t>Computational Framework for Machine-Learning-Enabled 13C Fluxomics</t>
  </si>
  <si>
    <t>TALE.Sense: A Versatile DNA Sensor Platform for Live Mammalian Cells</t>
  </si>
  <si>
    <t>Engineering a Controllable Targeted Protein Degradation System and a Derived OR-GATE-Type Inducible Gene Expression System in Synechococcus elongatus PCC 7942</t>
  </si>
  <si>
    <t>Synergistic Metabolism of Glucose and Formate Increases the Yield of Short-Chain Organic Acids in Escherichia coli</t>
  </si>
  <si>
    <t>Multiloci Manipulation of Baculovirus Genome Reveals the Pivotal Role of Homologous Regions in Viral DNA Replication, Progeny Production, and Enhancing Transcription</t>
  </si>
  <si>
    <t>Incorporation of Functional Rubisco Activases into Engineered Carboxysomes to Enhance Carbon Fixation</t>
  </si>
  <si>
    <t>Artificial Consortium of Three E. coli BL21 Strains with Synergistic Functional Modules for Complete Phenanthrene Degradation</t>
  </si>
  <si>
    <t>Interaction of Bare dSpCas9, Scaffold gRNA, and Type II Anti-CRISPR Proteins Highly Favors the Control of Gene Expression in the Yeast S. cerevisiae</t>
  </si>
  <si>
    <t>Episome-Based Gene Expression Modulation Platform in the Model Diatom Phaeodactylum tricornutum</t>
  </si>
  <si>
    <t>Cell-Free Gene Expression Dynamics in Synthetic Cell Populations</t>
  </si>
  <si>
    <t>Mapping of Nonhomologous End Joining-Mediated Integration Facilitates Genome-Scale Trackable Mutagenesis in Yarrowia lipolytica</t>
  </si>
  <si>
    <t>Trade-Offs in Biosensor Optimization for Dynamic Pathway Engineering</t>
  </si>
  <si>
    <t>Antibiotic-Efficient Genetic Cassette for the TEM-1 β-Lactamase That Improves Plasmid Performance</t>
  </si>
  <si>
    <t>Switchable Zinc(II)-Responsive Globular β-Sheet Peptide</t>
  </si>
  <si>
    <t>Evolving a Generalist Biosensor for Bicyclic Monoterpenes</t>
  </si>
  <si>
    <t>Synergistic Regulation of Metabolism by Ca2+/Reactive Oxygen Species in Penicillium brevicompactum Improves Production of Mycophenolic Acid and Investigation of the Ca2+ Channel</t>
  </si>
  <si>
    <t>Engineering a Dynamic Controllable Infectivity Switch in Bacteriophage T7</t>
  </si>
  <si>
    <t>Design and Characterization of an Optogenetic System in Pichia pastoris</t>
  </si>
  <si>
    <t>Bioremediation of Industrial Pollutants by Insects Expressing a Fungal Laccase</t>
  </si>
  <si>
    <t># Papers</t>
  </si>
  <si>
    <t>Label-Free Detection of Transgenic Crops Using an Isothermal Amplification Reporting CRISPR/Cas12 Assay</t>
  </si>
  <si>
    <t>Construction of Canthaxanthin-Producing Yeast by Combining Spatiotemporal Regulation and Pleiotropic Drug Resistance Engineering</t>
  </si>
  <si>
    <t>Access to Photostability-Enhanced Unnatural Base Pairs via Local Structural Modifications</t>
  </si>
  <si>
    <t>CRISPR-Based Construction of a BL21 (DE3)-Derived Variant Strain Library to Rapidly Improve Recombinant Protein Production</t>
  </si>
  <si>
    <t>A Self-Sustained System Spanning the Primary and Secondary Metabolism Stages to Boost the Productivity of Streptomyces</t>
  </si>
  <si>
    <t>pH-Triggered Assembly of Endomembrane Multicompartments in Synthetic Cells</t>
  </si>
  <si>
    <t>Rapid Visual CRISPR Assay: A Naked-Eye Colorimetric Detection Method for Nucleic Acids Based on CRISPR/Cas12a and a Convolutional Neural Network</t>
  </si>
  <si>
    <t>Deciphering the Design Rules of Toehold-Gated sgRNA for Conditional Activation of Gene Expression and Protein Degradation in Mammalian Cells</t>
  </si>
  <si>
    <t>Bio-SCAN: A CRISPR/dCas9-Based Lateral Flow Assay for Rapid, Specific, and Sensitive Detection of SARS-CoV-2</t>
  </si>
  <si>
    <t>Cheating the Cheater: Suppressing False-Positive Enrichment during Biosensor-Guided Biocatalyst Engineering</t>
  </si>
  <si>
    <t>CS-Cells: A CRISPR-Cas12 DNA Device to Generate Chromosome-Shredded Cells for Efficient and Safe Molecular Biomanufacturing</t>
  </si>
  <si>
    <t>Engineering a Synthetic Pathway for Tyrosol Synthesis in Escherichia coli</t>
  </si>
  <si>
    <t>A Sensitive and Specific Fluorescent RT-LAMP Assay for SARS-CoV-2 Detection in Clinical Samples</t>
  </si>
  <si>
    <t>CRISPR/Cas-Based Genome Editing for Human Gut Commensal Bacteroides Species</t>
  </si>
  <si>
    <t>Engineering of the Ligand Specificity of Transcriptional Regulator XylS by Deep Mutational Scanning</t>
  </si>
  <si>
    <t>Building a Versatile Protein Production Platform Using Engineered Trichoderma reesei</t>
  </si>
  <si>
    <t>Simplified Gene Knockout by CRISPR-Cas9-Induced Homologous Recombination</t>
  </si>
  <si>
    <t>Intent Parser: A Tool for Codification and Sharing of Experimental Design</t>
  </si>
  <si>
    <t>A Tunable and Expandable Transactivation System in Probiotic Yeast Saccharomyces boulardii</t>
  </si>
  <si>
    <t>Designing Single-Component Optogenetic Membrane Recruitment Systems: The Rho-Family GTPase Signaling Toolbox</t>
  </si>
  <si>
    <t>Totals:</t>
  </si>
  <si>
    <t>% of SBOL-possible papers</t>
  </si>
  <si>
    <t>% of all / possible figures</t>
  </si>
  <si>
    <t>February 2022 Issue (vol 11, #2)</t>
  </si>
  <si>
    <t>Combating Infectious Diseases with Synthetic Biology</t>
  </si>
  <si>
    <t>Construction of Synthetic Microbial Ecosystems and the Regulation of Population Proportion</t>
  </si>
  <si>
    <t>Enhancing Homologous Recombination Efficiency in Pichia pastoris for Multiplex Genome Integration Using Short Homology Arms</t>
  </si>
  <si>
    <t>Recovery of Information Stored in Modified DNA with an Evolved Polymerase</t>
  </si>
  <si>
    <t>Building an RNA-Based Toggle Switch Using Inhibitory RNA Aptamers</t>
  </si>
  <si>
    <t>Regulatory Part Engineering for High-Yield Protein Synthesis in an All-Streptomyces-Based Cell-Free Expression System</t>
  </si>
  <si>
    <t>EMMA-CAD: Design Automation for Synthetic Mammalian Constructs</t>
  </si>
  <si>
    <t>Automation and Expansion of EMMA Assembly for Fast-Tracking Mammalian System Engineering</t>
  </si>
  <si>
    <t>Multisite Enzymes as a Mechanism for Bistability in Reaction Networks</t>
  </si>
  <si>
    <t>Round Trip: An Automated Pipeline for Experimental Design, Execution, and Analysis</t>
  </si>
  <si>
    <t>Synthetic Biology Toolkit for Marker-Less Integration of Multigene Pathways into Pichia pastoris via CRISPR/Cas9</t>
  </si>
  <si>
    <t>Directed Evolution of Replication-Competent Double-Stranded DNA Bacteriophage toward New Host Specificity</t>
  </si>
  <si>
    <t>One-Step In Vivo Assembly of Multiple DNA Fragments and Genomic Integration in Komagataella phaffii</t>
  </si>
  <si>
    <t>Conversion of the OmpF Porin into a Device to Gather Amyloids on the E. coli Outer Membrane</t>
  </si>
  <si>
    <t>Reduction of the Bacterial Genome by Transposon-Mediated Random Deletion</t>
  </si>
  <si>
    <t>Engineering a Xylose-Utilizing Synechococcus elongatus UTEX 2973 Chassis for 3-Hydroxypropionic Acid Biosynthesis under Photomixotrophic Conditions</t>
  </si>
  <si>
    <t>Codon-Restrained Method for Both Eliminating and Creating Intragenic Bacterial Promoters</t>
  </si>
  <si>
    <t>Combining Precursor-Directed Engineering with Modular Designing: An Effective Strategy for De Novo Biosynthesis of l-DOPA in Bacillus licheniformis</t>
  </si>
  <si>
    <t>Validated In Silico Model for Biofilm Formation in Escherichia coli</t>
  </si>
  <si>
    <t>Differentially Optimized Cell-Free Buffer Enables Robust Expression from Unprotected Linear DNA in Exonuclease-Deficient Extracts</t>
  </si>
  <si>
    <t>A Simple Biosensor-Based Assay for Quantitative Autoinducer-2 Analysis</t>
  </si>
  <si>
    <t>Enhancement of l-Pipecolic Acid Production by Dynamic Control of Substrates and Multiple Copies of the pipA Gene in the Escherichia coli Genome</t>
  </si>
  <si>
    <t>Characterization of a Group of UDP-Glycosyltransferases Involved in the Biosynthesis of Triterpenoid Saponins of Panax notoginseng</t>
  </si>
  <si>
    <t>Reservoir Computing Using DNA Oscillators</t>
  </si>
  <si>
    <t>Secretory Production of Tocotrienols in Saccharomyces cerevisiae</t>
  </si>
  <si>
    <t>Metabolic Engineering of Saccharomyces cerevisiae for High-Level Production of Chlorogenic Acid from Glucose</t>
  </si>
  <si>
    <t>Promiscuity Characteristics of Versatile Plant Glycosyltransferases for Natural Product Glycodiversification</t>
  </si>
  <si>
    <t>Interaction of Periplasmic Fab Production and Intracellular Redox Balance in Escherichia coli Affects Product Yield</t>
  </si>
  <si>
    <t>Development of a Freeze-Dried CRISPR-Cas12 Sensor for Detecting Wolbachia in the Secondary Science Classroom</t>
  </si>
  <si>
    <t>Design of a Single-Channel Chaotic Secure Communication System Implemented by DNA Strand Displacement</t>
  </si>
  <si>
    <t>Programmable Fusion and Differentiation of Synthetic Minimal Cells</t>
  </si>
  <si>
    <t>A Simple and Highly Sensitive Naked-Eye Analysis of EGFR 19del via CRISPR/Cas12a Triggered No-Nonspecific Nucleic Acid Amplification</t>
  </si>
  <si>
    <t>Electrogenetic Signal Transmission and Propagation in Coculture to Guide Production of a Small Molecule, Tyrosine</t>
  </si>
  <si>
    <t>Far-Red Light Triggered Production of Bispecific T Cell Engagers (BiTEs) from Engineered Cells for Antitumor Application</t>
  </si>
  <si>
    <t>Production of Caffeic Acid with Co-fermentation of Xylose and Glucose by Multi-modular Engineering in Candida glycerinogenes</t>
  </si>
  <si>
    <t>Engineered Mutants of a Marine Photosynthetic Purple Nonsulfur Bacterium with Increased Volumetric Productivity of Polyhydroxyalkanoate Bioplastics</t>
  </si>
  <si>
    <t>Highly Reversible Tunable Thermal-Repressible Split-T7 RNA Polymerases (Thermal-T7RNAPs) for Dynamic Gene Regulation</t>
  </si>
  <si>
    <t>Introducing an Artificial Deazaflavin Cofactor in Escherichia coli and Saccharomyces cerevisiae</t>
  </si>
  <si>
    <t>Establishment of Green- and Red-Fluorescent Reporter Proteins Based on the Fluorescence-Activating and Absorption-Shifting Tag for Use in Acetogenic and Solventogenic Anaerobes</t>
  </si>
  <si>
    <t>Long-Lasting and Responsive DNA/Enzyme-Based Programs in Serum-Supplemented Extracellular Media</t>
  </si>
  <si>
    <t>Encoding Genetic Circuits with DNA Barcodes Paves the Way for Machine Learning-Assisted Metabolite Biosensor Response Curve Profiling in Yeast</t>
  </si>
  <si>
    <t>Sequence-Based Searching for SynBioHub Using VSEARCH</t>
  </si>
  <si>
    <t>Pipette Show: An Open Source Web Application to Support Pipetting into Microplates</t>
  </si>
  <si>
    <t>Uncovering the Distinct Properties of a Bacterial Type I-E CRISPR Activation System</t>
  </si>
  <si>
    <t>Ribosomal Protein S1 Improves the Protein Yield of an In Vitro Reconstituted Cell-Free Translation System</t>
  </si>
  <si>
    <t>GAMES: A Dynamic Model Development Workflow for Rigorous Characterization of Synthetic Genetic Systems</t>
  </si>
  <si>
    <t>March 2022 Issue (vol 11, #3)</t>
  </si>
  <si>
    <t>Engineering Strategies to Overcome the Stability–Function Trade-Off in Proteins</t>
  </si>
  <si>
    <t>Synthetic Genetic Reversible Feynman Gate in a Single E. coli Cell and Its Application in Bacterial to Mammalian Cell Information Transfer</t>
  </si>
  <si>
    <t>Improving the Robustness of Engineered Bacteria to Nutrient Stress Using Programmed Proteolysis</t>
  </si>
  <si>
    <t>Genome Engineering in Mycoplasma gallisepticum Using Exogenous Recombination Systems</t>
  </si>
  <si>
    <t>Conjugation-Based Genome Engineering in Deinococcus radiodurans</t>
  </si>
  <si>
    <t>Versatile Design of Intracellular Protein-Responsive Translational Regulation System for Synthetic mRNA</t>
  </si>
  <si>
    <t>A Dual-Purpose Real-Time Indicator and Transcriptional Integrator for Calcium Detection in Living Cells</t>
  </si>
  <si>
    <t>Design of Synthetic Mammalian Promoters Using Highly Palindromic Subsequences</t>
  </si>
  <si>
    <t>Engineering Transcription Factor XylS for Sensing Phthalic Acid and Terephthalic Acid: An Application for Enzyme Evolution</t>
  </si>
  <si>
    <t>Constructing Cell-Free Expression Systems for Low-Cost Access</t>
  </si>
  <si>
    <t>Systematic In Vivo Characterization of Fluorescent Protein Maturation in Budding Yeast</t>
  </si>
  <si>
    <t>Evolutionary Stability Optimizer (ESO): A Novel Approach to Identify and Avoid Mutational Hotspots in DNA Sequences While Maintaining High Expression Levels</t>
  </si>
  <si>
    <t>Phycocyanin Fusion Constructs for Heterologous Protein Expression Accumulate as Functional Heterohexameric Complexes in Cyanobacteria</t>
  </si>
  <si>
    <t>Precise Thermal Regulation of Engineered Bacteria Secretion for Breast Cancer Treatment In Vivo</t>
  </si>
  <si>
    <t>Heterologous Synthesis and Secretion of Ricinoleic Acid in Starmerella bombicola with Sophorolipid as an Intermediate</t>
  </si>
  <si>
    <t>Cre/lox-Mediated Chromosomal Integration of Biosynthetic Gene Clusters for Heterologous Expression in Aspergillus nidulans</t>
  </si>
  <si>
    <t>Meeting Measurement Precision Requirements for Effective Engineering of Genetic Regulatory Networks</t>
  </si>
  <si>
    <t>Quantitative Analysis of γ-Aminobutyric Acid by Combined Cell-Free Protein Synthesis and Transamination Reactions</t>
  </si>
  <si>
    <t>Metabolic Division in an Escherichia coli Coculture System for Efficient Production of Kaempferide</t>
  </si>
  <si>
    <t>Programmable Synthetic Upstream Activating Sequence Library for Fine-Tuning Gene Expression Levels in Saccharomyces cerevisiae</t>
  </si>
  <si>
    <t>RNA Compensation: A Positive Feedback Insulation Strategy for RNA-Based Transcription Networks</t>
  </si>
  <si>
    <t>Engineering Transcription Factor BmoR Mutants for Constructing Multifunctional Alcohol Biosensors</t>
  </si>
  <si>
    <t>Functional and Structural Roles of the Dimer Interface in the Activity and Stability of Clostridium butyricum 1,3-Propanediol Oxidoreductase</t>
  </si>
  <si>
    <t>PASIV: A Pooled Approach-Based Workflow to Overcome Toxicity-Induced Design of Experiments Failures and Inefficiencies</t>
  </si>
  <si>
    <t>Natural and Designed Proteins Inspired by Extremotolerant Organisms Can Form Condensates and Attenuate Apoptosis in Human Cells</t>
  </si>
  <si>
    <t>Polymer Encapsulation of Bacterial Biosensors Enables Coculture with Mammalian Cells</t>
  </si>
  <si>
    <t>evSeq: Cost-Effective Amplicon Sequencing of Every Variant in a Protein Library</t>
  </si>
  <si>
    <t>Transcriptome Analysis of Bacillus licheniformis for Improving Bacitracin Production</t>
  </si>
  <si>
    <t>RoboMoClo: A Robotics-Assisted Modular Cloning Framework for Multiple Gene Assembly in Biofoundry</t>
  </si>
  <si>
    <t>Reprogramming Synthetic Cells for Targeted Cancer Therapy</t>
  </si>
  <si>
    <t>De Novo Biosynthesis of D-p-Hydroxyphenylglycine by a Designed Cofactor Self-Sufficient Route and Co-culture Strategy</t>
  </si>
  <si>
    <t>Tyto: A Python Tool Enabling Better Annotation Practices for Synthetic Biology Data-Sharing</t>
  </si>
  <si>
    <t>Designing Biological Circuits: From Principles to Applications</t>
  </si>
  <si>
    <t>A Cell-Free Assay for Rapid Screening of Inhibitors of hACE2-Receptor–SARS-CoV-2-Spike Binding</t>
  </si>
  <si>
    <t>Bioorthogonal Chemical Epigenetic Modifiers Enable Dose-Dependent CRISPR Targeted Gene Activation in Mammalian Cells</t>
  </si>
  <si>
    <t>A Temperature-Controlled Cell-Free Expression System by Dynamic Repressor</t>
  </si>
  <si>
    <t>Parameterized Computational Framework for the Description and Design of Genetic Circuits of Morphogenesis Based on Contact-Dependent Signaling and Changes in Cell–Cell Adhesion</t>
  </si>
  <si>
    <t>Sense-and-Respond Payload Delivery Using a Novel Antigen-Inducible Promoter Improves Suboptimal CAR-T Activation</t>
  </si>
  <si>
    <t>Biosynthesis of Linear Protein Nanoarrays Using the Flagellar Axoneme</t>
  </si>
  <si>
    <t>Efficient Amber Suppression via Ribosomal Skipping for In Situ Synthesis of Photoconditional Nanobodies</t>
  </si>
  <si>
    <t>Phage Enzyme-Assisted Direct In Vivo DNA Assembly in Multiple Microorganisms</t>
  </si>
  <si>
    <t>Charge Engineering Improves the Performance of Bst DNA Polymerase Fusions</t>
  </si>
  <si>
    <t>A CRISPR–Cas9 System-Mediated Genetic Disruption and Multi-fragment Assembly in Starmerella bombicola</t>
  </si>
  <si>
    <t>DNA Input Classification by a Riboregulator-Based Cell-Free Perceptron</t>
  </si>
  <si>
    <t>[NiFe] Hydrogenase Accessory Proteins HypB–HypC Accelerate Proton Conversion to Enhance the Acid Resistance and d-Lactic Acid Production of Escherichia coli</t>
  </si>
  <si>
    <t>OptDesign: Identifying Optimum Design Strategies in Strain Engineering for Biochemical Production</t>
  </si>
  <si>
    <t>Engineering the Lipid and Fatty Acid Metabolism in Yarrowia lipolytica for Sustainable Production of High Oleic Oils</t>
  </si>
  <si>
    <t>Rational Design of CRISPR/Cas12a-RPA Based One-Pot COVID-19 Detection with Design of Experiments</t>
  </si>
  <si>
    <t>Engineered Probiotic Lactococcus lactis for Lycopene Production against ROS Stress in Intestinal Epithelial Cells</t>
  </si>
  <si>
    <t>Construction and Application of a High-Throughput In Vivo Screening Platform for the Evolution of Nitrile Metabolism-Related Enzymes Based on a Desensitized Repressive Biosensor</t>
  </si>
  <si>
    <t>Genomic Iterative Replacements of Large Synthetic DNA Fragments in Corynebacterium glutamicum</t>
  </si>
  <si>
    <t>De Novo Production of Plant 4′-Deoxyflavones Baicalein and Oroxylin A from Ethanol in Crabtree-Negative Yeast</t>
  </si>
  <si>
    <t>Bioinformatic Design of Dendritic Cell-Specific Synthetic Promoters</t>
  </si>
  <si>
    <t>Coupling a Live Cell Directed Evolution Assay with Coevolutionary Landscapes to Engineer an Improved Fluorescent Rhodopsin Chloride Sensor</t>
  </si>
  <si>
    <t>Engineered Production of Strictosidine and Analogues in Yeast</t>
  </si>
  <si>
    <t>Adenine Base Editing System for Pseudomonas and Prediction Workflow for Protein Dysfunction via ABE</t>
  </si>
  <si>
    <t>Fragment-Directed Random Mutagenesis by the Reverse Kunkel Method</t>
  </si>
  <si>
    <t>Characterization of Three Paris polyphylla Glycosyltransferases from Different UGT Families for Steroid Functionalization</t>
  </si>
  <si>
    <t>Putative Phenotypically Neutral Genomic Insertion Points in Prokaryotes</t>
  </si>
  <si>
    <t>Quantification of Microbial Robustness in Yeast</t>
  </si>
  <si>
    <t>A Versatile Transcription Factor Biosensor System Responsive to Multiple Aromatic and Indole Inducers</t>
  </si>
  <si>
    <t>Synthetic Translational Regulation by Protein-Binding RNA Origami Scaffolds</t>
  </si>
  <si>
    <t>DeepTESR: A Deep Learning Framework to Predict the Degree of Translational Elongation Short Ramp for Gene Expression Control</t>
  </si>
  <si>
    <t>Combinatorial PCR Method for Efficient, Selective Oligo Retrieval from Complex Oligo Pools</t>
  </si>
  <si>
    <t>Transcriptional Interference in Toehold Switch-Based RNA Circuits</t>
  </si>
  <si>
    <t>Systems Metabolic Engineering of Escherichia coli Coculture for De Novo Production of Genistein</t>
  </si>
  <si>
    <t>Generation of Synthetic Shuttle Vectors Enabling Modular Genetic Engineering of Cyanobacteria</t>
  </si>
  <si>
    <t>RPA/CRISPR/Cas12a-Based On-Site and Rapid Nucleic Acid Detection of Toxoplasma gondii in the Environment</t>
  </si>
  <si>
    <t>Simulation-Based Engineering of Time-Delayed Safety Switches for Safer Gene Therapies</t>
  </si>
  <si>
    <t>Design, Analysis, and Implementation of a Novel Biochemical Pathway for Ethylene Glycol Production in Clostridium autoethanogenum</t>
  </si>
  <si>
    <t>Increased Production of Riboflavin by Coordinated Expression of Multiple Genes in Operons in Bacillus subtilis</t>
  </si>
  <si>
    <t>Detection of Major SARS-CoV-2 Variants of Concern in Clinical Samples via CRISPR-Cas12a-Mediated Mutation-Specific Assay</t>
  </si>
  <si>
    <t>Exploration of Methanomethylophilus alvus Pyrrolysyl-tRNA Synthetase Activity in Yeast</t>
  </si>
  <si>
    <t>Tuning Geraniol Biosynthesis via a Novel Decane-Responsive Promoter in Candida glycerinogenes</t>
  </si>
  <si>
    <t>Engineering Antisense Oligonucleotides as Antibacterial Agents That Target FMN Riboswitches and Inhibit the Growth of Staphylococcus aureus, Listeria monocytogenes, and Escherichia coli</t>
  </si>
  <si>
    <t>AbSE Workflow: Rapid Identification of the Coding Sequence and Linear Epitope of the Monoclonal Antibody at the Single-cell Level</t>
  </si>
  <si>
    <t>Optimization of Heterologous Glucoraphanin Production In Planta</t>
  </si>
  <si>
    <t>Engineering the Entrance of a Flavonoid Glycosyltransferase Promotes the Glycosylation of Etoposide Aglycone</t>
  </si>
  <si>
    <t>Catalytically Active Inclusion Bodies─Benchmarking and Application in Flow Chemistry</t>
  </si>
  <si>
    <t>Combining CRISPR–Cpf1 and Recombineering Facilitates Fast and Efficient Genome Editing in Escherichia coli</t>
  </si>
  <si>
    <t>Rerouting Fluxes of the Central Carbon Metabolism and Relieving Mechanism-Based Inactivation of l-Aspartate-α-decarboxylase for Fermentative Production of β-Alanine in Escherichia coli</t>
  </si>
  <si>
    <t>Genome Engineering of the Fast-Growing Mycoplasma feriruminatoris toward a Live Vaccine Chassis</t>
  </si>
  <si>
    <t>Automated Leak Analysis of Nucleic Acid Circuits</t>
  </si>
  <si>
    <t>Mutational Studies of the Mersacidin Leader Reveal the Function of Its Unique Two-Step Leader Processing Mechanism</t>
  </si>
  <si>
    <t>CRISPR-Cas Assisted Shotgun Mutagenesis Method for Evolutionary Genome Engineering</t>
  </si>
  <si>
    <t>“Multiagent” Screening Improves Directed Enzyme Evolution by Identifying Epistatic Mutations</t>
  </si>
  <si>
    <t>LOICA: Integrating Models with Data for Genetic Network Design Automation</t>
  </si>
  <si>
    <t>Transcription-Associated Fluorescence-Activated Droplet Sorting for Di-rhamnolipid Hyperproducers</t>
  </si>
  <si>
    <t>Temporal Expression of Transcription Factor ID2 Improves Natural Killer Cell Differentiation from Human Pluripotent Stem Cells</t>
  </si>
  <si>
    <t>Characterization of ColE1 Production for Robust tolC Plate Dual-Selection in E. coli</t>
  </si>
  <si>
    <t>Experimental and Analytical Approaches for Improving the Resolution of Randomly Barcoded Transposon Insertion Sequencing (RB-TnSeq) Studies</t>
  </si>
  <si>
    <t>Cell-Free Mutant Analysis Combined with Structure Prediction of a Lasso Peptide Biosynthetic Protease B2</t>
  </si>
  <si>
    <t>Generation of Allogeneic CAR T Cells through Specific Degradation of the T Cell Antigen Receptor by E3 Ubiquitin Ligase Fusion Proteins</t>
  </si>
  <si>
    <t>Rapid 40 kb Genome Construction from 52 Parts through Data-optimized Assembly Design</t>
  </si>
  <si>
    <t>Discovering Content through Text Mining for a Synthetic Biology Knowledge System</t>
  </si>
  <si>
    <t>Programming Molecular Systems To Emulate a Learning Spiking Neuron</t>
  </si>
  <si>
    <t>Functional Nanopore Screen: A Versatile High-Throughput Assay to Study and Engineer Protein Nanopores in Escherichia coli</t>
  </si>
  <si>
    <t>Photocontrol of Itaconic Acid Synthesis in Escherichia coli</t>
  </si>
  <si>
    <t>Efficient Synthesis of Phycocyanobilin by Combinatorial Metabolic Engineering in Escherichia coli</t>
  </si>
  <si>
    <t>Construction of an l-Tyrosine Chassis in Pichia pastoris Enhances Aromatic Secondary Metabolite Production from Glycerol</t>
  </si>
  <si>
    <t>High-Throughput Regulatory Part Prototyping and Analysis by Cell-Free Protein Synthesis and Droplet Microfluidics</t>
  </si>
  <si>
    <t>Pathway Engineering, Re-targeting, and Synthetic Scaffolding Improve the Production of Squalene in Plants</t>
  </si>
  <si>
    <t>Efficient Single-Nucleotide Microbial Genome Editing Achieved Using CRISPR/Cpf1 with Maximally 3′-End-Truncated crRNAs</t>
  </si>
  <si>
    <t>Effects of Hydrophobic Residues on the Intracellular Self-Assembly of De Novo Designed Peptide Tags and Their Orthogonality</t>
  </si>
  <si>
    <t>Repurposing Peptide Nanomaterials as Synthetic Biomolecular Condensates in Bacteria</t>
  </si>
  <si>
    <t>Dynamic Control Strategy to Produce Riboflavin with Lignocellulose Hydrolysate in the Thermophile Geobacillus thermoglucosidasius</t>
  </si>
  <si>
    <t>Engineering of a TrpR-Based Biosensor for Altered Dynamic Range and Ligand Preference</t>
  </si>
  <si>
    <t>CRISPR/dCas9-RpoD-Mediated Simultaneous Transcriptional Activation and Repression in Shewanella oneidensis MR-1</t>
  </si>
  <si>
    <t>Hyperaccurate Ribosomes for Improved Genetic Code Reprogramming</t>
  </si>
  <si>
    <t>DNA Memristors and Their Application to Reservoir Computing</t>
  </si>
  <si>
    <t>Simple and Efficient Modification of Golden Gate Design Standards and Parts Using Oligo Stitching</t>
  </si>
  <si>
    <t>Protecting Heterochiral DNA Nanostructures against Exonuclease-Mediated Degradation</t>
  </si>
  <si>
    <t>FRAGLER: A Fragment Recycler Application Enabling Rapid and Scalable Modular DNA Assembly</t>
  </si>
  <si>
    <t>Multiplexed Assembly and Annotation of Synthetic Biology Constructs Using Long-Read Nanopore Sequencing</t>
  </si>
  <si>
    <t>The Growth Dependent Design Constraints of Transcription-Factor-Based Metabolite Biosensors</t>
  </si>
  <si>
    <t>Optimal LentiCRISPR-Based System for Sequential CRISPR/Cas9 Screens</t>
  </si>
  <si>
    <t>EcoliGD: An Online Tool for Designing Escherichia coli Genome</t>
  </si>
  <si>
    <t>Engineering a Synthetic Dopamine-Responsive Riboswitch for In Vitro Biosensing</t>
  </si>
  <si>
    <t>High-Throughput Aminoacyl-tRNA Synthetase Engineering for Genetic Code Expansion in Yeast</t>
  </si>
  <si>
    <t>Control-Based Continuation: A New Approach to Prototype Synthetic Gene Networks</t>
  </si>
  <si>
    <t>Machine Learning Guided Batched Design of a Bacterial Ribosome Binding Site</t>
  </si>
  <si>
    <t>Light-Induced Patterning of Electroactive Bacterial Biofilms</t>
  </si>
  <si>
    <t>Glycosylation Modification Enhances (2S)-Naringenin Production in Saccharomyces cerevisiae</t>
  </si>
  <si>
    <t>ATP Recycling Fuels Sustainable Glycerol 3-Phosphate Formation in Synthetic Cells Fed by Dynamic Dialysis</t>
  </si>
  <si>
    <t>Mitigating Host Burden of Genetic Circuits by Engineering Autonegatively Regulated Parts and Improving Functional Prediction</t>
  </si>
  <si>
    <t>Nondestructive Chemical Sensing within Bulk Soil Using 1000 Biosensors Per Gram of Matrix</t>
  </si>
  <si>
    <t>Diagnostics of Infections Produced by the Plant Viruses TMV, TEV, and PVX with CRISPR-Cas12 and CRISPR-Cas13</t>
  </si>
  <si>
    <t>Key Glycosyltransferase Genes of Panax notoginseng: Identification and Engineering Yeast Construction of Rare Ginsenosides</t>
  </si>
  <si>
    <t>Proteome-Scale Screening to Identify High-Expression Signal Peptides with Minimal N-Terminus Biases via Yeast Display</t>
  </si>
  <si>
    <t>Model-Based Investigation of the Relationship between Regulation Level and Pulse Property of I1-FFL Gene Circuits</t>
  </si>
  <si>
    <t>High-Titer Production of the Fungal Anhydrotetracycline, TAN-1612, in Engineered Yeasts</t>
  </si>
  <si>
    <t>Model-Based Design of a Synthetic Oscillator Based on an Epigenetic Methylation Memory System</t>
  </si>
  <si>
    <t>Graph Computation Using Algorithmic Self-Assembly of DNA Molecules</t>
  </si>
  <si>
    <t>Switchable Control of Scaffold Protein Activity via Engineered Phosphoregulated Autoinhibition</t>
  </si>
  <si>
    <t>Production of Plant Sesquiterpene Lactone Parthenolide in the Yeast Cell Factory</t>
  </si>
  <si>
    <t>MULTI-SCULPT: Multiplex Integration via Selective, CRISPR-Mediated, Ultralong Pathway Transformation in Yeast for Plant Natural Product Synthesis</t>
  </si>
  <si>
    <t>Efficient CRISPR/Cas12a-Based Genome-Editing Toolbox for Metabolic Engineering in Methanococcus maripaludis</t>
  </si>
  <si>
    <t>Massively Parallel DNA Computing Based on Domino DNA Strand Displacement Logic Gates</t>
  </si>
  <si>
    <t>An Intein-Mediated Split–nCas9 System for Base Editing in Plants</t>
  </si>
  <si>
    <t>Tunable Temperature-Sensitive Transcriptional Activation Based on Lambda Repressor</t>
  </si>
  <si>
    <t>pySBOL3: SBOL3 for Python Programmers</t>
  </si>
  <si>
    <t>Standardization of Synthetic Biology Tools and Assembly Methods for Saccharomyces cerevisiae and Emerging Yeast Species</t>
  </si>
  <si>
    <t>Toward Methanol-Based Biomanufacturing: Emerging Strategies for Engineering Synthetic Methylotrophy in Saccharomyces cerevisiae</t>
  </si>
  <si>
    <t>Engineering Yarrowia lipolytica to Produce Tailored Chain-Length Fatty Acids and Their Derivatives</t>
  </si>
  <si>
    <t>PeroxiHUB: A Modular Cell-Free Biosensing Platform Using H2O2 as Signal Integrator</t>
  </si>
  <si>
    <t>A Modified Yeast Two-Hybrid Platform Enables Dynamic Control of Expression Intensities to Unmask Properties of Protein–Protein Interactions</t>
  </si>
  <si>
    <t>Second-Generation Escherichia coli SuptoxR Strains for High-Level Recombinant Membrane Protein Production</t>
  </si>
  <si>
    <t>Decoupling Growth and Production by Removing the Origin of Replication from a Bacterial Chromosome</t>
  </si>
  <si>
    <t>Limiting Transactivator Amounts Contribute to Transgene Mosaicism in Tet-On All-in-One Systems</t>
  </si>
  <si>
    <t>Spatiotemporal Regulation of Astaxanthin Synthesis in S. cerevisiae</t>
  </si>
  <si>
    <t>Implementation of a Novel Optogenetic Tool in Mammalian Cells Based on a Split T7 RNA Polymerase</t>
  </si>
  <si>
    <t>Engineering Agrobacterium tumefaciens Adhesion to Target Cells</t>
  </si>
  <si>
    <t>Validated In Silico Population Model of Escherichia coli</t>
  </si>
  <si>
    <t>Engineering Critical Amino Acid Residues of Lanosterol Synthase to Improve the Production of Triterpenoids in Saccharomyces cerevisiae</t>
  </si>
  <si>
    <t>Whole-Cell Biosensor and Producer Co-cultivation-Based Microfludic Platform for Screening Saccharopolyspora erythraea with Hyper Erythromycin Production</t>
  </si>
  <si>
    <t>Rapid Assembly and Prototyping of Biocatalytic Virus-like Particle Nanoreactors</t>
  </si>
  <si>
    <t>Tunable and Modular miRNA Classifier through Indirect Associative Toehold Strand Displacement</t>
  </si>
  <si>
    <t>Deciphering the Rules of Ribosome Binding Site Differentiation in Context Dependence</t>
  </si>
  <si>
    <t>Building the Plant SynBio Toolbox through Combinatorial Analysis of DNA Regulatory Elements</t>
  </si>
  <si>
    <t>Proteolytically Activated CRAC Effectors through Designed Intramolecular Inhibition</t>
  </si>
  <si>
    <t>Synergistic Improvement of 5-Aminolevulinic Acid Production with Synthetic Scaffolds and System Pathway Engineering</t>
  </si>
  <si>
    <t>Directed Evolution of (R)-2-Hydroxyglutarate Dehydrogenase Improves 2-Oxoadipate Reduction by 2 Orders of Magnitude</t>
  </si>
  <si>
    <t>Transfer RNA Synthesis-Coupled Translation and DNA Replication in a Reconstituted Transcription/Translation System</t>
  </si>
  <si>
    <t>Characterizing a New Fluorescent Protein for a Low Limit of Detection Sensing in the Cell-Free System</t>
  </si>
  <si>
    <t>Determination of Nucleotide Sequences within Promoter Regions Affecting Promoter Compatibility between Zymomonas mobilis and Escherichia coli</t>
  </si>
  <si>
    <t>Discovery of 8-Hydroxyquinoline as a Histamine Receptor 2 Blocker Scaffold</t>
  </si>
  <si>
    <t>Integrating CRISPR-Cas12a with a crRNA-Mediated Catalytic Network for the Development of a Modular and Sensitive Aptasensor</t>
  </si>
  <si>
    <t>Efficient Production of a Functional Human Milk Oligosaccharide 3′-Sialyllactose in Genetically Engineered Escherichia coli</t>
  </si>
  <si>
    <t>Photoswitching of Feedback Inhibition by Tryptophan in Anthranilate Synthase</t>
  </si>
  <si>
    <t>Stress-Tolerant, Recyclable, and Renewable Biocatalyst Platform Enabled by Engineered Bacterial Spores</t>
  </si>
  <si>
    <t>Actinosomes: Condensate-Templated Containers for Engineering Synthetic Cells</t>
  </si>
  <si>
    <t>Directed Evolution of Herbicide Biosensors in a Fluorescence-Activated Cell-Sorting-Compatible Yeast Two-Hybrid Platform</t>
  </si>
  <si>
    <t>Engineering Metabolic Pathways for Cofactor Self-Sufficiency and Serotonin Production in Escherichia coli</t>
  </si>
  <si>
    <t>BMSS2: A Unified Database-Driven Modeling Tool for Systematic Biomodel Selection</t>
  </si>
  <si>
    <t>A Framework for the Systematic Selection of Biosensor Chassis for Environmental Synthetic Biology</t>
  </si>
  <si>
    <t>The Aspartic Protease Yps3p and Cell Wall Glucanase Scw10p Are Novel Determinants That Enhance the Secretion of the Antitumor Triterpenoid GA-HLDOA in Saccharomyces cerevisiae</t>
  </si>
  <si>
    <t>Overcoming Leak Sensitivity in CRISPRi Circuits Using Antisense RNA Sequestration and Regulatory Feedback</t>
  </si>
  <si>
    <t>Malarial Antibody Detection with an Engineered Yeast Agglutination Assay</t>
  </si>
  <si>
    <t>Genome Editing by CRISPR/Cas12 Recognizing AT-Rich PAMs in Shewanella oneidensis MR-1</t>
  </si>
  <si>
    <t>Delayed In Vivo Encapsulation of Enzymes Alters the Catalytic Activity of Virus-Like Particle Nanoreactors</t>
  </si>
  <si>
    <t>Mobile Translation Systems Generate Genomically Engineered Escherichia coli Cells with Improved Growth Phenotypes</t>
  </si>
  <si>
    <t>Systematic Engineering of Escherichia coli for Efficient Production of Nicotinamide Mononucleotide From Nicotinamide</t>
  </si>
  <si>
    <t>An Easy-to-Use Plasmid Toolset for Efficient Generation and Benchmarking of Synthetic Small RNAs in Bacteria</t>
  </si>
  <si>
    <t>Prebiotics-Controlled Disposable Engineered Bacteria for Intestinal Diseases</t>
  </si>
  <si>
    <t>Evolution-Guided Biosynthesis of Terpenoid Inhibitors</t>
  </si>
  <si>
    <t>Nitrogenase Cofactor Maturase NifB Isolated from Transgenic Rice is Active in FeMo-co Synthesis</t>
  </si>
  <si>
    <t>GB_SynP: A Modular dCas9-Regulated Synthetic Promoter Collection for Fine-Tuned Recombinant Gene Expression in Plants</t>
  </si>
  <si>
    <t>CRISPR/Cpf1-Mediated Multiplex and Large-Fragment Gene Editing in Staphylococcus aureus</t>
  </si>
  <si>
    <t>A Network Approach to Genetic Circuit Designs</t>
  </si>
  <si>
    <t>De Novo Production of Hydroxytyrosol by Saccharomyces cerevisiae–Escherichia coli Coculture Engineering</t>
  </si>
  <si>
    <t>Modular Use of the Uniquely Small Ring A of Mersacidin Generates the Smallest Ribosomally Produced Lanthipeptide</t>
  </si>
  <si>
    <t>Enzymatic Supercoiling of Bacterial Chromosomes Facilitates Genome Manipulation</t>
  </si>
  <si>
    <t>Inducible CRISPR/Cas9 Allows for Multiplexed and Rapidly Segregated Single-Target Genome Editing in Synechocystis Sp. PCC 6803</t>
  </si>
  <si>
    <t>A Universal Method for Developing Autoinduction Expression Systems Using AHL-Mediated Quorum-Sensing Circuits</t>
  </si>
  <si>
    <t>Actomyosin-Driven Division of a Synthetic Cell</t>
  </si>
  <si>
    <t>Intestinal Engineered Probiotics as Living Therapeutics: Chassis Selection, Colonization Enhancement, Gene Circuit Design, and Biocontainment</t>
  </si>
  <si>
    <t>Interaction between the Anchoring Domain of A-Kinase Anchoring Proteins and the Dimerization and Docking Domain of Protein Kinase A: A Potent Tool for Synthetic Biology</t>
  </si>
  <si>
    <t>Recent Development of Advanced Biotechnology in the Oleaginous Fungi for Arachidonic Acid Production</t>
  </si>
  <si>
    <t>Synonymous Codons and Hydrophobicity Optimization of Post-translational Signal Peptide PelB Increase Phage Display Efficiency of DARPins</t>
  </si>
  <si>
    <t>Genetically Encoded Whole Cell Biosensor for Drug Discovery of HIF-1 Interaction Inhibitors</t>
  </si>
  <si>
    <t>Organellar Glue: A Molecular Tool to Artificially Control Chloroplast–Chloroplast Interactions</t>
  </si>
  <si>
    <t>A Modular Scaffold for Controlling Transcriptional Activation via Homomeric Protein–Protein Interactions</t>
  </si>
  <si>
    <t>Pseudotyping Bacteriophage P2 Tail Fibers to Extend the Host Range for Biomedical Applications</t>
  </si>
  <si>
    <t>Precise Genomic Riboregulator Control of Metabolic Flux in Microbial Systems</t>
  </si>
  <si>
    <t>A p-Coumaroyl-CoA Biosensor for Dynamic Regulation of Naringenin Biosynthesis in Saccharomyces cerevisiae</t>
  </si>
  <si>
    <t>Quantification of Genome Editing and Transcriptional Control Capabilities Reveals Hierarchies among Diverse CRISPR/Cas Systems in Human Cells</t>
  </si>
  <si>
    <t>A Versatile in Vivo DNA Assembly Toolbox for Fungal Strain Engineering</t>
  </si>
  <si>
    <t>Direct Transfer and Consolidation of Synthetic Yeast Chromosomes by Abortive Mating and Chromosome Elimination</t>
  </si>
  <si>
    <t>Steady-State Operation of a Cell-Free Genetic Band-Detection Circuit</t>
  </si>
  <si>
    <t>Construction of an rAAV Producer Cell Line through Synthetic Biology</t>
  </si>
  <si>
    <t>Novel Split Intein-Mediated Enzymatic Channeling Accelerates the Multimeric Bioconversion Pathway of Ginsenoside</t>
  </si>
  <si>
    <t>Metabolic Engineering Mevalonate Pathway Mediated by RNA Scaffolds for Mevalonate and Isoprene Production in Escherichia coli</t>
  </si>
  <si>
    <t>Reprogramming the Cleavage Specificity of Botulinum Neurotoxin Serotype B1</t>
  </si>
  <si>
    <t>SpyPhage: A Cell-Free TXTL Platform for Rapid Engineering of Targeted Phage Therapies</t>
  </si>
  <si>
    <t>Functional Comparison between Endogenous and Synthetic Notch Systems</t>
  </si>
  <si>
    <t>Optogenetic Control of Bacterial Expression by Red Light</t>
  </si>
  <si>
    <t>Engineering of the Translesion DNA Synthesis Pathway Enables Controllable C-to-G and C-to-A Base Editing in Corynebacterium glutamicum</t>
  </si>
  <si>
    <t>Transcriptional Reactivation of Lignin Biosynthesis for the Heterologous Production of Etoposide Aglycone in Nicotiana benthamiana</t>
  </si>
  <si>
    <t>Engineering Endosymbiotic Growth of E. coli in Mammalian Cells</t>
  </si>
  <si>
    <t>Gatekeeper Residue Replacement in a Phosphite Transporter Enhances Mutational Robustness of the Biocontainment Strategy</t>
  </si>
  <si>
    <t>Flux-Balance Analysis and Mobile CRISPRi-Guided Deletion of a Conditionally Essential Gene in Shewanella oneidensis MR-1</t>
  </si>
  <si>
    <t>Modular, Synthetic Boolean Logic Gates Enabled in Saccharomyces cerevisiae through T7 Polymerases/CRISPR dCas9 Designs</t>
  </si>
  <si>
    <t>Induced CD45 Proximity Potentiates Natural Killer Cell Receptor Antagonism</t>
  </si>
  <si>
    <t>Efficient Bacterial Genome Engineering throughout the Central Dogma Using the Dual-Selection Marker tetAOPT</t>
  </si>
  <si>
    <t>Yeast Cell Surface Engineering of a Nicotinamide Riboside Kinase for the Production of β-Nicotinamide Mononucleotide via Whole-Cell Catalysis</t>
  </si>
  <si>
    <t>Hotspots and Mechanisms of Action of the Thermostable Framework of a Microbial Thermolipase</t>
  </si>
  <si>
    <t>Reprogramming T7RNA Polymerase in Escherichia coli Nissle 1917 under Specific Lac Operon for Efficient p-Coumaric Acid Production</t>
  </si>
  <si>
    <t>Light-Dependent Control of Bacterial Expression at the mRNA Level</t>
  </si>
  <si>
    <t>Discovery and Heterologous Expression of Microginins from Microcystis aeruginosa LEGE 91341</t>
  </si>
  <si>
    <t>Engineered Protein Nanocages for Concurrent RNA and Protein Packaging In Vivo</t>
  </si>
  <si>
    <t>Building an Artificial Plant Cell Wall on a Lipid Bilayer by Assembling Polysaccharides and Engineered Proteins</t>
  </si>
  <si>
    <t>Analysis of Slow-Cycling Variants of the Light-Inducible Nuclear Protein Export System LEXY in Mammalian Cells</t>
  </si>
  <si>
    <t>GroovDB: A Database of Ligand-Inducible Transcription Factors</t>
  </si>
  <si>
    <t>Biofoundry Palette: Planning-Assistant Software for Liquid Handler-Based Experimentation and Operation in the Biofoundry Workflow</t>
  </si>
  <si>
    <t>The VEGAS Platform Is Unsuitable for Mammalian Directed Evolution</t>
  </si>
  <si>
    <t>A User’s Guide to Golden Gate Cloning Methods and Standards</t>
  </si>
  <si>
    <t>Agent-Based Modeling of Microbial Communities</t>
  </si>
  <si>
    <t>Engineering Escherichia coli for Conversion of Dietary Isoflavones in the Gut</t>
  </si>
  <si>
    <t>Engineered Spore-Forming Bacillus as a Microbial Vessel for Long-Term DNA Data Storage</t>
  </si>
  <si>
    <t>Harnessing Escherichia coli’s Native Machinery for Detection of Vitamin C (Ascorbate) Deficiency</t>
  </si>
  <si>
    <t>Synthesis and Concomitant Assembly of Adeno-Associated Virus-like Particles in Escherichia coli</t>
  </si>
  <si>
    <t>Unusual Class I Lanthipeptides from the Marine Bacteria Thalassomonas viridans</t>
  </si>
  <si>
    <t>Synthetic Biology Toolbox, Including a Single-Plasmid CRISPR-Cas9 System to Biologically Engineer the Electrogenic, Metal-Resistant Bacterium Cupriavidus metallidurans CH34</t>
  </si>
  <si>
    <t>ACtivE: Assembly and CRISPR-Targeted in Vivo Editing for Yeast Genome Engineering Using Minimum Reagents and Time</t>
  </si>
  <si>
    <t>Development of Base Editors for Simultaneously Editing Multiple Loci in Lactococcus lactis</t>
  </si>
  <si>
    <t>Host Cell Transcriptional Tuning with CRISPR/dCas9 to Mitigate the Effects of Toxin Exposure</t>
  </si>
  <si>
    <t>Genome-Wide Screen for Enhanced Noncanonical Amino Acid Incorporation in Yeast</t>
  </si>
  <si>
    <t>Bottom-Up Design: A Modular Golden Gate Assembly Platform of Yeast Plasmids for Simultaneous Secretion and Surface Display of Distinct FAP Fusion Proteins</t>
  </si>
  <si>
    <t>AgeMTPT, a Catalyst for Peptide N-Terminal Modification</t>
  </si>
  <si>
    <t>High-Level Production of Hydroxytyrosol in Engineered Saccharomyces cerevisiae</t>
  </si>
  <si>
    <t>Individual-Based Modeling of Spatial Dynamics of Chemotactic Microbial Populations</t>
  </si>
  <si>
    <t>Genetic Code Expansion in Pseudomonas putida KT2440</t>
  </si>
  <si>
    <t>Crowding-Induced Spatial Organization of Gene Expression in Cell-Sized Vesicles</t>
  </si>
  <si>
    <t>Transcriptional Fluctuations Govern the Serum-Dependent Cell Cycle Duration Heterogeneities in Mammalian Cells</t>
  </si>
  <si>
    <t>Synthetic Platforms for Characterizing and Targeting of SARS-CoV-2 Genome Capping Enzymes</t>
  </si>
  <si>
    <t>MGCEP 1.0: A Genetic-Engineered Marine-Derived Chassis Cell for a Scaled Heterologous Expression Platform of Microbial Bioactive Metabolites</t>
  </si>
  <si>
    <t>Comparison of Kill Switch Toxins in Plant-Beneficial Pseudomonas fluorescens Reveals Drivers of Lethality, Stability, and Escape</t>
  </si>
  <si>
    <t>Tailoring Protein–Polymer Conjugates as Efficient Artificial Enzymes for Aqueous Asymmetric Aldol Reactions</t>
  </si>
  <si>
    <t>Engineering a Rhodopsin-Based Photo-Electrosynthetic System in Bacteria for CO2 Fixation</t>
  </si>
  <si>
    <t>Heterologous Gene Regulation in Clostridia: Rationally Designed Gene Regulation for Industrial and Medical Applications</t>
  </si>
  <si>
    <t>Control of λ Lysogenic Escherichia coli Cells by Synthetic λ Phage Carrying cIantisense</t>
  </si>
  <si>
    <t>Control of Enzyme Reaction Initiation inside Giant Unilamellar Vesicles by the Cell-Penetrating Peptide-Mediated Translocation of Cargo Proteins</t>
  </si>
  <si>
    <t>Controllable crRNA Self-Transcription Aided Dual-Amplified CRISPR-Cas12a Strategy for Highly Sensitive Biosensing of FEN1 Activity</t>
  </si>
  <si>
    <t>Zymo-Parts: A Golden Gate Modular Cloning Toolbox for Heterologous Gene Expression in Zymomonas mobilis</t>
  </si>
  <si>
    <t>Engineering a Prokaryotic Non-P450 Hydroxylase for 3′-Hydroxylation of Flavonoids</t>
  </si>
  <si>
    <t>A Nucleic Acid Sequence That is Catalytically Active in Both RNA and TNA Backbones</t>
  </si>
  <si>
    <t>EasyGuide Plasmids Support in Vivo Assembly of gRNAs for CRISPR/Cas9 Applications in Saccharomyces cerevisiae</t>
  </si>
  <si>
    <t>December 2022 Issue (vol 11, #12)</t>
  </si>
  <si>
    <t>Ribosome Stalling of N-Linked Glycoproteins in Cell-Free Extracts</t>
  </si>
  <si>
    <t>Robotic Construction and Screening of Lanthipeptide Variant Libraries in Escherichia coli</t>
  </si>
  <si>
    <t>A Toolkit for Precise, Multigene Control in Saccharomyces cerevisiae</t>
  </si>
  <si>
    <t>NLoed: A Python Package for Nonlinear Optimal Experimental Design in Systems Biology</t>
  </si>
  <si>
    <t>Membrane Fusion Mediated by Non-covalent Binding of Re-engineered Cholera Toxin Assemblies to Glycolipids</t>
  </si>
  <si>
    <t>Targeting Transcriptional and Translational Hindrances in a Modular T7RNAP Expression System in Engineered Pseudomonas putida</t>
  </si>
  <si>
    <t>Two-Layered Microfluidic Devices for High-Throughput Dynamic Analysis of Synthetic Gene Circuits in E. coli</t>
  </si>
  <si>
    <t>Conversion of Mevalonate to Isoprenol Using Light Energy in Escherichia coli without Consuming Sugars for ATP Supply</t>
  </si>
  <si>
    <t>Logistic Regression-Guided Identification of Cofactor Specificity-Contributing Residues in Enzyme with Sequence Datasets Partitioned by Catalytic Properties</t>
  </si>
  <si>
    <t>Negatively Competitive Incoherent Feedforward Loops Mitigate Winner-Take-All Resource Competition</t>
  </si>
  <si>
    <t>Tackling the Catch-22 Situation of Optimizing a Sensor and a Transporter System in a Whole-Cell Microbial Biosensor Design for an Anthropogenic Small Molecule</t>
  </si>
  <si>
    <t>Cell-Free Protein Synthesis of Particulate Methane Monooxygenase into Nanodiscs</t>
  </si>
  <si>
    <t>The De Novo Synthesis of 2-Phenylethanol from Glucose by the Synthetic Microbial Consortium Composed of Engineered Escherichia coli and Meyerozyma guilliermondii</t>
  </si>
  <si>
    <t>Repurposing the Endogenous CRISPR-Cas9 System for High-Efficiency Genome Editing in Lacticaseibacillus paracasei</t>
  </si>
  <si>
    <t>High Titer of (S)-Equol Synthesis from Daidzein in Escherichia coli</t>
  </si>
  <si>
    <t>Metabolic and Microbial Community Engineering for Four-Carbon Dicarboxylic Acid Production from CO2-Derived Glycogen in the Cyanobacterium Synechocystis sp. PCC6803</t>
  </si>
  <si>
    <t>Improved Production of Fengycin in Bacillus subtilis by Integrated Strain Engineering Strategy</t>
  </si>
  <si>
    <t>Tuning of Gene Expression in Clostridium phytofermentans Using Synthetic Promoters and CRISPRi</t>
  </si>
  <si>
    <t>Hybrid Nucleic Acid-Quantum Dot Assemblies as Multiplexed Reporter Platforms for Cell-Free Transcription Translation-Based Biosensors</t>
  </si>
  <si>
    <t>Expanding the Scope of Bacterial CRISPR Activation with PAM-Flexible dCas9 Variants</t>
  </si>
  <si>
    <t>Rapid and Accurate Assembly of Large DNA Assisted by In Vitro Packaging of Bacteriophage</t>
  </si>
  <si>
    <t>Computer-Based Design of a Cell Factory for High-Yield Cytidine Production</t>
  </si>
  <si>
    <t xml:space="preserve">Improved Cell-Free Transcription–Translation Reactions in Microfluidic Chemostats Augmented with Hydrogel Membranes for Continuous Small Molecule Dialysis </t>
  </si>
  <si>
    <t>Enzymatic Synthesis of DNA with an Expanded Genetic Alphabet Using Terminal Deoxynucleotidyl Transferase</t>
  </si>
  <si>
    <t>Poly-γ-Glutamic Acid Production by Engineering a DegU Quorum-Sensing Circuit in Bacillus subtilis</t>
  </si>
  <si>
    <t>Modulating DHA-Producing Schizochytrium sp. toward Astaxanthin Biosynthesis via a Seamless Genome Editing System</t>
  </si>
  <si>
    <t xml:space="preserve">Characterization of Eight Bacterial Biosensors for Microbial Diagnostic and Therapeutic Applications </t>
  </si>
  <si>
    <t>A BioBricks Metabolic Engineering Platform for the Biosynthesis of Anthracyclinones in Streptomyces coelicolor</t>
  </si>
  <si>
    <t>A New Strategy for Increasing Knock-in Efficiency: Multiple Elongase and Desaturase Transgenes Knock-in by Targeting Long Repeated Sequences</t>
  </si>
  <si>
    <t>Autoinduction Expression Modules for Regulating Gene Expression in Bacillus subtilis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</si>
</sst>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4" width="17.832031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6" t="s">
        <v>1</v>
      </c>
      <c r="C1" s="7"/>
      <c r="D1" s="7"/>
      <c r="E1" s="7"/>
      <c r="F1" s="6" t="s">
        <v>2</v>
      </c>
      <c r="G1" s="7"/>
      <c r="H1" s="7"/>
      <c r="I1" s="7"/>
      <c r="J1" s="7"/>
      <c r="K1" s="7"/>
      <c r="M1" s="6" t="s">
        <v>3</v>
      </c>
      <c r="N1" s="7"/>
      <c r="O1" s="7"/>
      <c r="P1" s="6" t="s">
        <v>4</v>
      </c>
      <c r="Q1" s="7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January!C53</f>
        <v>149</v>
      </c>
      <c r="C3" s="1">
        <f>January!D53</f>
        <v>44</v>
      </c>
      <c r="D3" s="1">
        <f>January!E53</f>
        <v>42</v>
      </c>
      <c r="E3" s="1">
        <f>January!F53</f>
        <v>25</v>
      </c>
      <c r="F3" s="1">
        <f>January!G53</f>
        <v>21</v>
      </c>
      <c r="G3" s="1">
        <f>January!H53</f>
        <v>20</v>
      </c>
      <c r="H3" s="1">
        <f>January!I53</f>
        <v>20</v>
      </c>
      <c r="I3" s="1">
        <f>January!J53</f>
        <v>11</v>
      </c>
      <c r="J3" s="1">
        <f>January!K53</f>
        <v>10</v>
      </c>
      <c r="K3" s="1">
        <f>January!L53</f>
        <v>30</v>
      </c>
      <c r="M3" s="2">
        <f t="shared" ref="M3:O3" si="0">F3/$K3</f>
        <v>0.7</v>
      </c>
      <c r="N3" s="2">
        <f t="shared" si="0"/>
        <v>0.66666666666666663</v>
      </c>
      <c r="O3" s="2">
        <f t="shared" si="0"/>
        <v>0.66666666666666663</v>
      </c>
      <c r="P3" s="2">
        <f t="shared" ref="P3:Q3" si="1">G3/$F3</f>
        <v>0.95238095238095233</v>
      </c>
      <c r="Q3" s="2">
        <f t="shared" si="1"/>
        <v>0.95238095238095233</v>
      </c>
      <c r="R3" s="2">
        <f t="shared" ref="R3:R15" si="2">I3/F3</f>
        <v>0.52380952380952384</v>
      </c>
      <c r="S3" s="2">
        <f t="shared" ref="S3:S15" si="3">J3/F3</f>
        <v>0.47619047619047616</v>
      </c>
      <c r="T3" s="3">
        <f t="shared" ref="T3:T15" si="4">D3/$B3</f>
        <v>0.28187919463087246</v>
      </c>
      <c r="U3" s="3">
        <f t="shared" ref="U3:U15" si="5">D3/C3</f>
        <v>0.95454545454545459</v>
      </c>
      <c r="V3" s="2">
        <f t="shared" ref="V3:V15" si="6">E3/C3</f>
        <v>0.56818181818181823</v>
      </c>
    </row>
    <row r="4" spans="1:22" ht="15.75" customHeight="1">
      <c r="A4" s="1" t="s">
        <v>20</v>
      </c>
      <c r="B4" s="1">
        <f>February!C49</f>
        <v>163</v>
      </c>
      <c r="C4" s="1">
        <f>February!D49</f>
        <v>38</v>
      </c>
      <c r="D4" s="1">
        <f>February!E49</f>
        <v>38</v>
      </c>
      <c r="E4" s="1">
        <f>February!F49</f>
        <v>22</v>
      </c>
      <c r="F4" s="1">
        <f>February!G49</f>
        <v>16</v>
      </c>
      <c r="G4" s="1">
        <f>February!H49</f>
        <v>16</v>
      </c>
      <c r="H4" s="1">
        <f>February!I49</f>
        <v>16</v>
      </c>
      <c r="I4" s="1">
        <f>February!J49</f>
        <v>8</v>
      </c>
      <c r="J4" s="1">
        <f>February!K49</f>
        <v>8</v>
      </c>
      <c r="K4" s="1">
        <f>February!L49</f>
        <v>30</v>
      </c>
      <c r="M4" s="2">
        <f t="shared" ref="M4:O4" si="7">F4/$K4</f>
        <v>0.53333333333333333</v>
      </c>
      <c r="N4" s="2">
        <f t="shared" si="7"/>
        <v>0.53333333333333333</v>
      </c>
      <c r="O4" s="2">
        <f t="shared" si="7"/>
        <v>0.53333333333333333</v>
      </c>
      <c r="P4" s="2">
        <f t="shared" ref="P4:Q4" si="8">G4/$F4</f>
        <v>1</v>
      </c>
      <c r="Q4" s="2">
        <f t="shared" si="8"/>
        <v>1</v>
      </c>
      <c r="R4" s="2">
        <f t="shared" si="2"/>
        <v>0.5</v>
      </c>
      <c r="S4" s="2">
        <f t="shared" si="3"/>
        <v>0.5</v>
      </c>
      <c r="T4" s="3">
        <f t="shared" si="4"/>
        <v>0.23312883435582821</v>
      </c>
      <c r="U4" s="3">
        <f t="shared" si="5"/>
        <v>1</v>
      </c>
      <c r="V4" s="2">
        <f t="shared" si="6"/>
        <v>0.57894736842105265</v>
      </c>
    </row>
    <row r="5" spans="1:22" ht="15.75" customHeight="1">
      <c r="A5" s="1" t="s">
        <v>21</v>
      </c>
      <c r="B5" s="1">
        <f>March!C35</f>
        <v>167</v>
      </c>
      <c r="C5" s="1">
        <f>March!D35</f>
        <v>49</v>
      </c>
      <c r="D5" s="1">
        <f>March!E35</f>
        <v>46</v>
      </c>
      <c r="E5" s="1">
        <f>March!F35</f>
        <v>24</v>
      </c>
      <c r="F5" s="1">
        <f>March!G35</f>
        <v>22</v>
      </c>
      <c r="G5" s="1">
        <f>March!H35</f>
        <v>19</v>
      </c>
      <c r="H5" s="1">
        <f>March!I35</f>
        <v>19</v>
      </c>
      <c r="I5" s="1">
        <f>March!J35</f>
        <v>11</v>
      </c>
      <c r="J5" s="1">
        <f>March!K35</f>
        <v>10</v>
      </c>
      <c r="K5" s="1">
        <f>March!L35</f>
        <v>30</v>
      </c>
      <c r="M5" s="2">
        <f t="shared" ref="M5:O5" si="9">F5/$K5</f>
        <v>0.73333333333333328</v>
      </c>
      <c r="N5" s="2">
        <f t="shared" si="9"/>
        <v>0.6333333333333333</v>
      </c>
      <c r="O5" s="2">
        <f t="shared" si="9"/>
        <v>0.6333333333333333</v>
      </c>
      <c r="P5" s="2">
        <f t="shared" ref="P5:Q5" si="10">G5/$F5</f>
        <v>0.86363636363636365</v>
      </c>
      <c r="Q5" s="2">
        <f t="shared" si="10"/>
        <v>0.86363636363636365</v>
      </c>
      <c r="R5" s="2">
        <f t="shared" si="2"/>
        <v>0.5</v>
      </c>
      <c r="S5" s="2">
        <f t="shared" si="3"/>
        <v>0.45454545454545453</v>
      </c>
      <c r="T5" s="3">
        <f t="shared" si="4"/>
        <v>0.27544910179640719</v>
      </c>
      <c r="U5" s="3">
        <f t="shared" si="5"/>
        <v>0.93877551020408168</v>
      </c>
      <c r="V5" s="2">
        <f t="shared" si="6"/>
        <v>0.48979591836734693</v>
      </c>
    </row>
    <row r="6" spans="1:22" ht="15.75" customHeight="1">
      <c r="A6" s="1" t="s">
        <v>22</v>
      </c>
      <c r="B6" s="1">
        <f>April!C32</f>
        <v>154</v>
      </c>
      <c r="C6" s="1">
        <f>April!D32</f>
        <v>41</v>
      </c>
      <c r="D6" s="1">
        <f>April!E32</f>
        <v>31</v>
      </c>
      <c r="E6" s="1">
        <f>April!F32</f>
        <v>13</v>
      </c>
      <c r="F6" s="1">
        <f>April!G32</f>
        <v>16</v>
      </c>
      <c r="G6" s="1">
        <f>April!H32</f>
        <v>12</v>
      </c>
      <c r="H6" s="1">
        <f>April!I32</f>
        <v>11</v>
      </c>
      <c r="I6" s="1">
        <f>April!J32</f>
        <v>8</v>
      </c>
      <c r="J6" s="1">
        <f>April!K32</f>
        <v>5</v>
      </c>
      <c r="K6" s="1">
        <f>April!L32</f>
        <v>29</v>
      </c>
      <c r="M6" s="2">
        <f t="shared" ref="M6:O6" si="11">F6/$K6</f>
        <v>0.55172413793103448</v>
      </c>
      <c r="N6" s="2">
        <f t="shared" si="11"/>
        <v>0.41379310344827586</v>
      </c>
      <c r="O6" s="2">
        <f t="shared" si="11"/>
        <v>0.37931034482758619</v>
      </c>
      <c r="P6" s="2">
        <f t="shared" ref="P6:Q6" si="12">G6/$F6</f>
        <v>0.75</v>
      </c>
      <c r="Q6" s="2">
        <f t="shared" si="12"/>
        <v>0.6875</v>
      </c>
      <c r="R6" s="2">
        <f t="shared" si="2"/>
        <v>0.5</v>
      </c>
      <c r="S6" s="2">
        <f t="shared" si="3"/>
        <v>0.3125</v>
      </c>
      <c r="T6" s="3">
        <f t="shared" si="4"/>
        <v>0.20129870129870131</v>
      </c>
      <c r="U6" s="3">
        <f t="shared" si="5"/>
        <v>0.75609756097560976</v>
      </c>
      <c r="V6" s="2">
        <f t="shared" si="6"/>
        <v>0.31707317073170732</v>
      </c>
    </row>
    <row r="7" spans="1:22" ht="15.75" customHeight="1">
      <c r="A7" s="1" t="s">
        <v>23</v>
      </c>
      <c r="B7" s="1">
        <f>May!C29</f>
        <v>140</v>
      </c>
      <c r="C7" s="1">
        <f>May!D29</f>
        <v>35</v>
      </c>
      <c r="D7" s="1">
        <f>May!E29</f>
        <v>28</v>
      </c>
      <c r="E7" s="1">
        <f>May!F29</f>
        <v>18</v>
      </c>
      <c r="F7" s="1">
        <f>May!G29</f>
        <v>15</v>
      </c>
      <c r="G7" s="1">
        <f>May!H29</f>
        <v>13</v>
      </c>
      <c r="H7" s="1">
        <f>May!I29</f>
        <v>11</v>
      </c>
      <c r="I7" s="1">
        <f>May!J29</f>
        <v>7</v>
      </c>
      <c r="J7" s="1">
        <f>May!K29</f>
        <v>6</v>
      </c>
      <c r="K7" s="1">
        <f>May!L29</f>
        <v>26</v>
      </c>
      <c r="M7" s="2">
        <f t="shared" ref="M7:O7" si="13">F7/$K7</f>
        <v>0.57692307692307687</v>
      </c>
      <c r="N7" s="2">
        <f t="shared" si="13"/>
        <v>0.5</v>
      </c>
      <c r="O7" s="2">
        <f t="shared" si="13"/>
        <v>0.42307692307692307</v>
      </c>
      <c r="P7" s="2">
        <f t="shared" ref="P7:Q7" si="14">G7/$F7</f>
        <v>0.8666666666666667</v>
      </c>
      <c r="Q7" s="2">
        <f t="shared" si="14"/>
        <v>0.73333333333333328</v>
      </c>
      <c r="R7" s="2">
        <f t="shared" si="2"/>
        <v>0.46666666666666667</v>
      </c>
      <c r="S7" s="2">
        <f t="shared" si="3"/>
        <v>0.4</v>
      </c>
      <c r="T7" s="3">
        <f t="shared" si="4"/>
        <v>0.2</v>
      </c>
      <c r="U7" s="3">
        <f t="shared" si="5"/>
        <v>0.8</v>
      </c>
      <c r="V7" s="2">
        <f t="shared" si="6"/>
        <v>0.51428571428571423</v>
      </c>
    </row>
    <row r="8" spans="1:22" ht="15.75" customHeight="1">
      <c r="A8" s="1" t="s">
        <v>24</v>
      </c>
      <c r="B8" s="1">
        <f>June!C27</f>
        <v>136</v>
      </c>
      <c r="C8" s="1">
        <f>June!D27</f>
        <v>19</v>
      </c>
      <c r="D8" s="1">
        <f>June!E27</f>
        <v>14</v>
      </c>
      <c r="E8" s="1">
        <f>June!F27</f>
        <v>9</v>
      </c>
      <c r="F8" s="1">
        <f>June!G27</f>
        <v>11</v>
      </c>
      <c r="G8" s="1">
        <f>June!H27</f>
        <v>9</v>
      </c>
      <c r="H8" s="1">
        <f>June!I27</f>
        <v>8</v>
      </c>
      <c r="I8" s="1">
        <f>June!J27</f>
        <v>6</v>
      </c>
      <c r="J8" s="1">
        <f>June!K27</f>
        <v>4</v>
      </c>
      <c r="K8" s="1">
        <f>June!L27</f>
        <v>24</v>
      </c>
      <c r="M8" s="2">
        <f t="shared" ref="M8:O8" si="15">F8/$K8</f>
        <v>0.45833333333333331</v>
      </c>
      <c r="N8" s="2">
        <f t="shared" si="15"/>
        <v>0.375</v>
      </c>
      <c r="O8" s="2">
        <f t="shared" si="15"/>
        <v>0.33333333333333331</v>
      </c>
      <c r="P8" s="2">
        <f t="shared" ref="P8:Q8" si="16">G8/$F8</f>
        <v>0.81818181818181823</v>
      </c>
      <c r="Q8" s="2">
        <f t="shared" si="16"/>
        <v>0.72727272727272729</v>
      </c>
      <c r="R8" s="2">
        <f t="shared" si="2"/>
        <v>0.54545454545454541</v>
      </c>
      <c r="S8" s="2">
        <f t="shared" si="3"/>
        <v>0.36363636363636365</v>
      </c>
      <c r="T8" s="3">
        <f t="shared" si="4"/>
        <v>0.10294117647058823</v>
      </c>
      <c r="U8" s="3">
        <f t="shared" si="5"/>
        <v>0.73684210526315785</v>
      </c>
      <c r="V8" s="2">
        <f t="shared" si="6"/>
        <v>0.47368421052631576</v>
      </c>
    </row>
    <row r="9" spans="1:22" ht="15.75" customHeight="1">
      <c r="A9" s="1" t="s">
        <v>25</v>
      </c>
      <c r="B9" s="1">
        <f>July!C33</f>
        <v>143</v>
      </c>
      <c r="C9" s="1">
        <f>July!D33</f>
        <v>38</v>
      </c>
      <c r="D9" s="1">
        <f>July!E33</f>
        <v>25</v>
      </c>
      <c r="E9" s="1">
        <f>July!F33</f>
        <v>19</v>
      </c>
      <c r="F9" s="1">
        <f>July!G33</f>
        <v>20</v>
      </c>
      <c r="G9" s="1">
        <f>July!H33</f>
        <v>14</v>
      </c>
      <c r="H9" s="1">
        <f>July!I33</f>
        <v>10</v>
      </c>
      <c r="I9" s="1">
        <f>July!J33</f>
        <v>10</v>
      </c>
      <c r="J9" s="1">
        <f>July!K33</f>
        <v>6</v>
      </c>
      <c r="K9" s="1">
        <f>July!L33</f>
        <v>30</v>
      </c>
      <c r="M9" s="2">
        <f t="shared" ref="M9:O9" si="17">F9/$K9</f>
        <v>0.66666666666666663</v>
      </c>
      <c r="N9" s="2">
        <f t="shared" si="17"/>
        <v>0.46666666666666667</v>
      </c>
      <c r="O9" s="2">
        <f t="shared" si="17"/>
        <v>0.33333333333333331</v>
      </c>
      <c r="P9" s="2">
        <f t="shared" ref="P9:Q9" si="18">G9/$F9</f>
        <v>0.7</v>
      </c>
      <c r="Q9" s="2">
        <f t="shared" si="18"/>
        <v>0.5</v>
      </c>
      <c r="R9" s="2">
        <f t="shared" si="2"/>
        <v>0.5</v>
      </c>
      <c r="S9" s="2">
        <f t="shared" si="3"/>
        <v>0.3</v>
      </c>
      <c r="T9" s="3">
        <f t="shared" si="4"/>
        <v>0.17482517482517482</v>
      </c>
      <c r="U9" s="3">
        <f t="shared" si="5"/>
        <v>0.65789473684210531</v>
      </c>
      <c r="V9" s="2">
        <f t="shared" si="6"/>
        <v>0.5</v>
      </c>
    </row>
    <row r="10" spans="1:22" ht="15.75" customHeight="1">
      <c r="A10" s="1" t="s">
        <v>26</v>
      </c>
      <c r="B10" s="1">
        <f>August!C36</f>
        <v>182</v>
      </c>
      <c r="C10" s="1">
        <f>August!D36</f>
        <v>53</v>
      </c>
      <c r="D10" s="1">
        <f>August!E36</f>
        <v>47</v>
      </c>
      <c r="E10" s="1">
        <f>August!F36</f>
        <v>18</v>
      </c>
      <c r="F10" s="1">
        <f>August!G36</f>
        <v>23</v>
      </c>
      <c r="G10" s="1">
        <f>August!H36</f>
        <v>21</v>
      </c>
      <c r="H10" s="1">
        <f>August!I36</f>
        <v>19</v>
      </c>
      <c r="I10" s="1">
        <f>August!J36</f>
        <v>6</v>
      </c>
      <c r="J10" s="1">
        <f>August!K36</f>
        <v>3</v>
      </c>
      <c r="K10" s="1">
        <f>August!L36</f>
        <v>33</v>
      </c>
      <c r="M10" s="2">
        <f t="shared" ref="M10:O10" si="19">F10/$K10</f>
        <v>0.69696969696969702</v>
      </c>
      <c r="N10" s="2">
        <f t="shared" si="19"/>
        <v>0.63636363636363635</v>
      </c>
      <c r="O10" s="2">
        <f t="shared" si="19"/>
        <v>0.5757575757575758</v>
      </c>
      <c r="P10" s="2">
        <f t="shared" ref="P10:Q10" si="20">G10/$F10</f>
        <v>0.91304347826086951</v>
      </c>
      <c r="Q10" s="2">
        <f t="shared" si="20"/>
        <v>0.82608695652173914</v>
      </c>
      <c r="R10" s="2">
        <f t="shared" si="2"/>
        <v>0.2608695652173913</v>
      </c>
      <c r="S10" s="2">
        <f t="shared" si="3"/>
        <v>0.13043478260869565</v>
      </c>
      <c r="T10" s="3">
        <f t="shared" si="4"/>
        <v>0.25824175824175827</v>
      </c>
      <c r="U10" s="3">
        <f t="shared" si="5"/>
        <v>0.8867924528301887</v>
      </c>
      <c r="V10" s="2">
        <f t="shared" si="6"/>
        <v>0.33962264150943394</v>
      </c>
    </row>
    <row r="11" spans="1:22" ht="15.75" customHeight="1">
      <c r="A11" s="1" t="s">
        <v>27</v>
      </c>
      <c r="B11" s="1">
        <f>September!C23</f>
        <v>100</v>
      </c>
      <c r="C11" s="1">
        <f>September!D23</f>
        <v>48</v>
      </c>
      <c r="D11" s="1">
        <f>September!E23</f>
        <v>44</v>
      </c>
      <c r="E11" s="1">
        <f>September!F23</f>
        <v>18</v>
      </c>
      <c r="F11" s="1">
        <f>September!G23</f>
        <v>19</v>
      </c>
      <c r="G11" s="1">
        <f>September!H23</f>
        <v>16</v>
      </c>
      <c r="H11" s="1">
        <f>September!I23</f>
        <v>15</v>
      </c>
      <c r="I11" s="1">
        <f>September!J23</f>
        <v>8</v>
      </c>
      <c r="J11" s="1">
        <f>September!K23</f>
        <v>4</v>
      </c>
      <c r="K11" s="1">
        <f>September!L23</f>
        <v>20</v>
      </c>
      <c r="M11" s="2">
        <f t="shared" ref="M11:O11" si="21">F11/$K11</f>
        <v>0.95</v>
      </c>
      <c r="N11" s="2">
        <f t="shared" si="21"/>
        <v>0.8</v>
      </c>
      <c r="O11" s="2">
        <f t="shared" si="21"/>
        <v>0.75</v>
      </c>
      <c r="P11" s="2">
        <f t="shared" ref="P11:Q11" si="22">G11/$F11</f>
        <v>0.84210526315789469</v>
      </c>
      <c r="Q11" s="2">
        <f t="shared" si="22"/>
        <v>0.78947368421052633</v>
      </c>
      <c r="R11" s="2">
        <f t="shared" si="2"/>
        <v>0.42105263157894735</v>
      </c>
      <c r="S11" s="2">
        <f t="shared" si="3"/>
        <v>0.21052631578947367</v>
      </c>
      <c r="T11" s="3">
        <f t="shared" si="4"/>
        <v>0.44</v>
      </c>
      <c r="U11" s="3">
        <f t="shared" si="5"/>
        <v>0.91666666666666663</v>
      </c>
      <c r="V11" s="2">
        <f t="shared" si="6"/>
        <v>0.375</v>
      </c>
    </row>
    <row r="12" spans="1:22" ht="15.75" customHeight="1">
      <c r="A12" s="1" t="s">
        <v>28</v>
      </c>
      <c r="B12" s="1">
        <f>October!C44</f>
        <v>210</v>
      </c>
      <c r="C12" s="1">
        <f>October!D44</f>
        <v>68</v>
      </c>
      <c r="D12" s="1">
        <f>October!E44</f>
        <v>49</v>
      </c>
      <c r="E12" s="1">
        <f>October!F44</f>
        <v>16</v>
      </c>
      <c r="F12" s="1">
        <f>October!G44</f>
        <v>27</v>
      </c>
      <c r="G12" s="1">
        <f>October!H44</f>
        <v>22</v>
      </c>
      <c r="H12" s="1">
        <f>October!I44</f>
        <v>21</v>
      </c>
      <c r="I12" s="1">
        <f>October!J44</f>
        <v>11</v>
      </c>
      <c r="J12" s="1">
        <f>October!K44</f>
        <v>4</v>
      </c>
      <c r="K12" s="1">
        <f>October!L44</f>
        <v>41</v>
      </c>
      <c r="M12" s="2">
        <f t="shared" ref="M12:O12" si="23">F12/$K12</f>
        <v>0.65853658536585369</v>
      </c>
      <c r="N12" s="2">
        <f t="shared" si="23"/>
        <v>0.53658536585365857</v>
      </c>
      <c r="O12" s="2">
        <f t="shared" si="23"/>
        <v>0.51219512195121952</v>
      </c>
      <c r="P12" s="2">
        <f t="shared" ref="P12:Q12" si="24">G12/$F12</f>
        <v>0.81481481481481477</v>
      </c>
      <c r="Q12" s="2">
        <f t="shared" si="24"/>
        <v>0.77777777777777779</v>
      </c>
      <c r="R12" s="2">
        <f t="shared" si="2"/>
        <v>0.40740740740740738</v>
      </c>
      <c r="S12" s="2">
        <f t="shared" si="3"/>
        <v>0.14814814814814814</v>
      </c>
      <c r="T12" s="3">
        <f t="shared" si="4"/>
        <v>0.23333333333333334</v>
      </c>
      <c r="U12" s="3">
        <f t="shared" si="5"/>
        <v>0.72058823529411764</v>
      </c>
      <c r="V12" s="2">
        <f t="shared" si="6"/>
        <v>0.23529411764705882</v>
      </c>
    </row>
    <row r="13" spans="1:22" ht="15.75" customHeight="1">
      <c r="A13" s="1" t="s">
        <v>29</v>
      </c>
      <c r="B13" s="1">
        <f>November!C35</f>
        <v>164</v>
      </c>
      <c r="C13" s="1">
        <f>November!D35</f>
        <v>56</v>
      </c>
      <c r="D13" s="1">
        <f>November!E35</f>
        <v>40</v>
      </c>
      <c r="E13" s="1">
        <f>November!F35</f>
        <v>20</v>
      </c>
      <c r="F13" s="1">
        <f>November!G35</f>
        <v>25</v>
      </c>
      <c r="G13" s="1">
        <f>November!H35</f>
        <v>20</v>
      </c>
      <c r="H13" s="1">
        <f>November!I35</f>
        <v>13</v>
      </c>
      <c r="I13" s="1">
        <f>November!J35</f>
        <v>12</v>
      </c>
      <c r="J13" s="1">
        <f>November!K35</f>
        <v>3</v>
      </c>
      <c r="K13" s="1">
        <f>November!L35</f>
        <v>32</v>
      </c>
      <c r="M13" s="2">
        <f t="shared" ref="M13:O13" si="25">F13/$K13</f>
        <v>0.78125</v>
      </c>
      <c r="N13" s="2">
        <f t="shared" si="25"/>
        <v>0.625</v>
      </c>
      <c r="O13" s="2">
        <f t="shared" si="25"/>
        <v>0.40625</v>
      </c>
      <c r="P13" s="2">
        <f t="shared" ref="P13:Q13" si="26">G13/$F13</f>
        <v>0.8</v>
      </c>
      <c r="Q13" s="2">
        <f t="shared" si="26"/>
        <v>0.52</v>
      </c>
      <c r="R13" s="2">
        <f t="shared" si="2"/>
        <v>0.48</v>
      </c>
      <c r="S13" s="2">
        <f t="shared" si="3"/>
        <v>0.12</v>
      </c>
      <c r="T13" s="3">
        <f t="shared" si="4"/>
        <v>0.24390243902439024</v>
      </c>
      <c r="U13" s="3">
        <f t="shared" si="5"/>
        <v>0.7142857142857143</v>
      </c>
      <c r="V13" s="2">
        <f t="shared" si="6"/>
        <v>0.35714285714285715</v>
      </c>
    </row>
    <row r="14" spans="1:22" ht="15.75" customHeight="1">
      <c r="A14" s="1" t="s">
        <v>30</v>
      </c>
      <c r="B14" s="1">
        <f>December!C33</f>
        <v>164</v>
      </c>
      <c r="C14" s="1">
        <f>December!D33</f>
        <v>65</v>
      </c>
      <c r="D14" s="1">
        <f>December!E33</f>
        <v>44</v>
      </c>
      <c r="E14" s="1">
        <f>December!F33</f>
        <v>20</v>
      </c>
      <c r="F14" s="1">
        <f>December!G33</f>
        <v>22</v>
      </c>
      <c r="G14" s="1">
        <f>December!H33</f>
        <v>16</v>
      </c>
      <c r="H14" s="1">
        <f>December!I33</f>
        <v>13</v>
      </c>
      <c r="I14" s="1">
        <f>December!J33</f>
        <v>11</v>
      </c>
      <c r="J14" s="1">
        <f>December!K33</f>
        <v>7</v>
      </c>
      <c r="K14" s="1">
        <f>December!L33</f>
        <v>30</v>
      </c>
      <c r="M14" s="2">
        <f t="shared" ref="M14:O14" si="27">F14/$K14</f>
        <v>0.73333333333333328</v>
      </c>
      <c r="N14" s="2">
        <f t="shared" si="27"/>
        <v>0.53333333333333333</v>
      </c>
      <c r="O14" s="2">
        <f t="shared" si="27"/>
        <v>0.43333333333333335</v>
      </c>
      <c r="P14" s="2">
        <f t="shared" ref="P14:Q14" si="28">G14/$F14</f>
        <v>0.72727272727272729</v>
      </c>
      <c r="Q14" s="2">
        <f t="shared" si="28"/>
        <v>0.59090909090909094</v>
      </c>
      <c r="R14" s="2">
        <f t="shared" si="2"/>
        <v>0.5</v>
      </c>
      <c r="S14" s="2">
        <f t="shared" si="3"/>
        <v>0.31818181818181818</v>
      </c>
      <c r="T14" s="3">
        <f t="shared" si="4"/>
        <v>0.26829268292682928</v>
      </c>
      <c r="U14" s="3">
        <f t="shared" si="5"/>
        <v>0.67692307692307696</v>
      </c>
      <c r="V14" s="2">
        <f t="shared" si="6"/>
        <v>0.30769230769230771</v>
      </c>
    </row>
    <row r="15" spans="1:22" ht="15.75" customHeight="1">
      <c r="A15" s="1" t="s">
        <v>31</v>
      </c>
      <c r="B15" s="1">
        <f t="shared" ref="B15:K15" si="29">SUM(B3:B14)</f>
        <v>1872</v>
      </c>
      <c r="C15" s="1">
        <f t="shared" si="29"/>
        <v>554</v>
      </c>
      <c r="D15" s="1">
        <f t="shared" si="29"/>
        <v>448</v>
      </c>
      <c r="E15" s="1">
        <f t="shared" si="29"/>
        <v>222</v>
      </c>
      <c r="F15" s="1">
        <f t="shared" si="29"/>
        <v>237</v>
      </c>
      <c r="G15" s="1">
        <f t="shared" si="29"/>
        <v>198</v>
      </c>
      <c r="H15" s="1">
        <f t="shared" si="29"/>
        <v>176</v>
      </c>
      <c r="I15" s="1">
        <f t="shared" si="29"/>
        <v>109</v>
      </c>
      <c r="J15" s="1">
        <f t="shared" si="29"/>
        <v>70</v>
      </c>
      <c r="K15" s="1">
        <f t="shared" si="29"/>
        <v>355</v>
      </c>
      <c r="M15" s="2">
        <f t="shared" ref="M15:O15" si="30">F15/$K15</f>
        <v>0.6676056338028169</v>
      </c>
      <c r="N15" s="2">
        <f t="shared" si="30"/>
        <v>0.55774647887323947</v>
      </c>
      <c r="O15" s="2">
        <f t="shared" si="30"/>
        <v>0.49577464788732395</v>
      </c>
      <c r="P15" s="2">
        <f t="shared" ref="P15:Q15" si="31">G15/$F15</f>
        <v>0.83544303797468356</v>
      </c>
      <c r="Q15" s="2">
        <f t="shared" si="31"/>
        <v>0.7426160337552743</v>
      </c>
      <c r="R15" s="2">
        <f t="shared" si="2"/>
        <v>0.45991561181434598</v>
      </c>
      <c r="S15" s="2">
        <f t="shared" si="3"/>
        <v>0.29535864978902954</v>
      </c>
      <c r="T15" s="3">
        <f t="shared" si="4"/>
        <v>0.23931623931623933</v>
      </c>
      <c r="U15" s="3">
        <f t="shared" si="5"/>
        <v>0.80866425992779778</v>
      </c>
      <c r="V15" s="2">
        <f t="shared" si="6"/>
        <v>0.4007220216606498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56"/>
  <sheetViews>
    <sheetView topLeftCell="A13" workbookViewId="0">
      <selection activeCell="L32" sqref="L32:L5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44</v>
      </c>
      <c r="B3" s="1"/>
      <c r="C3" s="1">
        <v>3</v>
      </c>
      <c r="D3" s="1">
        <v>3</v>
      </c>
      <c r="E3" s="1">
        <v>3</v>
      </c>
      <c r="F3" s="1">
        <v>3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45</v>
      </c>
      <c r="B4" s="1"/>
      <c r="C4" s="1">
        <v>2</v>
      </c>
      <c r="D4" s="1">
        <v>1</v>
      </c>
      <c r="E4" s="1">
        <v>1</v>
      </c>
      <c r="F4" s="1">
        <v>0</v>
      </c>
      <c r="G4" s="1" t="b">
        <f t="shared" ref="G4:G52" si="0">(D4&gt;0)</f>
        <v>1</v>
      </c>
      <c r="H4" s="1" t="b">
        <f t="shared" ref="H4:H52" si="1">(E4&gt;0)</f>
        <v>1</v>
      </c>
      <c r="I4" s="1" t="b">
        <f t="shared" ref="I4:I52" si="2">AND(G4,(D4=E4))</f>
        <v>1</v>
      </c>
      <c r="J4" s="1" t="b">
        <f t="shared" ref="J4:J52" si="3">(F4&gt;0)</f>
        <v>0</v>
      </c>
      <c r="K4" s="1" t="b">
        <f t="shared" ref="K4:K52" si="4">AND(I4,(E4=F4))</f>
        <v>0</v>
      </c>
    </row>
    <row r="5" spans="1:11" ht="15.75" customHeight="1">
      <c r="A5" s="1" t="s">
        <v>46</v>
      </c>
      <c r="B5" s="1"/>
      <c r="C5" s="1">
        <v>2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47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48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49</v>
      </c>
      <c r="B8" s="1"/>
      <c r="C8" s="1">
        <v>4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50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51</v>
      </c>
      <c r="B10" s="1"/>
      <c r="C10" s="1">
        <v>5</v>
      </c>
      <c r="D10" s="1">
        <v>2</v>
      </c>
      <c r="E10" s="1">
        <v>2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52</v>
      </c>
      <c r="B11" s="1"/>
      <c r="C11" s="1">
        <v>6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53</v>
      </c>
      <c r="B12" s="1"/>
      <c r="C12" s="1">
        <v>4</v>
      </c>
      <c r="D12" s="1">
        <v>3</v>
      </c>
      <c r="E12" s="1">
        <v>3</v>
      </c>
      <c r="F12" s="1">
        <v>3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54</v>
      </c>
      <c r="B13" s="1"/>
      <c r="C13" s="1">
        <v>4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55</v>
      </c>
      <c r="B14" s="1"/>
      <c r="C14" s="1">
        <v>7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56</v>
      </c>
      <c r="B15" s="1"/>
      <c r="C15" s="1">
        <v>5</v>
      </c>
      <c r="D15" s="1">
        <v>4</v>
      </c>
      <c r="E15" s="1">
        <v>4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57</v>
      </c>
      <c r="B16" s="1"/>
      <c r="C16" s="1">
        <v>5</v>
      </c>
      <c r="D16" s="1">
        <v>4</v>
      </c>
      <c r="E16" s="1">
        <v>4</v>
      </c>
      <c r="F16" s="1">
        <v>4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58</v>
      </c>
      <c r="B17" s="1"/>
      <c r="C17" s="1">
        <v>4</v>
      </c>
      <c r="D17" s="1">
        <v>1</v>
      </c>
      <c r="E17" s="1">
        <v>1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59</v>
      </c>
      <c r="B18" s="1"/>
      <c r="C18" s="1">
        <v>4</v>
      </c>
      <c r="D18" s="1">
        <v>1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60</v>
      </c>
      <c r="B19" s="1"/>
      <c r="C19" s="1">
        <v>4</v>
      </c>
      <c r="D19" s="1">
        <v>1</v>
      </c>
      <c r="E19" s="1">
        <v>1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61</v>
      </c>
      <c r="B20" s="1"/>
      <c r="C20" s="1">
        <v>9</v>
      </c>
      <c r="D20" s="1">
        <v>2</v>
      </c>
      <c r="E20" s="1">
        <v>2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62</v>
      </c>
      <c r="B21" s="1"/>
      <c r="C21" s="1">
        <v>6</v>
      </c>
      <c r="D21" s="1">
        <v>1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63</v>
      </c>
      <c r="B22" s="1"/>
      <c r="C22" s="1">
        <v>5</v>
      </c>
      <c r="D22" s="1">
        <v>4</v>
      </c>
      <c r="E22" s="1">
        <v>4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0</v>
      </c>
    </row>
    <row r="23" spans="1:12" ht="15.75" customHeight="1">
      <c r="A23" s="1" t="s">
        <v>64</v>
      </c>
      <c r="B23" s="1"/>
      <c r="C23" s="1">
        <v>3</v>
      </c>
      <c r="D23" s="1">
        <v>2</v>
      </c>
      <c r="E23" s="1">
        <v>2</v>
      </c>
      <c r="F23" s="1">
        <v>2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65</v>
      </c>
      <c r="B24" s="1"/>
      <c r="C24" s="1">
        <v>6</v>
      </c>
      <c r="D24" s="1">
        <v>3</v>
      </c>
      <c r="E24" s="1">
        <v>3</v>
      </c>
      <c r="F24" s="1">
        <v>3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2" ht="15.75" customHeight="1">
      <c r="A25" s="1" t="s">
        <v>66</v>
      </c>
      <c r="B25" s="1"/>
      <c r="C25" s="1">
        <v>6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67</v>
      </c>
      <c r="B26" s="1"/>
      <c r="C26" s="1">
        <v>6</v>
      </c>
      <c r="D26" s="1">
        <v>2</v>
      </c>
      <c r="E26" s="1">
        <v>2</v>
      </c>
      <c r="F26" s="1">
        <v>2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68</v>
      </c>
      <c r="B27" s="1"/>
      <c r="C27" s="1">
        <v>4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69</v>
      </c>
      <c r="B28" s="1"/>
      <c r="C28" s="1">
        <v>4</v>
      </c>
      <c r="D28" s="1">
        <v>3</v>
      </c>
      <c r="E28" s="1">
        <v>3</v>
      </c>
      <c r="F28" s="1">
        <v>3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1" t="s">
        <v>70</v>
      </c>
      <c r="B29" s="1"/>
      <c r="C29" s="1">
        <v>13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71</v>
      </c>
      <c r="B30" s="1"/>
      <c r="C30" s="1">
        <v>5</v>
      </c>
      <c r="D30" s="1">
        <v>1</v>
      </c>
      <c r="E30" s="1">
        <v>1</v>
      </c>
      <c r="F30" s="1">
        <v>0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72</v>
      </c>
      <c r="B31" s="1"/>
      <c r="C31" s="1">
        <v>7</v>
      </c>
      <c r="D31" s="1">
        <v>1</v>
      </c>
      <c r="E31" s="1">
        <v>1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73</v>
      </c>
      <c r="B32" s="1"/>
      <c r="C32" s="1">
        <v>4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/>
    </row>
    <row r="33" spans="1:12" ht="15.75" customHeight="1">
      <c r="A33" s="1" t="s">
        <v>75</v>
      </c>
      <c r="B33" s="1"/>
      <c r="C33" s="1">
        <v>6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76</v>
      </c>
      <c r="B34" s="1"/>
      <c r="C34" s="1">
        <v>5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1" t="s">
        <v>77</v>
      </c>
      <c r="B35" s="1"/>
      <c r="C35" s="1">
        <v>5</v>
      </c>
      <c r="D35" s="1">
        <v>0</v>
      </c>
      <c r="E35" s="1">
        <v>0</v>
      </c>
      <c r="F35" s="1">
        <v>0</v>
      </c>
      <c r="G35" s="1" t="b">
        <f t="shared" si="0"/>
        <v>0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78</v>
      </c>
      <c r="B36" s="1"/>
      <c r="C36" s="1">
        <v>5</v>
      </c>
      <c r="D36" s="1">
        <v>4</v>
      </c>
      <c r="E36" s="1">
        <v>4</v>
      </c>
      <c r="F36" s="1">
        <v>4</v>
      </c>
      <c r="G36" s="1" t="b">
        <f t="shared" si="0"/>
        <v>1</v>
      </c>
      <c r="H36" s="1" t="b">
        <f t="shared" si="1"/>
        <v>1</v>
      </c>
      <c r="I36" s="1" t="b">
        <f t="shared" si="2"/>
        <v>1</v>
      </c>
      <c r="J36" s="1" t="b">
        <f t="shared" si="3"/>
        <v>1</v>
      </c>
      <c r="K36" s="1" t="b">
        <f t="shared" si="4"/>
        <v>1</v>
      </c>
      <c r="L36" s="1"/>
    </row>
    <row r="37" spans="1:12" ht="15.75" customHeight="1">
      <c r="A37" s="1" t="s">
        <v>79</v>
      </c>
      <c r="B37" s="1"/>
      <c r="C37" s="1">
        <v>8</v>
      </c>
      <c r="D37" s="1">
        <v>8</v>
      </c>
      <c r="E37" s="1">
        <v>8</v>
      </c>
      <c r="F37" s="1">
        <v>7</v>
      </c>
      <c r="G37" s="1" t="b">
        <f t="shared" si="0"/>
        <v>1</v>
      </c>
      <c r="H37" s="1" t="b">
        <f t="shared" si="1"/>
        <v>1</v>
      </c>
      <c r="I37" s="1" t="b">
        <f t="shared" si="2"/>
        <v>1</v>
      </c>
      <c r="J37" s="1" t="b">
        <f t="shared" si="3"/>
        <v>1</v>
      </c>
      <c r="K37" s="1" t="b">
        <f t="shared" si="4"/>
        <v>0</v>
      </c>
      <c r="L37" s="1"/>
    </row>
    <row r="38" spans="1:12" ht="15.75" customHeight="1">
      <c r="A38" s="1" t="s">
        <v>80</v>
      </c>
      <c r="B38" s="1"/>
      <c r="C38" s="1">
        <v>5</v>
      </c>
      <c r="D38" s="1">
        <v>0</v>
      </c>
      <c r="E38" s="1">
        <v>0</v>
      </c>
      <c r="F38" s="1">
        <v>0</v>
      </c>
      <c r="G38" s="1" t="b">
        <f t="shared" si="0"/>
        <v>0</v>
      </c>
      <c r="H38" s="1" t="b">
        <f t="shared" si="1"/>
        <v>0</v>
      </c>
      <c r="I38" s="1" t="b">
        <f t="shared" si="2"/>
        <v>0</v>
      </c>
      <c r="J38" s="1" t="b">
        <f t="shared" si="3"/>
        <v>0</v>
      </c>
      <c r="K38" s="1" t="b">
        <f t="shared" si="4"/>
        <v>0</v>
      </c>
      <c r="L38" s="1"/>
    </row>
    <row r="39" spans="1:12" ht="15.75" customHeight="1">
      <c r="A39" s="1" t="s">
        <v>81</v>
      </c>
      <c r="B39" s="1"/>
      <c r="C39" s="1">
        <v>5</v>
      </c>
      <c r="D39" s="1">
        <v>0</v>
      </c>
      <c r="E39" s="1">
        <v>0</v>
      </c>
      <c r="F39" s="1">
        <v>0</v>
      </c>
      <c r="G39" s="1" t="b">
        <f t="shared" si="0"/>
        <v>0</v>
      </c>
      <c r="H39" s="1" t="b">
        <f t="shared" si="1"/>
        <v>0</v>
      </c>
      <c r="I39" s="1" t="b">
        <f t="shared" si="2"/>
        <v>0</v>
      </c>
      <c r="J39" s="1" t="b">
        <f t="shared" si="3"/>
        <v>0</v>
      </c>
      <c r="K39" s="1" t="b">
        <f t="shared" si="4"/>
        <v>0</v>
      </c>
      <c r="L39" s="1"/>
    </row>
    <row r="40" spans="1:12" ht="15.75" customHeight="1">
      <c r="A40" s="1" t="s">
        <v>82</v>
      </c>
      <c r="B40" s="1"/>
      <c r="C40" s="1">
        <v>5</v>
      </c>
      <c r="D40" s="1">
        <v>0</v>
      </c>
      <c r="E40" s="1">
        <v>0</v>
      </c>
      <c r="F40" s="1">
        <v>0</v>
      </c>
      <c r="G40" s="1" t="b">
        <f t="shared" si="0"/>
        <v>0</v>
      </c>
      <c r="H40" s="1" t="b">
        <f t="shared" si="1"/>
        <v>0</v>
      </c>
      <c r="I40" s="1" t="b">
        <f t="shared" si="2"/>
        <v>0</v>
      </c>
      <c r="J40" s="1" t="b">
        <f t="shared" si="3"/>
        <v>0</v>
      </c>
      <c r="K40" s="1" t="b">
        <f t="shared" si="4"/>
        <v>0</v>
      </c>
      <c r="L40" s="1"/>
    </row>
    <row r="41" spans="1:12" ht="15.75" customHeight="1">
      <c r="A41" s="1" t="s">
        <v>83</v>
      </c>
      <c r="B41" s="1"/>
      <c r="C41" s="1">
        <v>6</v>
      </c>
      <c r="D41" s="1">
        <v>1</v>
      </c>
      <c r="E41" s="1">
        <v>1</v>
      </c>
      <c r="F41" s="1">
        <v>0</v>
      </c>
      <c r="G41" s="1" t="b">
        <f t="shared" si="0"/>
        <v>1</v>
      </c>
      <c r="H41" s="1" t="b">
        <f t="shared" si="1"/>
        <v>1</v>
      </c>
      <c r="I41" s="1" t="b">
        <f t="shared" si="2"/>
        <v>1</v>
      </c>
      <c r="J41" s="1" t="b">
        <f t="shared" si="3"/>
        <v>0</v>
      </c>
      <c r="K41" s="1" t="b">
        <f t="shared" si="4"/>
        <v>0</v>
      </c>
      <c r="L41" s="1"/>
    </row>
    <row r="42" spans="1:12" ht="15.75" customHeight="1">
      <c r="A42" s="1" t="s">
        <v>84</v>
      </c>
      <c r="B42" s="1"/>
      <c r="C42" s="1">
        <v>6</v>
      </c>
      <c r="D42" s="1">
        <v>3</v>
      </c>
      <c r="E42" s="1">
        <v>3</v>
      </c>
      <c r="F42" s="1">
        <v>3</v>
      </c>
      <c r="G42" s="1" t="b">
        <f t="shared" si="0"/>
        <v>1</v>
      </c>
      <c r="H42" s="1" t="b">
        <f t="shared" si="1"/>
        <v>1</v>
      </c>
      <c r="I42" s="1" t="b">
        <f t="shared" si="2"/>
        <v>1</v>
      </c>
      <c r="J42" s="1" t="b">
        <f t="shared" si="3"/>
        <v>1</v>
      </c>
      <c r="K42" s="1" t="b">
        <f t="shared" si="4"/>
        <v>1</v>
      </c>
      <c r="L42" s="1"/>
    </row>
    <row r="43" spans="1:12" ht="15.75" customHeight="1">
      <c r="A43" s="1" t="s">
        <v>85</v>
      </c>
      <c r="B43" s="1"/>
      <c r="C43" s="1">
        <v>5</v>
      </c>
      <c r="D43" s="1">
        <v>3</v>
      </c>
      <c r="E43" s="1">
        <v>3</v>
      </c>
      <c r="F43" s="1">
        <v>1</v>
      </c>
      <c r="G43" s="1" t="b">
        <f t="shared" si="0"/>
        <v>1</v>
      </c>
      <c r="H43" s="1" t="b">
        <f t="shared" si="1"/>
        <v>1</v>
      </c>
      <c r="I43" s="1" t="b">
        <f t="shared" si="2"/>
        <v>1</v>
      </c>
      <c r="J43" s="1" t="b">
        <f t="shared" si="3"/>
        <v>1</v>
      </c>
      <c r="K43" s="1" t="b">
        <f t="shared" si="4"/>
        <v>0</v>
      </c>
      <c r="L43" s="1"/>
    </row>
    <row r="44" spans="1:12" ht="15.75" customHeight="1">
      <c r="A44" s="1" t="s">
        <v>86</v>
      </c>
      <c r="B44" s="1"/>
      <c r="C44" s="1">
        <v>4</v>
      </c>
      <c r="D44" s="1">
        <v>2</v>
      </c>
      <c r="E44" s="1">
        <v>2</v>
      </c>
      <c r="F44" s="1">
        <v>0</v>
      </c>
      <c r="G44" s="1" t="b">
        <f t="shared" si="0"/>
        <v>1</v>
      </c>
      <c r="H44" s="1" t="b">
        <f t="shared" si="1"/>
        <v>1</v>
      </c>
      <c r="I44" s="1" t="b">
        <f t="shared" si="2"/>
        <v>1</v>
      </c>
      <c r="J44" s="1" t="b">
        <f t="shared" si="3"/>
        <v>0</v>
      </c>
      <c r="K44" s="1" t="b">
        <f t="shared" si="4"/>
        <v>0</v>
      </c>
      <c r="L44" s="1"/>
    </row>
    <row r="45" spans="1:12" ht="15.75" customHeight="1">
      <c r="A45" s="1" t="s">
        <v>87</v>
      </c>
      <c r="B45" s="1"/>
      <c r="C45" s="1">
        <v>8</v>
      </c>
      <c r="D45" s="1">
        <v>0</v>
      </c>
      <c r="E45" s="1">
        <v>0</v>
      </c>
      <c r="F45" s="1">
        <v>0</v>
      </c>
      <c r="G45" s="1" t="b">
        <f t="shared" si="0"/>
        <v>0</v>
      </c>
      <c r="H45" s="1" t="b">
        <f t="shared" si="1"/>
        <v>0</v>
      </c>
      <c r="I45" s="1" t="b">
        <f t="shared" si="2"/>
        <v>0</v>
      </c>
      <c r="J45" s="1" t="b">
        <f t="shared" si="3"/>
        <v>0</v>
      </c>
      <c r="K45" s="1" t="b">
        <f t="shared" si="4"/>
        <v>0</v>
      </c>
      <c r="L45" s="1"/>
    </row>
    <row r="46" spans="1:12" ht="15.75" customHeight="1">
      <c r="A46" s="1" t="s">
        <v>88</v>
      </c>
      <c r="B46" s="1"/>
      <c r="C46" s="1">
        <v>4</v>
      </c>
      <c r="D46" s="1">
        <v>2</v>
      </c>
      <c r="E46" s="1">
        <v>2</v>
      </c>
      <c r="F46" s="1">
        <v>2</v>
      </c>
      <c r="G46" s="1" t="b">
        <f t="shared" si="0"/>
        <v>1</v>
      </c>
      <c r="H46" s="1" t="b">
        <f t="shared" si="1"/>
        <v>1</v>
      </c>
      <c r="I46" s="1" t="b">
        <f t="shared" si="2"/>
        <v>1</v>
      </c>
      <c r="J46" s="1" t="b">
        <f t="shared" si="3"/>
        <v>1</v>
      </c>
      <c r="K46" s="1" t="b">
        <f t="shared" si="4"/>
        <v>1</v>
      </c>
      <c r="L46" s="1"/>
    </row>
    <row r="47" spans="1:12" ht="15.75" customHeight="1">
      <c r="A47" s="1" t="s">
        <v>89</v>
      </c>
      <c r="B47" s="1"/>
      <c r="C47" s="1">
        <v>6</v>
      </c>
      <c r="D47" s="1">
        <v>1</v>
      </c>
      <c r="E47" s="1">
        <v>1</v>
      </c>
      <c r="F47" s="1">
        <v>1</v>
      </c>
      <c r="G47" s="1" t="b">
        <f t="shared" si="0"/>
        <v>1</v>
      </c>
      <c r="H47" s="1" t="b">
        <f t="shared" si="1"/>
        <v>1</v>
      </c>
      <c r="I47" s="1" t="b">
        <f t="shared" si="2"/>
        <v>1</v>
      </c>
      <c r="J47" s="1" t="b">
        <f t="shared" si="3"/>
        <v>1</v>
      </c>
      <c r="K47" s="1" t="b">
        <f t="shared" si="4"/>
        <v>1</v>
      </c>
      <c r="L47" s="1"/>
    </row>
    <row r="48" spans="1:12" ht="15.75" customHeight="1">
      <c r="A48" s="1" t="s">
        <v>90</v>
      </c>
      <c r="B48" s="1"/>
      <c r="C48" s="1">
        <v>5</v>
      </c>
      <c r="D48" s="1">
        <v>3</v>
      </c>
      <c r="E48" s="1">
        <v>3</v>
      </c>
      <c r="F48" s="1">
        <v>0</v>
      </c>
      <c r="G48" s="1" t="b">
        <f t="shared" si="0"/>
        <v>1</v>
      </c>
      <c r="H48" s="1" t="b">
        <f t="shared" si="1"/>
        <v>1</v>
      </c>
      <c r="I48" s="1" t="b">
        <f t="shared" si="2"/>
        <v>1</v>
      </c>
      <c r="J48" s="1" t="b">
        <f t="shared" si="3"/>
        <v>0</v>
      </c>
      <c r="K48" s="1" t="b">
        <f t="shared" si="4"/>
        <v>0</v>
      </c>
      <c r="L48" s="1"/>
    </row>
    <row r="49" spans="1:12" ht="15.75" customHeight="1">
      <c r="A49" s="1" t="s">
        <v>91</v>
      </c>
      <c r="B49" s="1"/>
      <c r="C49" s="1">
        <v>2</v>
      </c>
      <c r="D49" s="1">
        <v>0</v>
      </c>
      <c r="E49" s="1">
        <v>0</v>
      </c>
      <c r="F49" s="1">
        <v>0</v>
      </c>
      <c r="G49" s="1" t="b">
        <f t="shared" si="0"/>
        <v>0</v>
      </c>
      <c r="H49" s="1" t="b">
        <f t="shared" si="1"/>
        <v>0</v>
      </c>
      <c r="I49" s="1" t="b">
        <f t="shared" si="2"/>
        <v>0</v>
      </c>
      <c r="J49" s="1" t="b">
        <f t="shared" si="3"/>
        <v>0</v>
      </c>
      <c r="K49" s="1" t="b">
        <f t="shared" si="4"/>
        <v>0</v>
      </c>
      <c r="L49" s="1"/>
    </row>
    <row r="50" spans="1:12" ht="15.75" customHeight="1">
      <c r="A50" s="1" t="s">
        <v>92</v>
      </c>
      <c r="B50" s="1"/>
      <c r="C50" s="1">
        <v>4</v>
      </c>
      <c r="D50" s="1">
        <v>0</v>
      </c>
      <c r="E50" s="1">
        <v>0</v>
      </c>
      <c r="F50" s="1">
        <v>0</v>
      </c>
      <c r="G50" s="1" t="b">
        <f t="shared" si="0"/>
        <v>0</v>
      </c>
      <c r="H50" s="1" t="b">
        <f t="shared" si="1"/>
        <v>0</v>
      </c>
      <c r="I50" s="1" t="b">
        <f t="shared" si="2"/>
        <v>0</v>
      </c>
      <c r="J50" s="1" t="b">
        <f t="shared" si="3"/>
        <v>0</v>
      </c>
      <c r="K50" s="1" t="b">
        <f t="shared" si="4"/>
        <v>0</v>
      </c>
      <c r="L50" s="1"/>
    </row>
    <row r="51" spans="1:12" ht="13">
      <c r="A51" s="1" t="s">
        <v>93</v>
      </c>
      <c r="B51" s="1"/>
      <c r="C51" s="1">
        <v>2</v>
      </c>
      <c r="D51" s="1">
        <v>2</v>
      </c>
      <c r="E51" s="1">
        <v>2</v>
      </c>
      <c r="F51" s="1">
        <v>2</v>
      </c>
      <c r="G51" s="1" t="b">
        <f t="shared" si="0"/>
        <v>1</v>
      </c>
      <c r="H51" s="1" t="b">
        <f t="shared" si="1"/>
        <v>1</v>
      </c>
      <c r="I51" s="1" t="b">
        <f t="shared" si="2"/>
        <v>1</v>
      </c>
      <c r="J51" s="1" t="b">
        <f t="shared" si="3"/>
        <v>1</v>
      </c>
      <c r="K51" s="1" t="b">
        <f t="shared" si="4"/>
        <v>1</v>
      </c>
      <c r="L51" s="1"/>
    </row>
    <row r="52" spans="1:12" ht="13">
      <c r="A52" s="1" t="s">
        <v>94</v>
      </c>
      <c r="B52" s="1"/>
      <c r="C52" s="1">
        <v>2</v>
      </c>
      <c r="D52" s="1">
        <v>1</v>
      </c>
      <c r="E52" s="1">
        <v>0</v>
      </c>
      <c r="F52" s="1">
        <v>0</v>
      </c>
      <c r="G52" s="1" t="b">
        <f t="shared" si="0"/>
        <v>1</v>
      </c>
      <c r="H52" s="1" t="b">
        <f t="shared" si="1"/>
        <v>0</v>
      </c>
      <c r="I52" s="1" t="b">
        <f t="shared" si="2"/>
        <v>0</v>
      </c>
      <c r="J52" s="1" t="b">
        <f t="shared" si="3"/>
        <v>0</v>
      </c>
      <c r="K52" s="1" t="b">
        <f t="shared" si="4"/>
        <v>0</v>
      </c>
      <c r="L52" s="1"/>
    </row>
    <row r="53" spans="1:12" ht="13">
      <c r="B53" s="1" t="s">
        <v>95</v>
      </c>
      <c r="C53" s="1">
        <f t="shared" ref="C53:F53" si="5">SUM(C2:C32)</f>
        <v>149</v>
      </c>
      <c r="D53" s="1">
        <f t="shared" si="5"/>
        <v>44</v>
      </c>
      <c r="E53" s="1">
        <f t="shared" si="5"/>
        <v>42</v>
      </c>
      <c r="F53" s="1">
        <f t="shared" si="5"/>
        <v>25</v>
      </c>
      <c r="G53" s="1">
        <f t="shared" ref="G53:K53" si="6">COUNTIF(G3:G32,"TRUE")</f>
        <v>21</v>
      </c>
      <c r="H53" s="1">
        <f t="shared" si="6"/>
        <v>20</v>
      </c>
      <c r="I53" s="1">
        <f t="shared" si="6"/>
        <v>20</v>
      </c>
      <c r="J53" s="1">
        <f t="shared" si="6"/>
        <v>11</v>
      </c>
      <c r="K53" s="1">
        <f t="shared" si="6"/>
        <v>10</v>
      </c>
      <c r="L53" s="5">
        <f>COUNTA(E3:E32)</f>
        <v>30</v>
      </c>
    </row>
    <row r="54" spans="1:12" ht="13">
      <c r="E54" s="1" t="s">
        <v>3</v>
      </c>
      <c r="F54" s="2"/>
      <c r="G54" s="2">
        <f>G53/L53</f>
        <v>0.7</v>
      </c>
      <c r="H54" s="2">
        <f>H53/L53</f>
        <v>0.66666666666666663</v>
      </c>
      <c r="I54" s="2">
        <f>I53/L53</f>
        <v>0.66666666666666663</v>
      </c>
      <c r="J54" s="2">
        <f>J53/L53</f>
        <v>0.36666666666666664</v>
      </c>
      <c r="K54" s="2">
        <f>K53/L53</f>
        <v>0.33333333333333331</v>
      </c>
    </row>
    <row r="55" spans="1:12" ht="13">
      <c r="E55" s="1" t="s">
        <v>96</v>
      </c>
      <c r="F55" s="2"/>
      <c r="G55" s="2"/>
      <c r="H55" s="2">
        <f>H53/G53</f>
        <v>0.95238095238095233</v>
      </c>
      <c r="I55" s="2">
        <f>I53/G53</f>
        <v>0.95238095238095233</v>
      </c>
      <c r="J55" s="2">
        <f>J53/G53</f>
        <v>0.52380952380952384</v>
      </c>
      <c r="K55" s="2">
        <f>K53/G53</f>
        <v>0.47619047619047616</v>
      </c>
    </row>
    <row r="56" spans="1:12" ht="13">
      <c r="E56" s="1" t="s">
        <v>97</v>
      </c>
      <c r="F56" s="2"/>
      <c r="G56" s="2">
        <f>E53/C53</f>
        <v>0.28187919463087246</v>
      </c>
      <c r="H56" s="2">
        <f>E53/D53</f>
        <v>0.95454545454545459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52"/>
  <sheetViews>
    <sheetView topLeftCell="A8" workbookViewId="0">
      <selection activeCell="L32" sqref="L32:L4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98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99</v>
      </c>
      <c r="B3" s="1"/>
      <c r="C3" s="1">
        <v>4</v>
      </c>
      <c r="D3" s="1">
        <v>2</v>
      </c>
      <c r="E3" s="1">
        <v>2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100</v>
      </c>
      <c r="B4" s="1"/>
      <c r="C4" s="1">
        <v>6</v>
      </c>
      <c r="D4" s="1">
        <v>2</v>
      </c>
      <c r="E4" s="1">
        <v>2</v>
      </c>
      <c r="F4" s="1">
        <v>0</v>
      </c>
      <c r="G4" s="1" t="b">
        <f t="shared" ref="G4:G48" si="0">(D4&gt;0)</f>
        <v>1</v>
      </c>
      <c r="H4" s="1" t="b">
        <f t="shared" ref="H4:H48" si="1">(E4&gt;0)</f>
        <v>1</v>
      </c>
      <c r="I4" s="1" t="b">
        <f t="shared" ref="I4:I48" si="2">AND(G4,(D4=E4))</f>
        <v>1</v>
      </c>
      <c r="J4" s="1" t="b">
        <f t="shared" ref="J4:J48" si="3">(F4&gt;0)</f>
        <v>0</v>
      </c>
      <c r="K4" s="1" t="b">
        <f t="shared" ref="K4:K48" si="4">AND(I4,(E4=F4))</f>
        <v>0</v>
      </c>
    </row>
    <row r="5" spans="1:11" ht="15.75" customHeight="1">
      <c r="A5" s="1" t="s">
        <v>101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102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103</v>
      </c>
      <c r="B7" s="1"/>
      <c r="C7" s="1">
        <v>4</v>
      </c>
      <c r="D7" s="1">
        <v>4</v>
      </c>
      <c r="E7" s="1">
        <v>4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104</v>
      </c>
      <c r="B8" s="1"/>
      <c r="C8" s="1">
        <v>4</v>
      </c>
      <c r="D8" s="1">
        <v>4</v>
      </c>
      <c r="E8" s="1">
        <v>4</v>
      </c>
      <c r="F8" s="1">
        <v>4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105</v>
      </c>
      <c r="B9" s="1"/>
      <c r="C9" s="1">
        <v>4</v>
      </c>
      <c r="D9" s="1">
        <v>4</v>
      </c>
      <c r="E9" s="1">
        <v>4</v>
      </c>
      <c r="F9" s="1">
        <v>4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106</v>
      </c>
      <c r="B10" s="1"/>
      <c r="C10" s="1">
        <v>3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107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108</v>
      </c>
      <c r="B12" s="1"/>
      <c r="C12" s="1">
        <v>8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109</v>
      </c>
      <c r="B13" s="1"/>
      <c r="C13" s="1">
        <v>4</v>
      </c>
      <c r="D13" s="1">
        <v>2</v>
      </c>
      <c r="E13" s="1">
        <v>2</v>
      </c>
      <c r="F13" s="1">
        <v>2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110</v>
      </c>
      <c r="B14" s="1"/>
      <c r="C14" s="1">
        <v>4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111</v>
      </c>
      <c r="B15" s="1"/>
      <c r="C15" s="1">
        <v>5</v>
      </c>
      <c r="D15" s="1">
        <v>3</v>
      </c>
      <c r="E15" s="1">
        <v>3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112</v>
      </c>
      <c r="B16" s="1"/>
      <c r="C16" s="1">
        <v>5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113</v>
      </c>
      <c r="B17" s="1"/>
      <c r="C17" s="1">
        <v>4</v>
      </c>
      <c r="D17" s="1">
        <v>1</v>
      </c>
      <c r="E17" s="1">
        <v>1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114</v>
      </c>
      <c r="B18" s="1"/>
      <c r="C18" s="1">
        <v>5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115</v>
      </c>
      <c r="B19" s="1"/>
      <c r="C19" s="1">
        <v>4</v>
      </c>
      <c r="D19" s="1">
        <v>3</v>
      </c>
      <c r="E19" s="1">
        <v>3</v>
      </c>
      <c r="F19" s="1">
        <v>3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116</v>
      </c>
      <c r="B20" s="1"/>
      <c r="C20" s="1">
        <v>6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117</v>
      </c>
      <c r="B21" s="1"/>
      <c r="C21" s="1">
        <v>12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118</v>
      </c>
      <c r="B22" s="1"/>
      <c r="C22" s="1">
        <v>7</v>
      </c>
      <c r="D22" s="1">
        <v>5</v>
      </c>
      <c r="E22" s="1">
        <v>5</v>
      </c>
      <c r="F22" s="1">
        <v>5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119</v>
      </c>
      <c r="B23" s="1"/>
      <c r="C23" s="1">
        <v>7</v>
      </c>
      <c r="D23" s="1">
        <v>2</v>
      </c>
      <c r="E23" s="1">
        <v>2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120</v>
      </c>
      <c r="B24" s="1"/>
      <c r="C24" s="1">
        <v>6</v>
      </c>
      <c r="D24" s="1">
        <v>1</v>
      </c>
      <c r="E24" s="1">
        <v>1</v>
      </c>
      <c r="F24" s="1">
        <v>1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2" ht="15.75" customHeight="1">
      <c r="A25" s="1" t="s">
        <v>121</v>
      </c>
      <c r="B25" s="1"/>
      <c r="C25" s="1">
        <v>6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122</v>
      </c>
      <c r="B26" s="1"/>
      <c r="C26" s="1">
        <v>8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123</v>
      </c>
      <c r="B27" s="1"/>
      <c r="C27" s="1">
        <v>7</v>
      </c>
      <c r="D27" s="1">
        <v>1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124</v>
      </c>
      <c r="B28" s="1"/>
      <c r="C28" s="1">
        <v>6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125</v>
      </c>
      <c r="B29" s="1"/>
      <c r="C29" s="1">
        <v>4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126</v>
      </c>
      <c r="B30" s="1"/>
      <c r="C30" s="1">
        <v>5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127</v>
      </c>
      <c r="B31" s="1"/>
      <c r="C31" s="1">
        <v>3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128</v>
      </c>
      <c r="B32" s="1"/>
      <c r="C32" s="1">
        <v>11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/>
    </row>
    <row r="33" spans="1:12" ht="15.75" customHeight="1">
      <c r="A33" s="1" t="s">
        <v>129</v>
      </c>
      <c r="B33" s="1"/>
      <c r="C33" s="1">
        <v>4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130</v>
      </c>
      <c r="B34" s="1"/>
      <c r="C34" s="1">
        <v>5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1" t="s">
        <v>131</v>
      </c>
      <c r="B35" s="1"/>
      <c r="C35" s="1">
        <v>5</v>
      </c>
      <c r="D35" s="1">
        <v>1</v>
      </c>
      <c r="E35" s="1">
        <v>1</v>
      </c>
      <c r="F35" s="1">
        <v>0</v>
      </c>
      <c r="G35" s="1" t="b">
        <f t="shared" si="0"/>
        <v>1</v>
      </c>
      <c r="H35" s="1" t="b">
        <f t="shared" si="1"/>
        <v>1</v>
      </c>
      <c r="I35" s="1" t="b">
        <f t="shared" si="2"/>
        <v>1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132</v>
      </c>
      <c r="B36" s="1"/>
      <c r="C36" s="1">
        <v>5</v>
      </c>
      <c r="D36" s="1">
        <v>1</v>
      </c>
      <c r="E36" s="1">
        <v>0</v>
      </c>
      <c r="F36" s="1">
        <v>0</v>
      </c>
      <c r="G36" s="1" t="b">
        <f t="shared" si="0"/>
        <v>1</v>
      </c>
      <c r="H36" s="1" t="b">
        <f t="shared" si="1"/>
        <v>0</v>
      </c>
      <c r="I36" s="1" t="b">
        <f t="shared" si="2"/>
        <v>0</v>
      </c>
      <c r="J36" s="1" t="b">
        <f t="shared" si="3"/>
        <v>0</v>
      </c>
      <c r="K36" s="1" t="b">
        <f t="shared" si="4"/>
        <v>0</v>
      </c>
      <c r="L36" s="1"/>
    </row>
    <row r="37" spans="1:12" ht="15.75" customHeight="1">
      <c r="A37" s="1" t="s">
        <v>133</v>
      </c>
      <c r="B37" s="1"/>
      <c r="C37" s="1">
        <v>6</v>
      </c>
      <c r="D37" s="1">
        <v>0</v>
      </c>
      <c r="E37" s="1">
        <v>0</v>
      </c>
      <c r="F37" s="1">
        <v>0</v>
      </c>
      <c r="G37" s="1" t="b">
        <f t="shared" si="0"/>
        <v>0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  <c r="L37" s="1"/>
    </row>
    <row r="38" spans="1:12" ht="15.75" customHeight="1">
      <c r="A38" s="1" t="s">
        <v>134</v>
      </c>
      <c r="B38" s="1"/>
      <c r="C38" s="1">
        <v>9</v>
      </c>
      <c r="D38" s="1">
        <v>1</v>
      </c>
      <c r="E38" s="1">
        <v>1</v>
      </c>
      <c r="F38" s="1">
        <v>0</v>
      </c>
      <c r="G38" s="1" t="b">
        <f t="shared" si="0"/>
        <v>1</v>
      </c>
      <c r="H38" s="1" t="b">
        <f t="shared" si="1"/>
        <v>1</v>
      </c>
      <c r="I38" s="1" t="b">
        <f t="shared" si="2"/>
        <v>1</v>
      </c>
      <c r="J38" s="1" t="b">
        <f t="shared" si="3"/>
        <v>0</v>
      </c>
      <c r="K38" s="1" t="b">
        <f t="shared" si="4"/>
        <v>0</v>
      </c>
      <c r="L38" s="1"/>
    </row>
    <row r="39" spans="1:12" ht="15.75" customHeight="1">
      <c r="A39" s="1" t="s">
        <v>135</v>
      </c>
      <c r="B39" s="1"/>
      <c r="C39" s="1">
        <v>5</v>
      </c>
      <c r="D39" s="1">
        <v>3</v>
      </c>
      <c r="E39" s="1">
        <v>3</v>
      </c>
      <c r="F39" s="1">
        <v>0</v>
      </c>
      <c r="G39" s="1" t="b">
        <f t="shared" si="0"/>
        <v>1</v>
      </c>
      <c r="H39" s="1" t="b">
        <f t="shared" si="1"/>
        <v>1</v>
      </c>
      <c r="I39" s="1" t="b">
        <f t="shared" si="2"/>
        <v>1</v>
      </c>
      <c r="J39" s="1" t="b">
        <f t="shared" si="3"/>
        <v>0</v>
      </c>
      <c r="K39" s="1" t="b">
        <f t="shared" si="4"/>
        <v>0</v>
      </c>
      <c r="L39" s="1"/>
    </row>
    <row r="40" spans="1:12" ht="15.75" customHeight="1">
      <c r="A40" s="1" t="s">
        <v>136</v>
      </c>
      <c r="B40" s="1"/>
      <c r="C40" s="1">
        <v>11</v>
      </c>
      <c r="D40" s="1">
        <v>0</v>
      </c>
      <c r="E40" s="1">
        <v>0</v>
      </c>
      <c r="F40" s="1">
        <v>0</v>
      </c>
      <c r="G40" s="1" t="b">
        <f t="shared" si="0"/>
        <v>0</v>
      </c>
      <c r="H40" s="1" t="b">
        <f t="shared" si="1"/>
        <v>0</v>
      </c>
      <c r="I40" s="1" t="b">
        <f t="shared" si="2"/>
        <v>0</v>
      </c>
      <c r="J40" s="1" t="b">
        <f t="shared" si="3"/>
        <v>0</v>
      </c>
      <c r="K40" s="1" t="b">
        <f t="shared" si="4"/>
        <v>0</v>
      </c>
      <c r="L40" s="1"/>
    </row>
    <row r="41" spans="1:12" ht="15.75" customHeight="1">
      <c r="A41" s="1" t="s">
        <v>137</v>
      </c>
      <c r="B41" s="1"/>
      <c r="C41" s="1">
        <v>6</v>
      </c>
      <c r="D41" s="1">
        <v>1</v>
      </c>
      <c r="E41" s="1">
        <v>1</v>
      </c>
      <c r="F41" s="1">
        <v>0</v>
      </c>
      <c r="G41" s="1" t="b">
        <f t="shared" si="0"/>
        <v>1</v>
      </c>
      <c r="H41" s="1" t="b">
        <f t="shared" si="1"/>
        <v>1</v>
      </c>
      <c r="I41" s="1" t="b">
        <f t="shared" si="2"/>
        <v>1</v>
      </c>
      <c r="J41" s="1" t="b">
        <f t="shared" si="3"/>
        <v>0</v>
      </c>
      <c r="K41" s="1" t="b">
        <f t="shared" si="4"/>
        <v>0</v>
      </c>
      <c r="L41" s="1"/>
    </row>
    <row r="42" spans="1:12" ht="15.75" customHeight="1">
      <c r="A42" s="1" t="s">
        <v>138</v>
      </c>
      <c r="B42" s="1"/>
      <c r="C42" s="1">
        <v>6</v>
      </c>
      <c r="D42" s="1">
        <v>0</v>
      </c>
      <c r="E42" s="1">
        <v>0</v>
      </c>
      <c r="F42" s="1">
        <v>0</v>
      </c>
      <c r="G42" s="1" t="b">
        <f t="shared" si="0"/>
        <v>0</v>
      </c>
      <c r="H42" s="1" t="b">
        <f t="shared" si="1"/>
        <v>0</v>
      </c>
      <c r="I42" s="1" t="b">
        <f t="shared" si="2"/>
        <v>0</v>
      </c>
      <c r="J42" s="1" t="b">
        <f t="shared" si="3"/>
        <v>0</v>
      </c>
      <c r="K42" s="1" t="b">
        <f t="shared" si="4"/>
        <v>0</v>
      </c>
      <c r="L42" s="1"/>
    </row>
    <row r="43" spans="1:12" ht="15.75" customHeight="1">
      <c r="A43" s="1" t="s">
        <v>139</v>
      </c>
      <c r="B43" s="1"/>
      <c r="C43" s="1">
        <v>7</v>
      </c>
      <c r="D43" s="1">
        <v>1</v>
      </c>
      <c r="E43" s="1">
        <v>1</v>
      </c>
      <c r="F43" s="1">
        <v>1</v>
      </c>
      <c r="G43" s="1" t="b">
        <f t="shared" si="0"/>
        <v>1</v>
      </c>
      <c r="H43" s="1" t="b">
        <f t="shared" si="1"/>
        <v>1</v>
      </c>
      <c r="I43" s="1" t="b">
        <f t="shared" si="2"/>
        <v>1</v>
      </c>
      <c r="J43" s="1" t="b">
        <f t="shared" si="3"/>
        <v>1</v>
      </c>
      <c r="K43" s="1" t="b">
        <f t="shared" si="4"/>
        <v>1</v>
      </c>
      <c r="L43" s="1"/>
    </row>
    <row r="44" spans="1:12" ht="15.75" customHeight="1">
      <c r="A44" s="1" t="s">
        <v>140</v>
      </c>
      <c r="B44" s="1"/>
      <c r="C44" s="1">
        <v>5</v>
      </c>
      <c r="D44" s="1">
        <v>0</v>
      </c>
      <c r="E44" s="1">
        <v>0</v>
      </c>
      <c r="F44" s="1">
        <v>0</v>
      </c>
      <c r="G44" s="1" t="b">
        <f t="shared" si="0"/>
        <v>0</v>
      </c>
      <c r="H44" s="1" t="b">
        <f t="shared" si="1"/>
        <v>0</v>
      </c>
      <c r="I44" s="1" t="b">
        <f t="shared" si="2"/>
        <v>0</v>
      </c>
      <c r="J44" s="1" t="b">
        <f t="shared" si="3"/>
        <v>0</v>
      </c>
      <c r="K44" s="1" t="b">
        <f t="shared" si="4"/>
        <v>0</v>
      </c>
      <c r="L44" s="1"/>
    </row>
    <row r="45" spans="1:12" ht="15.75" customHeight="1">
      <c r="A45" s="1" t="s">
        <v>141</v>
      </c>
      <c r="B45" s="1"/>
      <c r="C45" s="1">
        <v>2</v>
      </c>
      <c r="D45" s="1">
        <v>0</v>
      </c>
      <c r="E45" s="1">
        <v>0</v>
      </c>
      <c r="F45" s="1">
        <v>0</v>
      </c>
      <c r="G45" s="1" t="b">
        <f t="shared" si="0"/>
        <v>0</v>
      </c>
      <c r="H45" s="1" t="b">
        <f t="shared" si="1"/>
        <v>0</v>
      </c>
      <c r="I45" s="1" t="b">
        <f t="shared" si="2"/>
        <v>0</v>
      </c>
      <c r="J45" s="1" t="b">
        <f t="shared" si="3"/>
        <v>0</v>
      </c>
      <c r="K45" s="1" t="b">
        <f t="shared" si="4"/>
        <v>0</v>
      </c>
      <c r="L45" s="1"/>
    </row>
    <row r="46" spans="1:12" ht="15.75" customHeight="1">
      <c r="A46" s="1" t="s">
        <v>142</v>
      </c>
      <c r="B46" s="1"/>
      <c r="C46" s="1">
        <v>2</v>
      </c>
      <c r="D46" s="1">
        <v>2</v>
      </c>
      <c r="E46" s="1">
        <v>2</v>
      </c>
      <c r="F46" s="1">
        <v>2</v>
      </c>
      <c r="G46" s="1" t="b">
        <f t="shared" si="0"/>
        <v>1</v>
      </c>
      <c r="H46" s="1" t="b">
        <f t="shared" si="1"/>
        <v>1</v>
      </c>
      <c r="I46" s="1" t="b">
        <f t="shared" si="2"/>
        <v>1</v>
      </c>
      <c r="J46" s="1" t="b">
        <f t="shared" si="3"/>
        <v>1</v>
      </c>
      <c r="K46" s="1" t="b">
        <f t="shared" si="4"/>
        <v>1</v>
      </c>
      <c r="L46" s="1"/>
    </row>
    <row r="47" spans="1:12" ht="15.75" customHeight="1">
      <c r="A47" s="1" t="s">
        <v>143</v>
      </c>
      <c r="B47" s="1"/>
      <c r="C47" s="1">
        <v>1</v>
      </c>
      <c r="D47" s="1">
        <v>0</v>
      </c>
      <c r="E47" s="1">
        <v>0</v>
      </c>
      <c r="F47" s="1">
        <v>0</v>
      </c>
      <c r="G47" s="1" t="b">
        <f t="shared" si="0"/>
        <v>0</v>
      </c>
      <c r="H47" s="1" t="b">
        <f t="shared" si="1"/>
        <v>0</v>
      </c>
      <c r="I47" s="1" t="b">
        <f t="shared" si="2"/>
        <v>0</v>
      </c>
      <c r="J47" s="1" t="b">
        <f t="shared" si="3"/>
        <v>0</v>
      </c>
      <c r="K47" s="1" t="b">
        <f t="shared" si="4"/>
        <v>0</v>
      </c>
      <c r="L47" s="1"/>
    </row>
    <row r="48" spans="1:12" ht="15.75" customHeight="1">
      <c r="A48" s="1" t="s">
        <v>144</v>
      </c>
      <c r="B48" s="1"/>
      <c r="C48" s="1">
        <v>11</v>
      </c>
      <c r="D48" s="1">
        <v>1</v>
      </c>
      <c r="E48" s="1">
        <v>1</v>
      </c>
      <c r="F48" s="1">
        <v>0</v>
      </c>
      <c r="G48" s="1" t="b">
        <f t="shared" si="0"/>
        <v>1</v>
      </c>
      <c r="H48" s="1" t="b">
        <f t="shared" si="1"/>
        <v>1</v>
      </c>
      <c r="I48" s="1" t="b">
        <f t="shared" si="2"/>
        <v>1</v>
      </c>
      <c r="J48" s="1" t="b">
        <f t="shared" si="3"/>
        <v>0</v>
      </c>
      <c r="K48" s="1" t="b">
        <f t="shared" si="4"/>
        <v>0</v>
      </c>
      <c r="L48" s="1"/>
    </row>
    <row r="49" spans="2:12" ht="15.75" customHeight="1">
      <c r="B49" s="1" t="s">
        <v>95</v>
      </c>
      <c r="C49" s="1">
        <f t="shared" ref="C49:F49" si="5">SUM(C2:C32)</f>
        <v>163</v>
      </c>
      <c r="D49" s="1">
        <f t="shared" si="5"/>
        <v>38</v>
      </c>
      <c r="E49" s="1">
        <f t="shared" si="5"/>
        <v>38</v>
      </c>
      <c r="F49" s="1">
        <f t="shared" si="5"/>
        <v>22</v>
      </c>
      <c r="G49" s="1">
        <f t="shared" ref="G49:K49" si="6">COUNTIF(G3:G32,"TRUE")</f>
        <v>16</v>
      </c>
      <c r="H49" s="1">
        <f t="shared" si="6"/>
        <v>16</v>
      </c>
      <c r="I49" s="1">
        <f t="shared" si="6"/>
        <v>16</v>
      </c>
      <c r="J49" s="1">
        <f t="shared" si="6"/>
        <v>8</v>
      </c>
      <c r="K49" s="1">
        <f t="shared" si="6"/>
        <v>8</v>
      </c>
      <c r="L49" s="5">
        <f>COUNTA(E3:E32)</f>
        <v>30</v>
      </c>
    </row>
    <row r="50" spans="2:12" ht="15.75" customHeight="1">
      <c r="E50" s="1" t="s">
        <v>3</v>
      </c>
      <c r="F50" s="2"/>
      <c r="G50" s="2">
        <f>G49/L49</f>
        <v>0.53333333333333333</v>
      </c>
      <c r="H50" s="2">
        <f>H49/L49</f>
        <v>0.53333333333333333</v>
      </c>
      <c r="I50" s="2">
        <f>I49/L49</f>
        <v>0.53333333333333333</v>
      </c>
      <c r="J50" s="2">
        <f>J49/L49</f>
        <v>0.26666666666666666</v>
      </c>
      <c r="K50" s="2">
        <f>K49/L49</f>
        <v>0.26666666666666666</v>
      </c>
    </row>
    <row r="51" spans="2:12" ht="13">
      <c r="E51" s="1" t="s">
        <v>96</v>
      </c>
      <c r="F51" s="2"/>
      <c r="G51" s="2"/>
      <c r="H51" s="2">
        <f>H49/G49</f>
        <v>1</v>
      </c>
      <c r="I51" s="2">
        <f>I49/G49</f>
        <v>1</v>
      </c>
      <c r="J51" s="2">
        <f>J49/G49</f>
        <v>0.5</v>
      </c>
      <c r="K51" s="2">
        <f>K49/G49</f>
        <v>0.5</v>
      </c>
    </row>
    <row r="52" spans="2:12" ht="13">
      <c r="E52" s="1" t="s">
        <v>97</v>
      </c>
      <c r="F52" s="2"/>
      <c r="G52" s="2">
        <f>E49/C49</f>
        <v>0.23312883435582821</v>
      </c>
      <c r="H52" s="2">
        <f>E49/D49</f>
        <v>1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8"/>
  <sheetViews>
    <sheetView workbookViewId="0">
      <selection activeCell="L32" sqref="L32:L3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145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146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147</v>
      </c>
      <c r="B4" s="1"/>
      <c r="C4" s="1">
        <v>5</v>
      </c>
      <c r="D4" s="1">
        <v>2</v>
      </c>
      <c r="E4" s="1">
        <v>2</v>
      </c>
      <c r="F4" s="1">
        <v>1</v>
      </c>
      <c r="G4" s="1" t="b">
        <f t="shared" ref="G4:G34" si="0">(D4&gt;0)</f>
        <v>1</v>
      </c>
      <c r="H4" s="1" t="b">
        <f t="shared" ref="H4:H34" si="1">(E4&gt;0)</f>
        <v>1</v>
      </c>
      <c r="I4" s="1" t="b">
        <f t="shared" ref="I4:I34" si="2">AND(G4,(D4=E4))</f>
        <v>1</v>
      </c>
      <c r="J4" s="1" t="b">
        <f t="shared" ref="J4:J34" si="3">(F4&gt;0)</f>
        <v>1</v>
      </c>
      <c r="K4" s="1" t="b">
        <f t="shared" ref="K4:K34" si="4">AND(I4,(E4=F4))</f>
        <v>0</v>
      </c>
    </row>
    <row r="5" spans="1:11" ht="15.75" customHeight="1">
      <c r="A5" s="1" t="s">
        <v>148</v>
      </c>
      <c r="B5" s="1"/>
      <c r="C5" s="1">
        <v>5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1" t="s">
        <v>149</v>
      </c>
      <c r="B6" s="1"/>
      <c r="C6" s="1">
        <v>5</v>
      </c>
      <c r="D6" s="1">
        <v>5</v>
      </c>
      <c r="E6" s="1">
        <v>5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150</v>
      </c>
      <c r="B7" s="1"/>
      <c r="C7" s="1">
        <v>5</v>
      </c>
      <c r="D7" s="1">
        <v>3</v>
      </c>
      <c r="E7" s="1">
        <v>3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151</v>
      </c>
      <c r="B8" s="1"/>
      <c r="C8" s="1">
        <v>4</v>
      </c>
      <c r="D8" s="1">
        <v>4</v>
      </c>
      <c r="E8" s="1">
        <v>4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152</v>
      </c>
      <c r="B9" s="1"/>
      <c r="C9" s="1">
        <v>5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153</v>
      </c>
      <c r="B10" s="1"/>
      <c r="C10" s="1">
        <v>6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154</v>
      </c>
      <c r="B11" s="1"/>
      <c r="C11" s="1">
        <v>5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155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156</v>
      </c>
      <c r="B13" s="1"/>
      <c r="C13" s="1">
        <v>2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157</v>
      </c>
      <c r="B14" s="1"/>
      <c r="C14" s="1">
        <v>8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158</v>
      </c>
      <c r="B15" s="1"/>
      <c r="C15" s="1">
        <v>11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159</v>
      </c>
      <c r="B16" s="1"/>
      <c r="C16" s="1">
        <v>4</v>
      </c>
      <c r="D16" s="1">
        <v>2</v>
      </c>
      <c r="E16" s="1">
        <v>2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160</v>
      </c>
      <c r="B17" s="1"/>
      <c r="C17" s="1">
        <v>6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161</v>
      </c>
      <c r="B18" s="1"/>
      <c r="C18" s="1">
        <v>4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162</v>
      </c>
      <c r="B19" s="1"/>
      <c r="C19" s="1">
        <v>6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163</v>
      </c>
      <c r="B20" s="1"/>
      <c r="C20" s="1">
        <v>5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164</v>
      </c>
      <c r="B21" s="1"/>
      <c r="C21" s="1">
        <v>9</v>
      </c>
      <c r="D21" s="1">
        <v>5</v>
      </c>
      <c r="E21" s="1">
        <v>5</v>
      </c>
      <c r="F21" s="1">
        <v>5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165</v>
      </c>
      <c r="B22" s="1"/>
      <c r="C22" s="1">
        <v>5</v>
      </c>
      <c r="D22" s="1">
        <v>2</v>
      </c>
      <c r="E22" s="1">
        <v>2</v>
      </c>
      <c r="F22" s="1">
        <v>2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166</v>
      </c>
      <c r="B23" s="1"/>
      <c r="C23" s="1">
        <v>4</v>
      </c>
      <c r="D23" s="1">
        <v>4</v>
      </c>
      <c r="E23" s="1">
        <v>4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167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168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169</v>
      </c>
      <c r="B26" s="1"/>
      <c r="C26" s="1">
        <v>10</v>
      </c>
      <c r="D26" s="1">
        <v>3</v>
      </c>
      <c r="E26" s="1">
        <v>3</v>
      </c>
      <c r="F26" s="1">
        <v>3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170</v>
      </c>
      <c r="B27" s="1"/>
      <c r="C27" s="1">
        <v>5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171</v>
      </c>
      <c r="B28" s="1"/>
      <c r="C28" s="1">
        <v>4</v>
      </c>
      <c r="D28" s="1">
        <v>1</v>
      </c>
      <c r="E28" s="1">
        <v>1</v>
      </c>
      <c r="F28" s="1">
        <v>1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1" t="s">
        <v>172</v>
      </c>
      <c r="B29" s="1"/>
      <c r="C29" s="1">
        <v>4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173</v>
      </c>
      <c r="B30" s="1"/>
      <c r="C30" s="1">
        <v>6</v>
      </c>
      <c r="D30" s="1">
        <v>1</v>
      </c>
      <c r="E30" s="1">
        <v>1</v>
      </c>
      <c r="F30" s="1">
        <v>1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1</v>
      </c>
    </row>
    <row r="31" spans="1:12" ht="15.75" customHeight="1">
      <c r="A31" s="1" t="s">
        <v>174</v>
      </c>
      <c r="B31" s="1"/>
      <c r="C31" s="1">
        <v>7</v>
      </c>
      <c r="D31" s="1">
        <v>6</v>
      </c>
      <c r="E31" s="1">
        <v>6</v>
      </c>
      <c r="F31" s="1">
        <v>6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2" ht="15.75" customHeight="1">
      <c r="A32" s="1" t="s">
        <v>175</v>
      </c>
      <c r="B32" s="1"/>
      <c r="C32" s="1">
        <v>5</v>
      </c>
      <c r="D32" s="1">
        <v>1</v>
      </c>
      <c r="E32" s="1">
        <v>0</v>
      </c>
      <c r="F32" s="1">
        <v>0</v>
      </c>
      <c r="G32" s="1" t="b">
        <f t="shared" si="0"/>
        <v>1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/>
    </row>
    <row r="33" spans="1:12" ht="15.75" customHeight="1">
      <c r="A33" s="1" t="s">
        <v>176</v>
      </c>
      <c r="B33" s="1"/>
      <c r="C33" s="1">
        <v>6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177</v>
      </c>
      <c r="B34" s="1"/>
      <c r="C34" s="1">
        <v>2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B35" s="1" t="s">
        <v>95</v>
      </c>
      <c r="C35" s="1">
        <f t="shared" ref="C35:F35" si="5">SUM(C2:C32)</f>
        <v>167</v>
      </c>
      <c r="D35" s="1">
        <f t="shared" si="5"/>
        <v>49</v>
      </c>
      <c r="E35" s="1">
        <f t="shared" si="5"/>
        <v>46</v>
      </c>
      <c r="F35" s="1">
        <f t="shared" si="5"/>
        <v>24</v>
      </c>
      <c r="G35" s="1">
        <f t="shared" ref="G35:K35" si="6">COUNTIF(G3:G32,"TRUE")</f>
        <v>22</v>
      </c>
      <c r="H35" s="1">
        <f t="shared" si="6"/>
        <v>19</v>
      </c>
      <c r="I35" s="1">
        <f t="shared" si="6"/>
        <v>19</v>
      </c>
      <c r="J35" s="1">
        <f t="shared" si="6"/>
        <v>11</v>
      </c>
      <c r="K35" s="1">
        <f t="shared" si="6"/>
        <v>10</v>
      </c>
      <c r="L35" s="5">
        <f>COUNTA(E3:E32)</f>
        <v>30</v>
      </c>
    </row>
    <row r="36" spans="1:12" ht="15.75" customHeight="1">
      <c r="E36" s="1" t="s">
        <v>3</v>
      </c>
      <c r="F36" s="2"/>
      <c r="G36" s="2">
        <f>G35/L35</f>
        <v>0.73333333333333328</v>
      </c>
      <c r="H36" s="2">
        <f>H35/L35</f>
        <v>0.6333333333333333</v>
      </c>
      <c r="I36" s="2">
        <f>I35/L35</f>
        <v>0.6333333333333333</v>
      </c>
      <c r="J36" s="2">
        <f>J35/L35</f>
        <v>0.36666666666666664</v>
      </c>
      <c r="K36" s="2">
        <f>K35/L35</f>
        <v>0.33333333333333331</v>
      </c>
    </row>
    <row r="37" spans="1:12" ht="15.75" customHeight="1">
      <c r="E37" s="1" t="s">
        <v>96</v>
      </c>
      <c r="F37" s="2"/>
      <c r="G37" s="2"/>
      <c r="H37" s="2">
        <f>H35/G35</f>
        <v>0.86363636363636365</v>
      </c>
      <c r="I37" s="2">
        <f>I35/G35</f>
        <v>0.86363636363636365</v>
      </c>
      <c r="J37" s="2">
        <f>J35/G35</f>
        <v>0.5</v>
      </c>
      <c r="K37" s="2">
        <f>K35/G35</f>
        <v>0.45454545454545453</v>
      </c>
    </row>
    <row r="38" spans="1:12" ht="15.75" customHeight="1">
      <c r="E38" s="1" t="s">
        <v>97</v>
      </c>
      <c r="F38" s="2"/>
      <c r="G38" s="2">
        <f>E35/C35</f>
        <v>0.27544910179640719</v>
      </c>
      <c r="H38" s="2">
        <f>E35/D35</f>
        <v>0.93877551020408168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35"/>
  <sheetViews>
    <sheetView workbookViewId="0">
      <selection activeCell="G3" sqref="G3:K3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178</v>
      </c>
      <c r="B3" s="1"/>
      <c r="C3" s="1">
        <v>1</v>
      </c>
      <c r="D3" s="1">
        <v>1</v>
      </c>
      <c r="E3" s="1">
        <v>1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179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31" si="0">(D4&gt;0)</f>
        <v>0</v>
      </c>
      <c r="H4" s="1" t="b">
        <f t="shared" ref="H4:H31" si="1">(E4&gt;0)</f>
        <v>0</v>
      </c>
      <c r="I4" s="1" t="b">
        <f t="shared" ref="I4:I31" si="2">AND(G4,(D4=E4))</f>
        <v>0</v>
      </c>
      <c r="J4" s="1" t="b">
        <f t="shared" ref="J4:J31" si="3">(F4&gt;0)</f>
        <v>0</v>
      </c>
      <c r="K4" s="1" t="b">
        <f t="shared" ref="K4:K31" si="4">AND(I4,(E4=F4))</f>
        <v>0</v>
      </c>
    </row>
    <row r="5" spans="1:11" ht="15.75" customHeight="1">
      <c r="A5" s="1" t="s">
        <v>180</v>
      </c>
      <c r="B5" s="1"/>
      <c r="C5" s="1">
        <v>4</v>
      </c>
      <c r="D5" s="1">
        <v>2</v>
      </c>
      <c r="E5" s="1">
        <v>2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0</v>
      </c>
    </row>
    <row r="6" spans="1:11" ht="15.75" customHeight="1">
      <c r="A6" s="1" t="s">
        <v>181</v>
      </c>
      <c r="B6" s="1"/>
      <c r="C6" s="1">
        <v>4</v>
      </c>
      <c r="D6" s="1">
        <v>2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1</v>
      </c>
      <c r="K6" s="1" t="b">
        <f t="shared" si="4"/>
        <v>0</v>
      </c>
    </row>
    <row r="7" spans="1:11" ht="15.75" customHeight="1">
      <c r="A7" s="1" t="s">
        <v>182</v>
      </c>
      <c r="B7" s="1"/>
      <c r="C7" s="1">
        <v>9</v>
      </c>
      <c r="D7" s="1">
        <v>5</v>
      </c>
      <c r="E7" s="1">
        <v>5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0</v>
      </c>
    </row>
    <row r="8" spans="1:11" ht="15.75" customHeight="1">
      <c r="A8" s="1" t="s">
        <v>183</v>
      </c>
      <c r="B8" s="1"/>
      <c r="C8" s="1">
        <v>7</v>
      </c>
      <c r="D8" s="1">
        <v>6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184</v>
      </c>
      <c r="B9" s="1"/>
      <c r="C9" s="1">
        <v>7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185</v>
      </c>
      <c r="B10" s="1"/>
      <c r="C10" s="1">
        <v>3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186</v>
      </c>
      <c r="B11" s="1"/>
      <c r="C11" s="1">
        <v>8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187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188</v>
      </c>
      <c r="B13" s="1"/>
      <c r="C13" s="1">
        <v>7</v>
      </c>
      <c r="D13" s="1">
        <v>5</v>
      </c>
      <c r="E13" s="1">
        <v>5</v>
      </c>
      <c r="F13" s="1">
        <v>5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189</v>
      </c>
      <c r="B14" s="1"/>
      <c r="C14" s="1">
        <v>4</v>
      </c>
      <c r="D14" s="1">
        <v>4</v>
      </c>
      <c r="E14" s="1">
        <v>4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190</v>
      </c>
      <c r="B15" s="1"/>
      <c r="C15" s="1">
        <v>7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191</v>
      </c>
      <c r="B16" s="1"/>
      <c r="C16" s="1">
        <v>7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192</v>
      </c>
      <c r="B17" s="1"/>
      <c r="C17" s="1">
        <v>7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193</v>
      </c>
      <c r="B18" s="1"/>
      <c r="C18" s="1">
        <v>9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194</v>
      </c>
      <c r="B19" s="1"/>
      <c r="C19" s="1">
        <v>5</v>
      </c>
      <c r="D19" s="1">
        <v>1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195</v>
      </c>
      <c r="B20" s="1"/>
      <c r="C20" s="1">
        <v>6</v>
      </c>
      <c r="D20" s="1">
        <v>5</v>
      </c>
      <c r="E20" s="1">
        <v>5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196</v>
      </c>
      <c r="B21" s="1"/>
      <c r="C21" s="1">
        <v>4</v>
      </c>
      <c r="D21" s="1">
        <v>3</v>
      </c>
      <c r="E21" s="1">
        <v>3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197</v>
      </c>
      <c r="B22" s="1"/>
      <c r="C22" s="1">
        <v>5</v>
      </c>
      <c r="D22" s="1">
        <v>1</v>
      </c>
      <c r="E22" s="1">
        <v>1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198</v>
      </c>
      <c r="B23" s="1"/>
      <c r="C23" s="1">
        <v>7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199</v>
      </c>
      <c r="B24" s="1"/>
      <c r="C24" s="1">
        <v>5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200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201</v>
      </c>
      <c r="B26" s="1"/>
      <c r="C26" s="1">
        <v>7</v>
      </c>
      <c r="D26" s="1">
        <v>1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202</v>
      </c>
      <c r="B27" s="1"/>
      <c r="C27" s="1">
        <v>6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203</v>
      </c>
      <c r="B28" s="1"/>
      <c r="C28" s="1">
        <v>6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204</v>
      </c>
      <c r="B29" s="1"/>
      <c r="C29" s="1">
        <v>1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205</v>
      </c>
      <c r="B30" s="1"/>
      <c r="C30" s="1">
        <v>2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206</v>
      </c>
      <c r="B31" s="1"/>
      <c r="C31" s="1">
        <v>2</v>
      </c>
      <c r="D31" s="1">
        <v>2</v>
      </c>
      <c r="E31" s="1">
        <v>2</v>
      </c>
      <c r="F31" s="1">
        <v>2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2" ht="15.75" customHeight="1">
      <c r="B32" s="1" t="s">
        <v>95</v>
      </c>
      <c r="C32" s="1">
        <f t="shared" ref="C32:F32" si="5">SUM(C2:C31)</f>
        <v>154</v>
      </c>
      <c r="D32" s="1">
        <f t="shared" si="5"/>
        <v>41</v>
      </c>
      <c r="E32" s="1">
        <f t="shared" si="5"/>
        <v>31</v>
      </c>
      <c r="F32" s="1">
        <f t="shared" si="5"/>
        <v>13</v>
      </c>
      <c r="G32" s="1">
        <f t="shared" ref="G32:K32" si="6">COUNTIF(G3:G31,"TRUE")</f>
        <v>16</v>
      </c>
      <c r="H32" s="1">
        <f t="shared" si="6"/>
        <v>12</v>
      </c>
      <c r="I32" s="1">
        <f t="shared" si="6"/>
        <v>11</v>
      </c>
      <c r="J32" s="1">
        <f t="shared" si="6"/>
        <v>8</v>
      </c>
      <c r="K32" s="1">
        <f t="shared" si="6"/>
        <v>5</v>
      </c>
      <c r="L32" s="5">
        <f>COUNTA(E3:E31)</f>
        <v>29</v>
      </c>
    </row>
    <row r="33" spans="5:11" ht="15.75" customHeight="1">
      <c r="E33" s="1" t="s">
        <v>3</v>
      </c>
      <c r="F33" s="2"/>
      <c r="G33" s="2">
        <f>G32/L32</f>
        <v>0.55172413793103448</v>
      </c>
      <c r="H33" s="2">
        <f>H32/L32</f>
        <v>0.41379310344827586</v>
      </c>
      <c r="I33" s="2">
        <f>I32/L32</f>
        <v>0.37931034482758619</v>
      </c>
      <c r="J33" s="2">
        <f>J32/L32</f>
        <v>0.27586206896551724</v>
      </c>
      <c r="K33" s="2">
        <f>K32/L32</f>
        <v>0.17241379310344829</v>
      </c>
    </row>
    <row r="34" spans="5:11" ht="15.75" customHeight="1">
      <c r="E34" s="1" t="s">
        <v>96</v>
      </c>
      <c r="F34" s="2"/>
      <c r="G34" s="2"/>
      <c r="H34" s="2">
        <f>H32/G32</f>
        <v>0.75</v>
      </c>
      <c r="I34" s="2">
        <f>I32/G32</f>
        <v>0.6875</v>
      </c>
      <c r="J34" s="2">
        <f>J32/G32</f>
        <v>0.5</v>
      </c>
      <c r="K34" s="2">
        <f>K32/G32</f>
        <v>0.3125</v>
      </c>
    </row>
    <row r="35" spans="5:11" ht="15.75" customHeight="1">
      <c r="E35" s="1" t="s">
        <v>97</v>
      </c>
      <c r="F35" s="2"/>
      <c r="G35" s="2">
        <f>E32/C32</f>
        <v>0.20129870129870131</v>
      </c>
      <c r="H35" s="2">
        <f>E32/D32</f>
        <v>0.75609756097560976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2"/>
  <sheetViews>
    <sheetView workbookViewId="0">
      <selection activeCell="G3" sqref="G3:K28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207</v>
      </c>
      <c r="B3" s="1"/>
      <c r="C3" s="1">
        <v>4</v>
      </c>
      <c r="D3" s="1">
        <v>4</v>
      </c>
      <c r="E3" s="1">
        <v>4</v>
      </c>
      <c r="F3" s="1">
        <v>4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208</v>
      </c>
      <c r="B4" s="1"/>
      <c r="C4" s="1">
        <v>3</v>
      </c>
      <c r="D4" s="1">
        <v>1</v>
      </c>
      <c r="E4" s="1">
        <v>1</v>
      </c>
      <c r="F4" s="1">
        <v>1</v>
      </c>
      <c r="G4" s="1" t="b">
        <f t="shared" ref="G4:G28" si="0">(D4&gt;0)</f>
        <v>1</v>
      </c>
      <c r="H4" s="1" t="b">
        <f t="shared" ref="H4:H28" si="1">(E4&gt;0)</f>
        <v>1</v>
      </c>
      <c r="I4" s="1" t="b">
        <f t="shared" ref="I4:I28" si="2">AND(G4,(D4=E4))</f>
        <v>1</v>
      </c>
      <c r="J4" s="1" t="b">
        <f t="shared" ref="J4:J28" si="3">(F4&gt;0)</f>
        <v>1</v>
      </c>
      <c r="K4" s="1" t="b">
        <f t="shared" ref="K4:K28" si="4">AND(I4,(E4=F4))</f>
        <v>1</v>
      </c>
    </row>
    <row r="5" spans="1:11" ht="15.75" customHeight="1">
      <c r="A5" s="1" t="s">
        <v>209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210</v>
      </c>
      <c r="B6" s="1"/>
      <c r="C6" s="1">
        <v>5</v>
      </c>
      <c r="D6" s="1">
        <v>4</v>
      </c>
      <c r="E6" s="1">
        <v>4</v>
      </c>
      <c r="F6" s="1">
        <v>4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211</v>
      </c>
      <c r="B7" s="1"/>
      <c r="C7" s="1">
        <v>6</v>
      </c>
      <c r="D7" s="1">
        <v>3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212</v>
      </c>
      <c r="B8" s="1"/>
      <c r="C8" s="1">
        <v>6</v>
      </c>
      <c r="D8" s="1">
        <v>5</v>
      </c>
      <c r="E8" s="1">
        <v>3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213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214</v>
      </c>
      <c r="B10" s="1"/>
      <c r="C10" s="1">
        <v>8</v>
      </c>
      <c r="D10" s="1">
        <v>2</v>
      </c>
      <c r="E10" s="1">
        <v>2</v>
      </c>
      <c r="F10" s="1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215</v>
      </c>
      <c r="B11" s="1"/>
      <c r="C11" s="1">
        <v>7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216</v>
      </c>
      <c r="B12" s="1"/>
      <c r="C12" s="1">
        <v>4</v>
      </c>
      <c r="D12" s="1">
        <v>3</v>
      </c>
      <c r="E12" s="1">
        <v>3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217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218</v>
      </c>
      <c r="B14" s="1"/>
      <c r="C14" s="1">
        <v>4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219</v>
      </c>
      <c r="B15" s="1"/>
      <c r="C15" s="1">
        <v>6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220</v>
      </c>
      <c r="B16" s="1"/>
      <c r="C16" s="1">
        <v>6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221</v>
      </c>
      <c r="B17" s="1"/>
      <c r="C17" s="1">
        <v>4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222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223</v>
      </c>
      <c r="B19" s="1"/>
      <c r="C19" s="1">
        <v>3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224</v>
      </c>
      <c r="B20" s="1"/>
      <c r="C20" s="1">
        <v>7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225</v>
      </c>
      <c r="B21" s="1"/>
      <c r="C21" s="1">
        <v>8</v>
      </c>
      <c r="D21" s="1">
        <v>3</v>
      </c>
      <c r="E21" s="1">
        <v>3</v>
      </c>
      <c r="F21" s="1">
        <v>3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226</v>
      </c>
      <c r="B22" s="1"/>
      <c r="C22" s="1">
        <v>6</v>
      </c>
      <c r="D22" s="1">
        <v>1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227</v>
      </c>
      <c r="B23" s="1"/>
      <c r="C23" s="1">
        <v>5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228</v>
      </c>
      <c r="B24" s="1"/>
      <c r="C24" s="1">
        <v>8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229</v>
      </c>
      <c r="B25" s="1"/>
      <c r="C25" s="1">
        <v>7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230</v>
      </c>
      <c r="B26" s="1"/>
      <c r="C26" s="1">
        <v>5</v>
      </c>
      <c r="D26" s="1">
        <v>3</v>
      </c>
      <c r="E26" s="1">
        <v>2</v>
      </c>
      <c r="F26" s="1">
        <v>2</v>
      </c>
      <c r="G26" s="1" t="b">
        <f t="shared" si="0"/>
        <v>1</v>
      </c>
      <c r="H26" s="1" t="b">
        <f t="shared" si="1"/>
        <v>1</v>
      </c>
      <c r="I26" s="1" t="b">
        <f t="shared" si="2"/>
        <v>0</v>
      </c>
      <c r="J26" s="1" t="b">
        <f t="shared" si="3"/>
        <v>1</v>
      </c>
      <c r="K26" s="1" t="b">
        <f t="shared" si="4"/>
        <v>0</v>
      </c>
    </row>
    <row r="27" spans="1:12" ht="15.75" customHeight="1">
      <c r="A27" s="1" t="s">
        <v>231</v>
      </c>
      <c r="B27" s="1"/>
      <c r="C27" s="1">
        <v>6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232</v>
      </c>
      <c r="B28" s="1"/>
      <c r="C28" s="1">
        <v>3</v>
      </c>
      <c r="D28" s="1">
        <v>2</v>
      </c>
      <c r="E28" s="1">
        <v>2</v>
      </c>
      <c r="F28" s="1">
        <v>2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B29" s="1" t="s">
        <v>95</v>
      </c>
      <c r="C29" s="1">
        <f t="shared" ref="C29:F29" si="5">SUM(C2:C28)</f>
        <v>140</v>
      </c>
      <c r="D29" s="1">
        <f t="shared" si="5"/>
        <v>35</v>
      </c>
      <c r="E29" s="1">
        <f t="shared" si="5"/>
        <v>28</v>
      </c>
      <c r="F29" s="1">
        <f t="shared" si="5"/>
        <v>18</v>
      </c>
      <c r="G29" s="1">
        <f t="shared" ref="G29:K29" si="6">COUNTIF(G3:G28,"TRUE")</f>
        <v>15</v>
      </c>
      <c r="H29" s="1">
        <f t="shared" si="6"/>
        <v>13</v>
      </c>
      <c r="I29" s="1">
        <f t="shared" si="6"/>
        <v>11</v>
      </c>
      <c r="J29" s="1">
        <f t="shared" si="6"/>
        <v>7</v>
      </c>
      <c r="K29" s="1">
        <f t="shared" si="6"/>
        <v>6</v>
      </c>
      <c r="L29" s="5">
        <f>COUNTA(E3:E28)</f>
        <v>26</v>
      </c>
    </row>
    <row r="30" spans="1:12" ht="15.75" customHeight="1">
      <c r="E30" s="1" t="s">
        <v>3</v>
      </c>
      <c r="F30" s="2"/>
      <c r="G30" s="2">
        <f>G29/L29</f>
        <v>0.57692307692307687</v>
      </c>
      <c r="H30" s="2">
        <f>H29/L29</f>
        <v>0.5</v>
      </c>
      <c r="I30" s="2">
        <f>I29/L29</f>
        <v>0.42307692307692307</v>
      </c>
      <c r="J30" s="2">
        <f>J29/L29</f>
        <v>0.26923076923076922</v>
      </c>
      <c r="K30" s="2">
        <f>K29/L29</f>
        <v>0.23076923076923078</v>
      </c>
    </row>
    <row r="31" spans="1:12" ht="15.75" customHeight="1">
      <c r="E31" s="1" t="s">
        <v>96</v>
      </c>
      <c r="F31" s="2"/>
      <c r="G31" s="2"/>
      <c r="H31" s="2">
        <f>H29/G29</f>
        <v>0.8666666666666667</v>
      </c>
      <c r="I31" s="2">
        <f>I29/G29</f>
        <v>0.73333333333333328</v>
      </c>
      <c r="J31" s="2">
        <f>J29/G29</f>
        <v>0.46666666666666667</v>
      </c>
      <c r="K31" s="2">
        <f>K29/G29</f>
        <v>0.4</v>
      </c>
    </row>
    <row r="32" spans="1:12" ht="15.75" customHeight="1">
      <c r="E32" s="1" t="s">
        <v>97</v>
      </c>
      <c r="F32" s="2"/>
      <c r="G32" s="2">
        <f>E29/C29</f>
        <v>0.2</v>
      </c>
      <c r="H32" s="2">
        <f>E29/D29</f>
        <v>0.8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0"/>
  <sheetViews>
    <sheetView workbookViewId="0">
      <selection activeCell="G3" sqref="G3:K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233</v>
      </c>
      <c r="B3" s="1"/>
      <c r="C3" s="1">
        <v>5</v>
      </c>
      <c r="D3" s="1">
        <v>1</v>
      </c>
      <c r="E3" s="1">
        <v>1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234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G26" si="0">(D4&gt;0)</f>
        <v>1</v>
      </c>
      <c r="H4" s="1" t="b">
        <f t="shared" ref="H4:H26" si="1">(E4&gt;0)</f>
        <v>1</v>
      </c>
      <c r="I4" s="1" t="b">
        <f t="shared" ref="I4:I26" si="2">AND(G4,(D4=E4))</f>
        <v>1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1" t="s">
        <v>235</v>
      </c>
      <c r="B5" s="1"/>
      <c r="C5" s="1">
        <v>3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236</v>
      </c>
      <c r="B6" s="1"/>
      <c r="C6" s="1">
        <v>2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237</v>
      </c>
      <c r="B7" s="1"/>
      <c r="C7" s="1">
        <v>4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238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239</v>
      </c>
      <c r="B9" s="1"/>
      <c r="C9" s="1">
        <v>2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240</v>
      </c>
      <c r="B10" s="1"/>
      <c r="C10" s="1">
        <v>4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241</v>
      </c>
      <c r="B11" s="1"/>
      <c r="C11" s="1">
        <v>16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242</v>
      </c>
      <c r="B12" s="1"/>
      <c r="C12" s="1">
        <v>6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243</v>
      </c>
      <c r="B13" s="1"/>
      <c r="C13" s="1">
        <v>7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244</v>
      </c>
      <c r="B14" s="1"/>
      <c r="C14" s="1">
        <v>8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245</v>
      </c>
      <c r="B15" s="1"/>
      <c r="C15" s="1">
        <v>7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246</v>
      </c>
      <c r="B16" s="1"/>
      <c r="C16" s="1">
        <v>6</v>
      </c>
      <c r="D16" s="1">
        <v>3</v>
      </c>
      <c r="E16" s="1">
        <v>3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0</v>
      </c>
    </row>
    <row r="17" spans="1:12" ht="15.75" customHeight="1">
      <c r="A17" s="1" t="s">
        <v>247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248</v>
      </c>
      <c r="B18" s="1"/>
      <c r="C18" s="1">
        <v>5</v>
      </c>
      <c r="D18" s="1">
        <v>1</v>
      </c>
      <c r="E18" s="1">
        <v>1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249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250</v>
      </c>
      <c r="B20" s="1"/>
      <c r="C20" s="1">
        <v>5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251</v>
      </c>
      <c r="B21" s="1"/>
      <c r="C21" s="1">
        <v>6</v>
      </c>
      <c r="D21" s="1">
        <v>2</v>
      </c>
      <c r="E21" s="1">
        <v>2</v>
      </c>
      <c r="F21" s="1">
        <v>2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252</v>
      </c>
      <c r="B22" s="1"/>
      <c r="C22" s="1">
        <v>5</v>
      </c>
      <c r="D22" s="1">
        <v>2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253</v>
      </c>
      <c r="B23" s="1"/>
      <c r="C23" s="1">
        <v>6</v>
      </c>
      <c r="D23" s="1">
        <v>4</v>
      </c>
      <c r="E23" s="1">
        <v>3</v>
      </c>
      <c r="F23" s="1">
        <v>3</v>
      </c>
      <c r="G23" s="1" t="b">
        <f t="shared" si="0"/>
        <v>1</v>
      </c>
      <c r="H23" s="1" t="b">
        <f t="shared" si="1"/>
        <v>1</v>
      </c>
      <c r="I23" s="1" t="b">
        <f t="shared" si="2"/>
        <v>0</v>
      </c>
      <c r="J23" s="1" t="b">
        <f t="shared" si="3"/>
        <v>1</v>
      </c>
      <c r="K23" s="1" t="b">
        <f t="shared" si="4"/>
        <v>0</v>
      </c>
    </row>
    <row r="24" spans="1:12" ht="15.75" customHeight="1">
      <c r="A24" s="1" t="s">
        <v>254</v>
      </c>
      <c r="B24" s="1"/>
      <c r="C24" s="1">
        <v>5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255</v>
      </c>
      <c r="B25" s="1"/>
      <c r="C25" s="1">
        <v>10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256</v>
      </c>
      <c r="B26" s="1"/>
      <c r="C26" s="1">
        <v>2</v>
      </c>
      <c r="D26" s="1">
        <v>2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95</v>
      </c>
      <c r="C27" s="1">
        <f t="shared" ref="C27:F27" si="5">SUM(C2:C26)</f>
        <v>136</v>
      </c>
      <c r="D27" s="1">
        <f t="shared" si="5"/>
        <v>19</v>
      </c>
      <c r="E27" s="1">
        <f t="shared" si="5"/>
        <v>14</v>
      </c>
      <c r="F27" s="1">
        <f t="shared" si="5"/>
        <v>9</v>
      </c>
      <c r="G27" s="1">
        <f t="shared" ref="G27:K27" si="6">COUNTIF(G3:G26,"TRUE")</f>
        <v>11</v>
      </c>
      <c r="H27" s="1">
        <f t="shared" si="6"/>
        <v>9</v>
      </c>
      <c r="I27" s="1">
        <f t="shared" si="6"/>
        <v>8</v>
      </c>
      <c r="J27" s="1">
        <f t="shared" si="6"/>
        <v>6</v>
      </c>
      <c r="K27" s="1">
        <f t="shared" si="6"/>
        <v>4</v>
      </c>
      <c r="L27" s="5">
        <f>COUNTA(E3:E26)</f>
        <v>24</v>
      </c>
    </row>
    <row r="28" spans="1:12" ht="15.75" customHeight="1">
      <c r="E28" s="1" t="s">
        <v>3</v>
      </c>
      <c r="F28" s="2"/>
      <c r="G28" s="2">
        <f>G27/L27</f>
        <v>0.45833333333333331</v>
      </c>
      <c r="H28" s="2">
        <f>H27/L27</f>
        <v>0.375</v>
      </c>
      <c r="I28" s="2">
        <f>I27/L27</f>
        <v>0.33333333333333331</v>
      </c>
      <c r="J28" s="2">
        <f>J27/L27</f>
        <v>0.25</v>
      </c>
      <c r="K28" s="2">
        <f>K27/L27</f>
        <v>0.16666666666666666</v>
      </c>
    </row>
    <row r="29" spans="1:12" ht="15.75" customHeight="1">
      <c r="E29" s="1" t="s">
        <v>96</v>
      </c>
      <c r="F29" s="2"/>
      <c r="G29" s="2"/>
      <c r="H29" s="2">
        <f>H27/G27</f>
        <v>0.81818181818181823</v>
      </c>
      <c r="I29" s="2">
        <f>I27/G27</f>
        <v>0.72727272727272729</v>
      </c>
      <c r="J29" s="2">
        <f>J27/G27</f>
        <v>0.54545454545454541</v>
      </c>
      <c r="K29" s="2">
        <f>K27/G27</f>
        <v>0.36363636363636365</v>
      </c>
    </row>
    <row r="30" spans="1:12" ht="15.75" customHeight="1">
      <c r="E30" s="1" t="s">
        <v>97</v>
      </c>
      <c r="F30" s="2"/>
      <c r="G30" s="2">
        <f>E27/C27</f>
        <v>0.10294117647058823</v>
      </c>
      <c r="H30" s="2">
        <f>E27/D27</f>
        <v>0.73684210526315785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36"/>
  <sheetViews>
    <sheetView workbookViewId="0">
      <selection activeCell="G3" sqref="G3:K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257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258</v>
      </c>
      <c r="B4" s="1"/>
      <c r="C4" s="1">
        <v>5</v>
      </c>
      <c r="D4" s="1">
        <v>2</v>
      </c>
      <c r="E4" s="1">
        <v>1</v>
      </c>
      <c r="F4" s="1">
        <v>1</v>
      </c>
      <c r="G4" s="1" t="b">
        <f t="shared" ref="G4:G32" si="0">(D4&gt;0)</f>
        <v>1</v>
      </c>
      <c r="H4" s="1" t="b">
        <f t="shared" ref="H4:H32" si="1">(E4&gt;0)</f>
        <v>1</v>
      </c>
      <c r="I4" s="1" t="b">
        <f t="shared" ref="I4:I32" si="2">AND(G4,(D4=E4))</f>
        <v>0</v>
      </c>
      <c r="J4" s="1" t="b">
        <f t="shared" ref="J4:J32" si="3">(F4&gt;0)</f>
        <v>1</v>
      </c>
      <c r="K4" s="1" t="b">
        <f t="shared" ref="K4:K32" si="4">AND(I4,(E4=F4))</f>
        <v>0</v>
      </c>
    </row>
    <row r="5" spans="1:11" ht="15.75" customHeight="1">
      <c r="A5" s="1" t="s">
        <v>259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260</v>
      </c>
      <c r="B6" s="1"/>
      <c r="C6" s="1">
        <v>6</v>
      </c>
      <c r="D6" s="1">
        <v>5</v>
      </c>
      <c r="E6" s="1">
        <v>5</v>
      </c>
      <c r="F6" s="1">
        <v>4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0</v>
      </c>
    </row>
    <row r="7" spans="1:11" ht="15.75" customHeight="1">
      <c r="A7" s="1" t="s">
        <v>261</v>
      </c>
      <c r="B7" s="1"/>
      <c r="C7" s="1">
        <v>5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262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263</v>
      </c>
      <c r="B9" s="1"/>
      <c r="C9" s="1">
        <v>3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264</v>
      </c>
      <c r="B10" s="1"/>
      <c r="C10" s="1">
        <v>6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265</v>
      </c>
      <c r="B11" s="1"/>
      <c r="C11" s="1">
        <v>7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266</v>
      </c>
      <c r="B12" s="1"/>
      <c r="C12" s="1">
        <v>5</v>
      </c>
      <c r="D12" s="1">
        <v>1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267</v>
      </c>
      <c r="B13" s="1"/>
      <c r="C13" s="1">
        <v>4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268</v>
      </c>
      <c r="B14" s="1"/>
      <c r="C14" s="1">
        <v>5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269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270</v>
      </c>
      <c r="B16" s="1"/>
      <c r="C16" s="1">
        <v>5</v>
      </c>
      <c r="D16" s="1">
        <v>5</v>
      </c>
      <c r="E16" s="1">
        <v>5</v>
      </c>
      <c r="F16" s="1">
        <v>5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271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272</v>
      </c>
      <c r="B18" s="1"/>
      <c r="C18" s="1">
        <v>4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273</v>
      </c>
      <c r="B19" s="1"/>
      <c r="C19" s="1">
        <v>5</v>
      </c>
      <c r="D19" s="1">
        <v>1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274</v>
      </c>
      <c r="B20" s="1"/>
      <c r="C20" s="1">
        <v>6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275</v>
      </c>
      <c r="B21" s="1"/>
      <c r="C21" s="1">
        <v>8</v>
      </c>
      <c r="D21" s="1">
        <v>2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276</v>
      </c>
      <c r="B22" s="1"/>
      <c r="C22" s="1">
        <v>5</v>
      </c>
      <c r="D22" s="1">
        <v>3</v>
      </c>
      <c r="E22" s="1">
        <v>2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0</v>
      </c>
      <c r="J22" s="1" t="b">
        <f t="shared" si="3"/>
        <v>1</v>
      </c>
      <c r="K22" s="1" t="b">
        <f t="shared" si="4"/>
        <v>0</v>
      </c>
    </row>
    <row r="23" spans="1:12" ht="15.75" customHeight="1">
      <c r="A23" s="1" t="s">
        <v>277</v>
      </c>
      <c r="B23" s="1"/>
      <c r="C23" s="1">
        <v>6</v>
      </c>
      <c r="D23" s="1">
        <v>4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278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279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280</v>
      </c>
      <c r="B26" s="1"/>
      <c r="C26" s="1">
        <v>5</v>
      </c>
      <c r="D26" s="1">
        <v>1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281</v>
      </c>
      <c r="B27" s="1"/>
      <c r="C27" s="1">
        <v>5</v>
      </c>
      <c r="D27" s="1">
        <v>3</v>
      </c>
      <c r="E27" s="1">
        <v>2</v>
      </c>
      <c r="F27" s="1">
        <v>2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1</v>
      </c>
      <c r="K27" s="1" t="b">
        <f t="shared" si="4"/>
        <v>0</v>
      </c>
    </row>
    <row r="28" spans="1:12" ht="15.75" customHeight="1">
      <c r="A28" s="1" t="s">
        <v>282</v>
      </c>
      <c r="B28" s="1"/>
      <c r="C28" s="1">
        <v>5</v>
      </c>
      <c r="D28" s="1">
        <v>1</v>
      </c>
      <c r="E28" s="1">
        <v>0</v>
      </c>
      <c r="F28" s="1">
        <v>0</v>
      </c>
      <c r="G28" s="1" t="b">
        <f t="shared" si="0"/>
        <v>1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283</v>
      </c>
      <c r="B29" s="1"/>
      <c r="C29" s="1">
        <v>4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284</v>
      </c>
      <c r="B30" s="1"/>
      <c r="C30" s="1">
        <v>2</v>
      </c>
      <c r="D30" s="1">
        <v>1</v>
      </c>
      <c r="E30" s="1">
        <v>0</v>
      </c>
      <c r="F30" s="1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285</v>
      </c>
      <c r="B31" s="1"/>
      <c r="C31" s="1">
        <v>2</v>
      </c>
      <c r="D31" s="1">
        <v>2</v>
      </c>
      <c r="E31" s="1">
        <v>2</v>
      </c>
      <c r="F31" s="1">
        <v>2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2" ht="15.75" customHeight="1">
      <c r="A32" s="1" t="s">
        <v>286</v>
      </c>
      <c r="B32" s="1"/>
      <c r="C32" s="1">
        <v>2</v>
      </c>
      <c r="D32" s="1">
        <v>1</v>
      </c>
      <c r="E32" s="1">
        <v>1</v>
      </c>
      <c r="F32" s="1">
        <v>1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1</v>
      </c>
      <c r="L32" s="1" t="s">
        <v>74</v>
      </c>
    </row>
    <row r="33" spans="2:12" ht="15.75" customHeight="1">
      <c r="B33" s="1" t="s">
        <v>95</v>
      </c>
      <c r="C33" s="1">
        <f t="shared" ref="C33:F33" si="5">SUM(C2:C32)</f>
        <v>143</v>
      </c>
      <c r="D33" s="1">
        <f t="shared" si="5"/>
        <v>38</v>
      </c>
      <c r="E33" s="1">
        <f t="shared" si="5"/>
        <v>25</v>
      </c>
      <c r="F33" s="1">
        <f t="shared" si="5"/>
        <v>19</v>
      </c>
      <c r="G33" s="1">
        <f t="shared" ref="G33:K33" si="6">COUNTIF(G3:G32,"TRUE")</f>
        <v>20</v>
      </c>
      <c r="H33" s="1">
        <f t="shared" si="6"/>
        <v>14</v>
      </c>
      <c r="I33" s="1">
        <f t="shared" si="6"/>
        <v>10</v>
      </c>
      <c r="J33" s="1">
        <f t="shared" si="6"/>
        <v>10</v>
      </c>
      <c r="K33" s="1">
        <f t="shared" si="6"/>
        <v>6</v>
      </c>
      <c r="L33" s="5">
        <f>COUNTA(E3:E32)</f>
        <v>30</v>
      </c>
    </row>
    <row r="34" spans="2:12" ht="15.75" customHeight="1">
      <c r="E34" s="1" t="s">
        <v>3</v>
      </c>
      <c r="F34" s="2"/>
      <c r="G34" s="2">
        <f>G33/L33</f>
        <v>0.66666666666666663</v>
      </c>
      <c r="H34" s="2">
        <f>H33/L33</f>
        <v>0.46666666666666667</v>
      </c>
      <c r="I34" s="2">
        <f>I33/L33</f>
        <v>0.33333333333333331</v>
      </c>
      <c r="J34" s="2">
        <f>J33/L33</f>
        <v>0.33333333333333331</v>
      </c>
      <c r="K34" s="2">
        <f>K33/L33</f>
        <v>0.2</v>
      </c>
    </row>
    <row r="35" spans="2:12" ht="15.75" customHeight="1">
      <c r="E35" s="1" t="s">
        <v>96</v>
      </c>
      <c r="F35" s="2"/>
      <c r="G35" s="2"/>
      <c r="H35" s="2">
        <f>H33/G33</f>
        <v>0.7</v>
      </c>
      <c r="I35" s="2">
        <f>I33/G33</f>
        <v>0.5</v>
      </c>
      <c r="J35" s="2">
        <f>J33/G33</f>
        <v>0.5</v>
      </c>
      <c r="K35" s="2">
        <f>K33/G33</f>
        <v>0.3</v>
      </c>
    </row>
    <row r="36" spans="2:12" ht="15.75" customHeight="1">
      <c r="E36" s="1" t="s">
        <v>97</v>
      </c>
      <c r="F36" s="2"/>
      <c r="G36" s="2">
        <f>E33/C33</f>
        <v>0.17482517482517482</v>
      </c>
      <c r="H36" s="2">
        <f>E33/D33</f>
        <v>0.65789473684210531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39"/>
  <sheetViews>
    <sheetView workbookViewId="0">
      <selection activeCell="G3" sqref="G3:K35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287</v>
      </c>
      <c r="B3" s="1"/>
      <c r="C3" s="1">
        <v>9</v>
      </c>
      <c r="D3" s="1">
        <v>6</v>
      </c>
      <c r="E3" s="1">
        <v>6</v>
      </c>
      <c r="F3" s="1">
        <v>5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0</v>
      </c>
    </row>
    <row r="4" spans="1:11" ht="15.75" customHeight="1">
      <c r="A4" s="1" t="s">
        <v>288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5" si="0">(D4&gt;0)</f>
        <v>0</v>
      </c>
      <c r="H4" s="1" t="b">
        <f t="shared" ref="H4:H35" si="1">(E4&gt;0)</f>
        <v>0</v>
      </c>
      <c r="I4" s="1" t="b">
        <f t="shared" ref="I4:I35" si="2">AND(G4,(D4=E4))</f>
        <v>0</v>
      </c>
      <c r="J4" s="1" t="b">
        <f t="shared" ref="J4:J35" si="3">(F4&gt;0)</f>
        <v>0</v>
      </c>
      <c r="K4" s="1" t="b">
        <f t="shared" ref="K4:K35" si="4">AND(I4,(E4=F4))</f>
        <v>0</v>
      </c>
    </row>
    <row r="5" spans="1:11" ht="15.75" customHeight="1">
      <c r="A5" s="1" t="s">
        <v>289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290</v>
      </c>
      <c r="B6" s="1"/>
      <c r="C6" s="1">
        <v>5</v>
      </c>
      <c r="D6" s="1">
        <v>2</v>
      </c>
      <c r="E6" s="1">
        <v>2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291</v>
      </c>
      <c r="B7" s="1"/>
      <c r="C7" s="1">
        <v>4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292</v>
      </c>
      <c r="B8" s="1"/>
      <c r="C8" s="1">
        <v>4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293</v>
      </c>
      <c r="B9" s="1"/>
      <c r="C9" s="1">
        <v>5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294</v>
      </c>
      <c r="B10" s="1"/>
      <c r="C10" s="1">
        <v>8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295</v>
      </c>
      <c r="B11" s="1"/>
      <c r="C11" s="1">
        <v>9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296</v>
      </c>
      <c r="B12" s="1"/>
      <c r="C12" s="1">
        <v>5</v>
      </c>
      <c r="D12" s="1">
        <v>5</v>
      </c>
      <c r="E12" s="1">
        <v>5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297</v>
      </c>
      <c r="B13" s="1"/>
      <c r="C13" s="1">
        <v>5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298</v>
      </c>
      <c r="B14" s="1"/>
      <c r="C14" s="1">
        <v>7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299</v>
      </c>
      <c r="B15" s="1"/>
      <c r="C15" s="1">
        <v>7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300</v>
      </c>
      <c r="B16" s="1"/>
      <c r="C16" s="1">
        <v>6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1" t="s">
        <v>301</v>
      </c>
      <c r="B17" s="1"/>
      <c r="C17" s="1">
        <v>6</v>
      </c>
      <c r="D17" s="1">
        <v>3</v>
      </c>
      <c r="E17" s="1">
        <v>3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1" ht="15.75" customHeight="1">
      <c r="A18" s="1" t="s">
        <v>302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303</v>
      </c>
      <c r="B19" s="1"/>
      <c r="C19" s="1">
        <v>7</v>
      </c>
      <c r="D19" s="1">
        <v>2</v>
      </c>
      <c r="E19" s="1">
        <v>2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1" t="s">
        <v>304</v>
      </c>
      <c r="B20" s="1"/>
      <c r="C20" s="1">
        <v>8</v>
      </c>
      <c r="D20" s="1">
        <v>2</v>
      </c>
      <c r="E20" s="1">
        <v>2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1" t="s">
        <v>305</v>
      </c>
      <c r="B21" s="1"/>
      <c r="C21" s="1">
        <v>5</v>
      </c>
      <c r="D21" s="1">
        <v>3</v>
      </c>
      <c r="E21" s="1">
        <v>3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306</v>
      </c>
      <c r="B22" s="1"/>
      <c r="C22" s="1">
        <v>5</v>
      </c>
      <c r="D22" s="1">
        <v>1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1" ht="15.75" customHeight="1">
      <c r="A23" s="1" t="s">
        <v>307</v>
      </c>
      <c r="B23" s="1"/>
      <c r="C23" s="1">
        <v>7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308</v>
      </c>
      <c r="B24" s="1"/>
      <c r="C24" s="1">
        <v>5</v>
      </c>
      <c r="D24" s="1">
        <v>2</v>
      </c>
      <c r="E24" s="1">
        <v>2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1" t="s">
        <v>309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310</v>
      </c>
      <c r="B26" s="1"/>
      <c r="C26" s="1">
        <v>5</v>
      </c>
      <c r="D26" s="1">
        <v>3</v>
      </c>
      <c r="E26" s="1">
        <v>2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0</v>
      </c>
      <c r="J26" s="1" t="b">
        <f t="shared" si="3"/>
        <v>1</v>
      </c>
      <c r="K26" s="1" t="b">
        <f t="shared" si="4"/>
        <v>0</v>
      </c>
    </row>
    <row r="27" spans="1:11" ht="15.75" customHeight="1">
      <c r="A27" s="1" t="s">
        <v>311</v>
      </c>
      <c r="B27" s="1"/>
      <c r="C27" s="1">
        <v>5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312</v>
      </c>
      <c r="B28" s="1"/>
      <c r="C28" s="1">
        <v>4</v>
      </c>
      <c r="D28" s="1">
        <v>2</v>
      </c>
      <c r="E28" s="1">
        <v>2</v>
      </c>
      <c r="F28" s="1">
        <v>2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1" ht="15.75" customHeight="1">
      <c r="A29" s="1" t="s">
        <v>313</v>
      </c>
      <c r="B29" s="1"/>
      <c r="C29" s="1">
        <v>5</v>
      </c>
      <c r="D29" s="1">
        <v>3</v>
      </c>
      <c r="E29" s="1">
        <v>2</v>
      </c>
      <c r="F29" s="1">
        <v>2</v>
      </c>
      <c r="G29" s="1" t="b">
        <f t="shared" si="0"/>
        <v>1</v>
      </c>
      <c r="H29" s="1" t="b">
        <f t="shared" si="1"/>
        <v>1</v>
      </c>
      <c r="I29" s="1" t="b">
        <f t="shared" si="2"/>
        <v>0</v>
      </c>
      <c r="J29" s="1" t="b">
        <f t="shared" si="3"/>
        <v>1</v>
      </c>
      <c r="K29" s="1" t="b">
        <f t="shared" si="4"/>
        <v>0</v>
      </c>
    </row>
    <row r="30" spans="1:11" ht="15.75" customHeight="1">
      <c r="A30" s="1" t="s">
        <v>314</v>
      </c>
      <c r="B30" s="1"/>
      <c r="C30" s="1">
        <v>5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315</v>
      </c>
      <c r="B31" s="1"/>
      <c r="C31" s="1">
        <v>5</v>
      </c>
      <c r="D31" s="1">
        <v>4</v>
      </c>
      <c r="E31" s="1">
        <v>4</v>
      </c>
      <c r="F31" s="1">
        <v>4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1" ht="15.75" customHeight="1">
      <c r="A32" s="1" t="s">
        <v>316</v>
      </c>
      <c r="B32" s="1"/>
      <c r="C32" s="1">
        <v>5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1" t="s">
        <v>317</v>
      </c>
      <c r="B33" s="1"/>
      <c r="C33" s="1">
        <v>4</v>
      </c>
      <c r="D33" s="1">
        <v>1</v>
      </c>
      <c r="E33" s="1">
        <v>0</v>
      </c>
      <c r="F33" s="1">
        <v>0</v>
      </c>
      <c r="G33" s="1" t="b">
        <f t="shared" si="0"/>
        <v>1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</row>
    <row r="34" spans="1:12" ht="15.75" customHeight="1">
      <c r="A34" s="1" t="s">
        <v>318</v>
      </c>
      <c r="B34" s="1"/>
      <c r="C34" s="1">
        <v>6</v>
      </c>
      <c r="D34" s="1">
        <v>4</v>
      </c>
      <c r="E34" s="1">
        <v>4</v>
      </c>
      <c r="F34" s="1">
        <v>4</v>
      </c>
      <c r="G34" s="1" t="b">
        <f t="shared" si="0"/>
        <v>1</v>
      </c>
      <c r="H34" s="1" t="b">
        <f t="shared" si="1"/>
        <v>1</v>
      </c>
      <c r="I34" s="1" t="b">
        <f t="shared" si="2"/>
        <v>1</v>
      </c>
      <c r="J34" s="1" t="b">
        <f t="shared" si="3"/>
        <v>1</v>
      </c>
      <c r="K34" s="1" t="b">
        <f t="shared" si="4"/>
        <v>1</v>
      </c>
    </row>
    <row r="35" spans="1:12" ht="15.75" customHeight="1">
      <c r="A35" s="1" t="s">
        <v>319</v>
      </c>
      <c r="B35" s="1"/>
      <c r="C35" s="1">
        <v>2</v>
      </c>
      <c r="D35" s="1">
        <v>1</v>
      </c>
      <c r="E35" s="1">
        <v>1</v>
      </c>
      <c r="F35" s="1">
        <v>0</v>
      </c>
      <c r="G35" s="1" t="b">
        <f t="shared" si="0"/>
        <v>1</v>
      </c>
      <c r="H35" s="1" t="b">
        <f t="shared" si="1"/>
        <v>1</v>
      </c>
      <c r="I35" s="1" t="b">
        <f t="shared" si="2"/>
        <v>1</v>
      </c>
      <c r="J35" s="1" t="b">
        <f t="shared" si="3"/>
        <v>0</v>
      </c>
      <c r="K35" s="1" t="b">
        <f t="shared" si="4"/>
        <v>0</v>
      </c>
    </row>
    <row r="36" spans="1:12" ht="15.75" customHeight="1">
      <c r="B36" s="1" t="s">
        <v>95</v>
      </c>
      <c r="C36" s="1">
        <f t="shared" ref="C36:F36" si="5">SUM(C2:C35)</f>
        <v>182</v>
      </c>
      <c r="D36" s="1">
        <f t="shared" si="5"/>
        <v>53</v>
      </c>
      <c r="E36" s="1">
        <f t="shared" si="5"/>
        <v>47</v>
      </c>
      <c r="F36" s="1">
        <f t="shared" si="5"/>
        <v>18</v>
      </c>
      <c r="G36" s="1">
        <f t="shared" ref="G36:K36" si="6">COUNTIF(G3:G35,"TRUE")</f>
        <v>23</v>
      </c>
      <c r="H36" s="1">
        <f t="shared" si="6"/>
        <v>21</v>
      </c>
      <c r="I36" s="1">
        <f t="shared" si="6"/>
        <v>19</v>
      </c>
      <c r="J36" s="1">
        <f t="shared" si="6"/>
        <v>6</v>
      </c>
      <c r="K36" s="1">
        <f t="shared" si="6"/>
        <v>3</v>
      </c>
      <c r="L36" s="5">
        <f>COUNTA(E3:E35)</f>
        <v>33</v>
      </c>
    </row>
    <row r="37" spans="1:12" ht="15.75" customHeight="1">
      <c r="E37" s="1" t="s">
        <v>3</v>
      </c>
      <c r="F37" s="2"/>
      <c r="G37" s="2">
        <f>G36/L36</f>
        <v>0.69696969696969702</v>
      </c>
      <c r="H37" s="2">
        <f>H36/L36</f>
        <v>0.63636363636363635</v>
      </c>
      <c r="I37" s="2">
        <f>I36/L36</f>
        <v>0.5757575757575758</v>
      </c>
      <c r="J37" s="2">
        <f>J36/L36</f>
        <v>0.18181818181818182</v>
      </c>
      <c r="K37" s="2">
        <f>K36/L36</f>
        <v>9.0909090909090912E-2</v>
      </c>
    </row>
    <row r="38" spans="1:12" ht="15.75" customHeight="1">
      <c r="E38" s="1" t="s">
        <v>96</v>
      </c>
      <c r="F38" s="2"/>
      <c r="G38" s="2"/>
      <c r="H38" s="2">
        <f>H36/G36</f>
        <v>0.91304347826086951</v>
      </c>
      <c r="I38" s="2">
        <f>I36/G36</f>
        <v>0.82608695652173914</v>
      </c>
      <c r="J38" s="2">
        <f>J36/G36</f>
        <v>0.2608695652173913</v>
      </c>
      <c r="K38" s="2">
        <f>K36/G36</f>
        <v>0.13043478260869565</v>
      </c>
    </row>
    <row r="39" spans="1:12" ht="15.75" customHeight="1">
      <c r="E39" s="1" t="s">
        <v>97</v>
      </c>
      <c r="F39" s="2"/>
      <c r="G39" s="2">
        <f>E36/C36</f>
        <v>0.25824175824175827</v>
      </c>
      <c r="H39" s="2">
        <f>E36/D36</f>
        <v>0.8867924528301887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6"/>
  <sheetViews>
    <sheetView workbookViewId="0">
      <selection activeCell="G3" sqref="G3:K2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320</v>
      </c>
      <c r="B3" s="1"/>
      <c r="C3" s="1">
        <v>2</v>
      </c>
      <c r="D3" s="1">
        <v>1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321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22" si="0">(D4&gt;0)</f>
        <v>0</v>
      </c>
      <c r="H4" s="1" t="b">
        <f t="shared" ref="H4:H22" si="1">(E4&gt;0)</f>
        <v>0</v>
      </c>
      <c r="I4" s="1" t="b">
        <f t="shared" ref="I4:I22" si="2">AND(G4,(D4=E4))</f>
        <v>0</v>
      </c>
      <c r="J4" s="1" t="b">
        <f t="shared" ref="J4:J22" si="3">(F4&gt;0)</f>
        <v>0</v>
      </c>
      <c r="K4" s="1" t="b">
        <f t="shared" ref="K4:K22" si="4">AND(I4,(E4=F4))</f>
        <v>0</v>
      </c>
    </row>
    <row r="5" spans="1:11" ht="15.75" customHeight="1">
      <c r="A5" s="1" t="s">
        <v>322</v>
      </c>
      <c r="B5" s="1"/>
      <c r="C5" s="1">
        <v>4</v>
      </c>
      <c r="D5" s="1">
        <v>4</v>
      </c>
      <c r="E5" s="1">
        <v>4</v>
      </c>
      <c r="F5" s="1">
        <v>4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1" t="s">
        <v>323</v>
      </c>
      <c r="B6" s="1"/>
      <c r="C6" s="1">
        <v>2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324</v>
      </c>
      <c r="B7" s="1"/>
      <c r="C7" s="1">
        <v>6</v>
      </c>
      <c r="D7" s="1">
        <v>4</v>
      </c>
      <c r="E7" s="1">
        <v>4</v>
      </c>
      <c r="F7" s="1">
        <v>4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325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326</v>
      </c>
      <c r="B9" s="1"/>
      <c r="C9" s="1">
        <v>4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327</v>
      </c>
      <c r="B10" s="1"/>
      <c r="C10" s="1">
        <v>6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328</v>
      </c>
      <c r="B11" s="1"/>
      <c r="C11" s="1">
        <v>5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329</v>
      </c>
      <c r="B12" s="1"/>
      <c r="C12" s="1">
        <v>6</v>
      </c>
      <c r="D12" s="1">
        <v>5</v>
      </c>
      <c r="E12" s="1">
        <v>5</v>
      </c>
      <c r="F12" s="1">
        <v>2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1" t="s">
        <v>330</v>
      </c>
      <c r="B13" s="1"/>
      <c r="C13" s="1">
        <v>5</v>
      </c>
      <c r="D13" s="1">
        <v>2</v>
      </c>
      <c r="E13" s="1">
        <v>2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331</v>
      </c>
      <c r="B14" s="1"/>
      <c r="C14" s="1">
        <v>5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332</v>
      </c>
      <c r="B15" s="1"/>
      <c r="C15" s="1">
        <v>5</v>
      </c>
      <c r="D15" s="1">
        <v>4</v>
      </c>
      <c r="E15" s="1">
        <v>4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333</v>
      </c>
      <c r="B16" s="1"/>
      <c r="C16" s="1">
        <v>7</v>
      </c>
      <c r="D16" s="1">
        <v>5</v>
      </c>
      <c r="E16" s="1">
        <v>5</v>
      </c>
      <c r="F16" s="1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0</v>
      </c>
    </row>
    <row r="17" spans="1:12" ht="15.75" customHeight="1">
      <c r="A17" s="1" t="s">
        <v>334</v>
      </c>
      <c r="B17" s="1"/>
      <c r="C17" s="1">
        <v>7</v>
      </c>
      <c r="D17" s="1">
        <v>3</v>
      </c>
      <c r="E17" s="1">
        <v>3</v>
      </c>
      <c r="F17" s="1">
        <v>2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0</v>
      </c>
    </row>
    <row r="18" spans="1:12" ht="15.75" customHeight="1">
      <c r="A18" s="1" t="s">
        <v>335</v>
      </c>
      <c r="B18" s="1"/>
      <c r="C18" s="1">
        <v>4</v>
      </c>
      <c r="D18" s="1">
        <v>2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336</v>
      </c>
      <c r="B19" s="1"/>
      <c r="C19" s="1">
        <v>9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337</v>
      </c>
      <c r="B20" s="1"/>
      <c r="C20" s="1">
        <v>5</v>
      </c>
      <c r="D20" s="1">
        <v>1</v>
      </c>
      <c r="E20" s="1">
        <v>1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338</v>
      </c>
      <c r="B21" s="1"/>
      <c r="C21" s="1">
        <v>7</v>
      </c>
      <c r="D21" s="1">
        <v>7</v>
      </c>
      <c r="E21" s="1">
        <v>7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0</v>
      </c>
    </row>
    <row r="22" spans="1:12" ht="15.75" customHeight="1">
      <c r="A22" s="1" t="s">
        <v>339</v>
      </c>
      <c r="B22" s="1"/>
      <c r="C22" s="1">
        <v>2</v>
      </c>
      <c r="D22" s="1">
        <v>2</v>
      </c>
      <c r="E22" s="1">
        <v>2</v>
      </c>
      <c r="F22" s="1">
        <v>2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B23" s="1" t="s">
        <v>95</v>
      </c>
      <c r="C23" s="1">
        <f t="shared" ref="C23:F23" si="5">SUM(C2:C22)</f>
        <v>100</v>
      </c>
      <c r="D23" s="1">
        <f t="shared" si="5"/>
        <v>48</v>
      </c>
      <c r="E23" s="1">
        <f t="shared" si="5"/>
        <v>44</v>
      </c>
      <c r="F23" s="1">
        <f t="shared" si="5"/>
        <v>18</v>
      </c>
      <c r="G23" s="1">
        <f t="shared" ref="G23:K23" si="6">COUNTIF(G3:G22,"TRUE")</f>
        <v>19</v>
      </c>
      <c r="H23" s="1">
        <f t="shared" si="6"/>
        <v>16</v>
      </c>
      <c r="I23" s="1">
        <f t="shared" si="6"/>
        <v>15</v>
      </c>
      <c r="J23" s="1">
        <f t="shared" si="6"/>
        <v>8</v>
      </c>
      <c r="K23" s="1">
        <f t="shared" si="6"/>
        <v>4</v>
      </c>
      <c r="L23" s="5">
        <f>COUNTA(E3:E22)</f>
        <v>20</v>
      </c>
    </row>
    <row r="24" spans="1:12" ht="15.75" customHeight="1">
      <c r="E24" s="1" t="s">
        <v>3</v>
      </c>
      <c r="F24" s="2"/>
      <c r="G24" s="2">
        <f>G23/L23</f>
        <v>0.95</v>
      </c>
      <c r="H24" s="2">
        <f>H23/L23</f>
        <v>0.8</v>
      </c>
      <c r="I24" s="2">
        <f>I23/L23</f>
        <v>0.75</v>
      </c>
      <c r="J24" s="2">
        <f>J23/L23</f>
        <v>0.4</v>
      </c>
      <c r="K24" s="2">
        <f>K23/L23</f>
        <v>0.2</v>
      </c>
    </row>
    <row r="25" spans="1:12" ht="15.75" customHeight="1">
      <c r="E25" s="1" t="s">
        <v>96</v>
      </c>
      <c r="F25" s="2"/>
      <c r="G25" s="2"/>
      <c r="H25" s="2">
        <f>H23/G23</f>
        <v>0.84210526315789469</v>
      </c>
      <c r="I25" s="2">
        <f>I23/G23</f>
        <v>0.78947368421052633</v>
      </c>
      <c r="J25" s="2">
        <f>J23/G23</f>
        <v>0.42105263157894735</v>
      </c>
      <c r="K25" s="2">
        <f>K23/G23</f>
        <v>0.21052631578947367</v>
      </c>
    </row>
    <row r="26" spans="1:12" ht="15.75" customHeight="1">
      <c r="E26" s="1" t="s">
        <v>97</v>
      </c>
      <c r="F26" s="2"/>
      <c r="G26" s="2">
        <f>E23/C23</f>
        <v>0.44</v>
      </c>
      <c r="H26" s="2">
        <f>E23/D23</f>
        <v>0.91666666666666663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47"/>
  <sheetViews>
    <sheetView topLeftCell="A6" workbookViewId="0">
      <selection activeCell="G3" sqref="G3:K4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340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341</v>
      </c>
      <c r="B4" s="1"/>
      <c r="C4" s="1">
        <v>6</v>
      </c>
      <c r="D4" s="1">
        <v>4</v>
      </c>
      <c r="E4" s="1">
        <v>4</v>
      </c>
      <c r="F4" s="1">
        <v>1</v>
      </c>
      <c r="G4" s="1" t="b">
        <f t="shared" ref="G4:G43" si="0">(D4&gt;0)</f>
        <v>1</v>
      </c>
      <c r="H4" s="1" t="b">
        <f t="shared" ref="H4:H43" si="1">(E4&gt;0)</f>
        <v>1</v>
      </c>
      <c r="I4" s="1" t="b">
        <f t="shared" ref="I4:I43" si="2">AND(G4,(D4=E4))</f>
        <v>1</v>
      </c>
      <c r="J4" s="1" t="b">
        <f t="shared" ref="J4:J43" si="3">(F4&gt;0)</f>
        <v>1</v>
      </c>
      <c r="K4" s="1" t="b">
        <f t="shared" ref="K4:K43" si="4">AND(I4,(E4=F4))</f>
        <v>0</v>
      </c>
    </row>
    <row r="5" spans="1:11" ht="15.75" customHeight="1">
      <c r="A5" s="1" t="s">
        <v>342</v>
      </c>
      <c r="B5" s="1"/>
      <c r="C5" s="1">
        <v>4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343</v>
      </c>
      <c r="B6" s="1"/>
      <c r="C6" s="1">
        <v>2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344</v>
      </c>
      <c r="B7" s="1"/>
      <c r="C7" s="1">
        <v>5</v>
      </c>
      <c r="D7" s="1">
        <v>1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345</v>
      </c>
      <c r="B8" s="1"/>
      <c r="C8" s="1">
        <v>3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346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347</v>
      </c>
      <c r="B10" s="1"/>
      <c r="C10" s="1">
        <v>6</v>
      </c>
      <c r="D10" s="1">
        <v>6</v>
      </c>
      <c r="E10" s="1">
        <v>5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0</v>
      </c>
      <c r="J10" s="1" t="b">
        <f t="shared" si="3"/>
        <v>1</v>
      </c>
      <c r="K10" s="1" t="b">
        <f t="shared" si="4"/>
        <v>0</v>
      </c>
    </row>
    <row r="11" spans="1:11" ht="15.75" customHeight="1">
      <c r="A11" s="1" t="s">
        <v>348</v>
      </c>
      <c r="B11" s="1"/>
      <c r="C11" s="1">
        <v>6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349</v>
      </c>
      <c r="B12" s="1"/>
      <c r="C12" s="1">
        <v>6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350</v>
      </c>
      <c r="B13" s="1"/>
      <c r="C13" s="1">
        <v>6</v>
      </c>
      <c r="D13" s="1">
        <v>2</v>
      </c>
      <c r="E13" s="1">
        <v>2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351</v>
      </c>
      <c r="B14" s="1"/>
      <c r="C14" s="1">
        <v>6</v>
      </c>
      <c r="D14" s="1">
        <v>6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352</v>
      </c>
      <c r="B15" s="1"/>
      <c r="C15" s="1">
        <v>5</v>
      </c>
      <c r="D15" s="1">
        <v>1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353</v>
      </c>
      <c r="B16" s="1"/>
      <c r="C16" s="1">
        <v>4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1" t="s">
        <v>354</v>
      </c>
      <c r="B17" s="1"/>
      <c r="C17" s="1">
        <v>4</v>
      </c>
      <c r="D17" s="1">
        <v>2</v>
      </c>
      <c r="E17" s="1">
        <v>2</v>
      </c>
      <c r="F17" s="1">
        <v>2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1" ht="15.75" customHeight="1">
      <c r="A18" s="1" t="s">
        <v>355</v>
      </c>
      <c r="B18" s="1"/>
      <c r="C18" s="1">
        <v>5</v>
      </c>
      <c r="D18" s="1">
        <v>1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356</v>
      </c>
      <c r="B19" s="1"/>
      <c r="C19" s="1">
        <v>5</v>
      </c>
      <c r="D19" s="1">
        <v>2</v>
      </c>
      <c r="E19" s="1">
        <v>2</v>
      </c>
      <c r="F19" s="1">
        <v>2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1" ht="15.75" customHeight="1">
      <c r="A20" s="1" t="s">
        <v>357</v>
      </c>
      <c r="B20" s="1"/>
      <c r="C20" s="1">
        <v>7</v>
      </c>
      <c r="D20" s="1">
        <v>2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1" t="s">
        <v>358</v>
      </c>
      <c r="B21" s="1"/>
      <c r="C21" s="1">
        <v>7</v>
      </c>
      <c r="D21" s="1">
        <v>3</v>
      </c>
      <c r="E21" s="1">
        <v>3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359</v>
      </c>
      <c r="B22" s="1"/>
      <c r="C22" s="1">
        <v>9</v>
      </c>
      <c r="D22" s="1">
        <v>2</v>
      </c>
      <c r="E22" s="1">
        <v>2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0</v>
      </c>
    </row>
    <row r="23" spans="1:11" ht="15.75" customHeight="1">
      <c r="A23" s="1" t="s">
        <v>360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361</v>
      </c>
      <c r="B24" s="1"/>
      <c r="C24" s="1">
        <v>6</v>
      </c>
      <c r="D24" s="1">
        <v>1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1" t="s">
        <v>362</v>
      </c>
      <c r="B25" s="1"/>
      <c r="C25" s="1">
        <v>4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363</v>
      </c>
      <c r="B26" s="1"/>
      <c r="C26" s="1">
        <v>5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1" t="s">
        <v>364</v>
      </c>
      <c r="B27" s="1"/>
      <c r="C27" s="1">
        <v>3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365</v>
      </c>
      <c r="B28" s="1"/>
      <c r="C28" s="1">
        <v>5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1" t="s">
        <v>366</v>
      </c>
      <c r="B29" s="1"/>
      <c r="C29" s="1">
        <v>6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1" t="s">
        <v>367</v>
      </c>
      <c r="B30" s="1"/>
      <c r="C30" s="1">
        <v>10</v>
      </c>
      <c r="D30" s="1">
        <v>8</v>
      </c>
      <c r="E30" s="1">
        <v>0</v>
      </c>
      <c r="F30" s="1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368</v>
      </c>
      <c r="B31" s="1"/>
      <c r="C31" s="1">
        <v>7</v>
      </c>
      <c r="D31" s="1">
        <v>2</v>
      </c>
      <c r="E31" s="1">
        <v>2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369</v>
      </c>
      <c r="B32" s="1"/>
      <c r="C32" s="1">
        <v>5</v>
      </c>
      <c r="D32" s="1">
        <v>5</v>
      </c>
      <c r="E32" s="1">
        <v>5</v>
      </c>
      <c r="F32" s="1">
        <v>1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0</v>
      </c>
    </row>
    <row r="33" spans="1:12" ht="15.75" customHeight="1">
      <c r="A33" s="1" t="s">
        <v>370</v>
      </c>
      <c r="B33" s="1"/>
      <c r="C33" s="1">
        <v>6</v>
      </c>
      <c r="D33" s="1">
        <v>1</v>
      </c>
      <c r="E33" s="1">
        <v>0</v>
      </c>
      <c r="F33" s="1">
        <v>0</v>
      </c>
      <c r="G33" s="1" t="b">
        <f t="shared" si="0"/>
        <v>1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371</v>
      </c>
      <c r="B34" s="1"/>
      <c r="C34" s="1">
        <v>10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1" t="s">
        <v>372</v>
      </c>
      <c r="B35" s="1"/>
      <c r="C35" s="1">
        <v>7</v>
      </c>
      <c r="D35" s="1">
        <v>3</v>
      </c>
      <c r="E35" s="1">
        <v>3</v>
      </c>
      <c r="F35" s="1">
        <v>0</v>
      </c>
      <c r="G35" s="1" t="b">
        <f t="shared" si="0"/>
        <v>1</v>
      </c>
      <c r="H35" s="1" t="b">
        <f t="shared" si="1"/>
        <v>1</v>
      </c>
      <c r="I35" s="1" t="b">
        <f t="shared" si="2"/>
        <v>1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373</v>
      </c>
      <c r="B36" s="1"/>
      <c r="C36" s="1">
        <v>4</v>
      </c>
      <c r="D36" s="1">
        <v>3</v>
      </c>
      <c r="E36" s="1">
        <v>3</v>
      </c>
      <c r="F36" s="1">
        <v>2</v>
      </c>
      <c r="G36" s="1" t="b">
        <f t="shared" si="0"/>
        <v>1</v>
      </c>
      <c r="H36" s="1" t="b">
        <f t="shared" si="1"/>
        <v>1</v>
      </c>
      <c r="I36" s="1" t="b">
        <f t="shared" si="2"/>
        <v>1</v>
      </c>
      <c r="J36" s="1" t="b">
        <f t="shared" si="3"/>
        <v>1</v>
      </c>
      <c r="K36" s="1" t="b">
        <f t="shared" si="4"/>
        <v>0</v>
      </c>
      <c r="L36" s="1"/>
    </row>
    <row r="37" spans="1:12" ht="15.75" customHeight="1">
      <c r="A37" s="1" t="s">
        <v>374</v>
      </c>
      <c r="B37" s="1"/>
      <c r="C37" s="1">
        <v>3</v>
      </c>
      <c r="D37" s="1">
        <v>3</v>
      </c>
      <c r="E37" s="1">
        <v>3</v>
      </c>
      <c r="F37" s="1">
        <v>3</v>
      </c>
      <c r="G37" s="1" t="b">
        <f t="shared" si="0"/>
        <v>1</v>
      </c>
      <c r="H37" s="1" t="b">
        <f t="shared" si="1"/>
        <v>1</v>
      </c>
      <c r="I37" s="1" t="b">
        <f t="shared" si="2"/>
        <v>1</v>
      </c>
      <c r="J37" s="1" t="b">
        <f t="shared" si="3"/>
        <v>1</v>
      </c>
      <c r="K37" s="1" t="b">
        <f t="shared" si="4"/>
        <v>1</v>
      </c>
      <c r="L37" s="1"/>
    </row>
    <row r="38" spans="1:12" ht="15.75" customHeight="1">
      <c r="A38" s="1" t="s">
        <v>375</v>
      </c>
      <c r="B38" s="1"/>
      <c r="C38" s="1">
        <v>6</v>
      </c>
      <c r="D38" s="1">
        <v>2</v>
      </c>
      <c r="E38" s="1">
        <v>2</v>
      </c>
      <c r="F38" s="1">
        <v>1</v>
      </c>
      <c r="G38" s="1" t="b">
        <f t="shared" si="0"/>
        <v>1</v>
      </c>
      <c r="H38" s="1" t="b">
        <f t="shared" si="1"/>
        <v>1</v>
      </c>
      <c r="I38" s="1" t="b">
        <f t="shared" si="2"/>
        <v>1</v>
      </c>
      <c r="J38" s="1" t="b">
        <f t="shared" si="3"/>
        <v>1</v>
      </c>
      <c r="K38" s="1" t="b">
        <f t="shared" si="4"/>
        <v>0</v>
      </c>
      <c r="L38" s="1"/>
    </row>
    <row r="39" spans="1:12" ht="15.75" customHeight="1">
      <c r="A39" s="1" t="s">
        <v>376</v>
      </c>
      <c r="B39" s="1"/>
      <c r="C39" s="1">
        <v>5</v>
      </c>
      <c r="D39" s="1">
        <v>1</v>
      </c>
      <c r="E39" s="1">
        <v>1</v>
      </c>
      <c r="F39" s="1">
        <v>0</v>
      </c>
      <c r="G39" s="1" t="b">
        <f t="shared" si="0"/>
        <v>1</v>
      </c>
      <c r="H39" s="1" t="b">
        <f t="shared" si="1"/>
        <v>1</v>
      </c>
      <c r="I39" s="1" t="b">
        <f t="shared" si="2"/>
        <v>1</v>
      </c>
      <c r="J39" s="1" t="b">
        <f t="shared" si="3"/>
        <v>0</v>
      </c>
      <c r="K39" s="1" t="b">
        <f t="shared" si="4"/>
        <v>0</v>
      </c>
      <c r="L39" s="1"/>
    </row>
    <row r="40" spans="1:12" ht="15.75" customHeight="1">
      <c r="A40" s="1" t="s">
        <v>377</v>
      </c>
      <c r="B40" s="1"/>
      <c r="C40" s="1">
        <v>2</v>
      </c>
      <c r="D40" s="1">
        <v>1</v>
      </c>
      <c r="E40" s="1">
        <v>1</v>
      </c>
      <c r="F40" s="1">
        <v>0</v>
      </c>
      <c r="G40" s="1" t="b">
        <f t="shared" si="0"/>
        <v>1</v>
      </c>
      <c r="H40" s="1" t="b">
        <f t="shared" si="1"/>
        <v>1</v>
      </c>
      <c r="I40" s="1" t="b">
        <f t="shared" si="2"/>
        <v>1</v>
      </c>
      <c r="J40" s="1" t="b">
        <f t="shared" si="3"/>
        <v>0</v>
      </c>
      <c r="K40" s="1" t="b">
        <f t="shared" si="4"/>
        <v>0</v>
      </c>
      <c r="L40" s="1"/>
    </row>
    <row r="41" spans="1:12" ht="15.75" customHeight="1">
      <c r="A41" s="1" t="s">
        <v>378</v>
      </c>
      <c r="B41" s="1"/>
      <c r="C41" s="1">
        <v>2</v>
      </c>
      <c r="D41" s="1">
        <v>2</v>
      </c>
      <c r="E41" s="1">
        <v>2</v>
      </c>
      <c r="F41" s="1">
        <v>0</v>
      </c>
      <c r="G41" s="1" t="b">
        <f t="shared" si="0"/>
        <v>1</v>
      </c>
      <c r="H41" s="1" t="b">
        <f t="shared" si="1"/>
        <v>1</v>
      </c>
      <c r="I41" s="1" t="b">
        <f t="shared" si="2"/>
        <v>1</v>
      </c>
      <c r="J41" s="1" t="b">
        <f t="shared" si="3"/>
        <v>0</v>
      </c>
      <c r="K41" s="1" t="b">
        <f t="shared" si="4"/>
        <v>0</v>
      </c>
      <c r="L41" s="1"/>
    </row>
    <row r="42" spans="1:12" ht="15.75" customHeight="1">
      <c r="A42" s="1" t="s">
        <v>379</v>
      </c>
      <c r="B42" s="1"/>
      <c r="C42" s="1">
        <v>2</v>
      </c>
      <c r="D42" s="1">
        <v>0</v>
      </c>
      <c r="E42" s="1">
        <v>0</v>
      </c>
      <c r="F42" s="1">
        <v>0</v>
      </c>
      <c r="G42" s="1" t="b">
        <f t="shared" si="0"/>
        <v>0</v>
      </c>
      <c r="H42" s="1" t="b">
        <f t="shared" si="1"/>
        <v>0</v>
      </c>
      <c r="I42" s="1" t="b">
        <f t="shared" si="2"/>
        <v>0</v>
      </c>
      <c r="J42" s="1" t="b">
        <f t="shared" si="3"/>
        <v>0</v>
      </c>
      <c r="K42" s="1" t="b">
        <f t="shared" si="4"/>
        <v>0</v>
      </c>
      <c r="L42" s="1"/>
    </row>
    <row r="43" spans="1:12" ht="15.75" customHeight="1">
      <c r="A43" s="1" t="s">
        <v>380</v>
      </c>
      <c r="B43" s="1"/>
      <c r="C43" s="1">
        <v>2</v>
      </c>
      <c r="D43" s="1">
        <v>2</v>
      </c>
      <c r="E43" s="1">
        <v>2</v>
      </c>
      <c r="F43" s="1">
        <v>1</v>
      </c>
      <c r="G43" s="1" t="b">
        <f t="shared" si="0"/>
        <v>1</v>
      </c>
      <c r="H43" s="1" t="b">
        <f t="shared" si="1"/>
        <v>1</v>
      </c>
      <c r="I43" s="1" t="b">
        <f t="shared" si="2"/>
        <v>1</v>
      </c>
      <c r="J43" s="1" t="b">
        <f t="shared" si="3"/>
        <v>1</v>
      </c>
      <c r="K43" s="1" t="b">
        <f t="shared" si="4"/>
        <v>0</v>
      </c>
      <c r="L43" s="1" t="s">
        <v>74</v>
      </c>
    </row>
    <row r="44" spans="1:12" ht="15.75" customHeight="1">
      <c r="B44" s="1" t="s">
        <v>95</v>
      </c>
      <c r="C44" s="1">
        <f t="shared" ref="C44:F44" si="5">SUM(C2:C43)</f>
        <v>210</v>
      </c>
      <c r="D44" s="1">
        <f t="shared" si="5"/>
        <v>68</v>
      </c>
      <c r="E44" s="1">
        <f t="shared" si="5"/>
        <v>49</v>
      </c>
      <c r="F44" s="1">
        <f t="shared" si="5"/>
        <v>16</v>
      </c>
      <c r="G44" s="1">
        <f t="shared" ref="G44:K44" si="6">COUNTIF(G3:G43,"TRUE")</f>
        <v>27</v>
      </c>
      <c r="H44" s="1">
        <f t="shared" si="6"/>
        <v>22</v>
      </c>
      <c r="I44" s="1">
        <f t="shared" si="6"/>
        <v>21</v>
      </c>
      <c r="J44" s="1">
        <f t="shared" si="6"/>
        <v>11</v>
      </c>
      <c r="K44" s="1">
        <f t="shared" si="6"/>
        <v>4</v>
      </c>
      <c r="L44" s="5">
        <f>COUNTA(E3:E43)</f>
        <v>41</v>
      </c>
    </row>
    <row r="45" spans="1:12" ht="15.75" customHeight="1">
      <c r="E45" s="1" t="s">
        <v>3</v>
      </c>
      <c r="F45" s="2"/>
      <c r="G45" s="2">
        <f>G44/L44</f>
        <v>0.65853658536585369</v>
      </c>
      <c r="H45" s="2">
        <f>H44/L44</f>
        <v>0.53658536585365857</v>
      </c>
      <c r="I45" s="2">
        <f>I44/L44</f>
        <v>0.51219512195121952</v>
      </c>
      <c r="J45" s="2">
        <f>J44/L44</f>
        <v>0.26829268292682928</v>
      </c>
      <c r="K45" s="2">
        <f>K44/L44</f>
        <v>9.7560975609756101E-2</v>
      </c>
    </row>
    <row r="46" spans="1:12" ht="15.75" customHeight="1">
      <c r="E46" s="1" t="s">
        <v>96</v>
      </c>
      <c r="F46" s="2"/>
      <c r="G46" s="2"/>
      <c r="H46" s="2">
        <f>H44/G44</f>
        <v>0.81481481481481477</v>
      </c>
      <c r="I46" s="2">
        <f>I44/G44</f>
        <v>0.77777777777777779</v>
      </c>
      <c r="J46" s="2">
        <f>J44/G44</f>
        <v>0.40740740740740738</v>
      </c>
      <c r="K46" s="2">
        <f>K44/G44</f>
        <v>0.14814814814814814</v>
      </c>
    </row>
    <row r="47" spans="1:12" ht="15.75" customHeight="1">
      <c r="E47" s="1" t="s">
        <v>97</v>
      </c>
      <c r="F47" s="2"/>
      <c r="G47" s="2">
        <f>E44/C44</f>
        <v>0.23333333333333334</v>
      </c>
      <c r="H47" s="2">
        <f>E44/D44</f>
        <v>0.72058823529411764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38"/>
  <sheetViews>
    <sheetView workbookViewId="0">
      <selection activeCell="G3" sqref="G3:K34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32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381</v>
      </c>
      <c r="B3" s="1"/>
      <c r="C3" s="1">
        <v>5</v>
      </c>
      <c r="D3" s="1">
        <v>4</v>
      </c>
      <c r="E3" s="1">
        <v>3</v>
      </c>
      <c r="F3" s="1">
        <v>3</v>
      </c>
      <c r="G3" s="1" t="b">
        <f>(D3&gt;0)</f>
        <v>1</v>
      </c>
      <c r="H3" s="1" t="b">
        <f>(E3&gt;0)</f>
        <v>1</v>
      </c>
      <c r="I3" s="1" t="b">
        <f>AND(G3,(D3=E3))</f>
        <v>0</v>
      </c>
      <c r="J3" s="1" t="b">
        <f>(F3&gt;0)</f>
        <v>1</v>
      </c>
      <c r="K3" s="1" t="b">
        <f>AND(I3,(E3=F3))</f>
        <v>0</v>
      </c>
    </row>
    <row r="4" spans="1:11" ht="15.75" customHeight="1">
      <c r="A4" s="1" t="s">
        <v>382</v>
      </c>
      <c r="B4" s="1"/>
      <c r="C4" s="1">
        <v>4</v>
      </c>
      <c r="D4" s="1">
        <v>2</v>
      </c>
      <c r="E4" s="1">
        <v>1</v>
      </c>
      <c r="F4" s="1">
        <v>1</v>
      </c>
      <c r="G4" s="1" t="b">
        <f t="shared" ref="G4:G34" si="0">(D4&gt;0)</f>
        <v>1</v>
      </c>
      <c r="H4" s="1" t="b">
        <f t="shared" ref="H4:H34" si="1">(E4&gt;0)</f>
        <v>1</v>
      </c>
      <c r="I4" s="1" t="b">
        <f t="shared" ref="I4:I34" si="2">AND(G4,(D4=E4))</f>
        <v>0</v>
      </c>
      <c r="J4" s="1" t="b">
        <f t="shared" ref="J4:J34" si="3">(F4&gt;0)</f>
        <v>1</v>
      </c>
      <c r="K4" s="1" t="b">
        <f t="shared" ref="K4:K34" si="4">AND(I4,(E4=F4))</f>
        <v>0</v>
      </c>
    </row>
    <row r="5" spans="1:11" ht="15.75" customHeight="1">
      <c r="A5" s="1" t="s">
        <v>383</v>
      </c>
      <c r="B5" s="1"/>
      <c r="C5" s="1">
        <v>4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384</v>
      </c>
      <c r="B6" s="1"/>
      <c r="C6" s="1">
        <v>3</v>
      </c>
      <c r="D6" s="1">
        <v>2</v>
      </c>
      <c r="E6" s="1">
        <v>2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385</v>
      </c>
      <c r="B7" s="1"/>
      <c r="C7" s="1">
        <v>8</v>
      </c>
      <c r="D7" s="1">
        <v>2</v>
      </c>
      <c r="E7" s="1">
        <v>2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386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387</v>
      </c>
      <c r="B9" s="1"/>
      <c r="C9" s="1">
        <v>5</v>
      </c>
      <c r="D9" s="1">
        <v>3</v>
      </c>
      <c r="E9" s="1">
        <v>3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388</v>
      </c>
      <c r="B10" s="1"/>
      <c r="C10" s="1">
        <v>5</v>
      </c>
      <c r="D10" s="1">
        <v>2</v>
      </c>
      <c r="E10" s="1">
        <v>2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0</v>
      </c>
    </row>
    <row r="11" spans="1:11" ht="15.75" customHeight="1">
      <c r="A11" s="1" t="s">
        <v>389</v>
      </c>
      <c r="B11" s="1"/>
      <c r="C11" s="1">
        <v>7</v>
      </c>
      <c r="D11" s="1">
        <v>3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390</v>
      </c>
      <c r="B12" s="1"/>
      <c r="C12" s="1">
        <v>9</v>
      </c>
      <c r="D12" s="1">
        <v>3</v>
      </c>
      <c r="E12" s="1">
        <v>2</v>
      </c>
      <c r="F12" s="1">
        <v>2</v>
      </c>
      <c r="G12" s="1" t="b">
        <f t="shared" si="0"/>
        <v>1</v>
      </c>
      <c r="H12" s="1" t="b">
        <f t="shared" si="1"/>
        <v>1</v>
      </c>
      <c r="I12" s="1" t="b">
        <f t="shared" si="2"/>
        <v>0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1" t="s">
        <v>391</v>
      </c>
      <c r="B13" s="1"/>
      <c r="C13" s="1">
        <v>7</v>
      </c>
      <c r="D13" s="1">
        <v>5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0</v>
      </c>
      <c r="J13" s="1" t="b">
        <f t="shared" si="3"/>
        <v>1</v>
      </c>
      <c r="K13" s="1" t="b">
        <f t="shared" si="4"/>
        <v>0</v>
      </c>
    </row>
    <row r="14" spans="1:11" ht="15.75" customHeight="1">
      <c r="A14" s="1" t="s">
        <v>392</v>
      </c>
      <c r="B14" s="1"/>
      <c r="C14" s="1">
        <v>3</v>
      </c>
      <c r="D14" s="1">
        <v>2</v>
      </c>
      <c r="E14" s="1">
        <v>2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393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394</v>
      </c>
      <c r="B16" s="1"/>
      <c r="C16" s="1">
        <v>4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1" ht="15.75" customHeight="1">
      <c r="A17" s="1" t="s">
        <v>395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1" ht="15.75" customHeight="1">
      <c r="A18" s="1" t="s">
        <v>396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397</v>
      </c>
      <c r="B19" s="1"/>
      <c r="C19" s="1">
        <v>4</v>
      </c>
      <c r="D19" s="1">
        <v>2</v>
      </c>
      <c r="E19" s="1">
        <v>2</v>
      </c>
      <c r="F19" s="1">
        <v>2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1" ht="15.75" customHeight="1">
      <c r="A20" s="1" t="s">
        <v>398</v>
      </c>
      <c r="B20" s="1"/>
      <c r="C20" s="1">
        <v>5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1" t="s">
        <v>399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400</v>
      </c>
      <c r="B22" s="1"/>
      <c r="C22" s="1">
        <v>6</v>
      </c>
      <c r="D22" s="1">
        <v>4</v>
      </c>
      <c r="E22" s="1">
        <v>4</v>
      </c>
      <c r="F22" s="1">
        <v>4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1" ht="15.75" customHeight="1">
      <c r="A23" s="1" t="s">
        <v>401</v>
      </c>
      <c r="B23" s="1"/>
      <c r="C23" s="1">
        <v>4</v>
      </c>
      <c r="D23" s="1">
        <v>3</v>
      </c>
      <c r="E23" s="1">
        <v>3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0</v>
      </c>
    </row>
    <row r="24" spans="1:11" ht="15.75" customHeight="1">
      <c r="A24" s="1" t="s">
        <v>402</v>
      </c>
      <c r="B24" s="1"/>
      <c r="C24" s="1">
        <v>5</v>
      </c>
      <c r="D24" s="1">
        <v>3</v>
      </c>
      <c r="E24" s="1">
        <v>3</v>
      </c>
      <c r="F24" s="1">
        <v>1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0</v>
      </c>
    </row>
    <row r="25" spans="1:11" ht="15.75" customHeight="1">
      <c r="A25" s="1" t="s">
        <v>403</v>
      </c>
      <c r="B25" s="1"/>
      <c r="C25" s="1">
        <v>2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404</v>
      </c>
      <c r="B26" s="1"/>
      <c r="C26" s="1">
        <v>6</v>
      </c>
      <c r="D26" s="1">
        <v>1</v>
      </c>
      <c r="E26" s="1">
        <v>1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1" t="s">
        <v>405</v>
      </c>
      <c r="B27" s="1"/>
      <c r="C27" s="1">
        <v>7</v>
      </c>
      <c r="D27" s="1">
        <v>2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406</v>
      </c>
      <c r="B28" s="1"/>
      <c r="C28" s="1">
        <v>5</v>
      </c>
      <c r="D28" s="1">
        <v>4</v>
      </c>
      <c r="E28" s="1">
        <v>3</v>
      </c>
      <c r="F28" s="1">
        <v>1</v>
      </c>
      <c r="G28" s="1" t="b">
        <f t="shared" si="0"/>
        <v>1</v>
      </c>
      <c r="H28" s="1" t="b">
        <f t="shared" si="1"/>
        <v>1</v>
      </c>
      <c r="I28" s="1" t="b">
        <f t="shared" si="2"/>
        <v>0</v>
      </c>
      <c r="J28" s="1" t="b">
        <f t="shared" si="3"/>
        <v>1</v>
      </c>
      <c r="K28" s="1" t="b">
        <f t="shared" si="4"/>
        <v>0</v>
      </c>
    </row>
    <row r="29" spans="1:11" ht="15.75" customHeight="1">
      <c r="A29" s="1" t="s">
        <v>407</v>
      </c>
      <c r="B29" s="1"/>
      <c r="C29" s="1">
        <v>6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1" t="s">
        <v>408</v>
      </c>
      <c r="B30" s="1"/>
      <c r="C30" s="1">
        <v>5</v>
      </c>
      <c r="D30" s="1">
        <v>1</v>
      </c>
      <c r="E30" s="1">
        <v>0</v>
      </c>
      <c r="F30" s="1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409</v>
      </c>
      <c r="B31" s="1"/>
      <c r="C31" s="1">
        <v>5</v>
      </c>
      <c r="D31" s="1">
        <v>1</v>
      </c>
      <c r="E31" s="1">
        <v>1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410</v>
      </c>
      <c r="B32" s="1"/>
      <c r="C32" s="1">
        <v>6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1" t="s">
        <v>411</v>
      </c>
      <c r="B33" s="1"/>
      <c r="C33" s="1">
        <v>5</v>
      </c>
      <c r="D33" s="1">
        <v>2</v>
      </c>
      <c r="E33" s="1">
        <v>0</v>
      </c>
      <c r="F33" s="1">
        <v>0</v>
      </c>
      <c r="G33" s="1" t="b">
        <f t="shared" si="0"/>
        <v>1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412</v>
      </c>
      <c r="B34" s="1"/>
      <c r="C34" s="1">
        <v>2</v>
      </c>
      <c r="D34" s="1">
        <v>1</v>
      </c>
      <c r="E34" s="1">
        <v>1</v>
      </c>
      <c r="F34" s="1">
        <v>0</v>
      </c>
      <c r="G34" s="1" t="b">
        <f t="shared" si="0"/>
        <v>1</v>
      </c>
      <c r="H34" s="1" t="b">
        <f t="shared" si="1"/>
        <v>1</v>
      </c>
      <c r="I34" s="1" t="b">
        <f t="shared" si="2"/>
        <v>1</v>
      </c>
      <c r="J34" s="1" t="b">
        <f t="shared" si="3"/>
        <v>0</v>
      </c>
      <c r="K34" s="1" t="b">
        <f t="shared" si="4"/>
        <v>0</v>
      </c>
      <c r="L34" s="1" t="s">
        <v>74</v>
      </c>
    </row>
    <row r="35" spans="1:12" ht="15.75" customHeight="1">
      <c r="B35" s="1" t="s">
        <v>95</v>
      </c>
      <c r="C35" s="1">
        <f t="shared" ref="C35:F35" si="5">SUM(C2:C34)</f>
        <v>164</v>
      </c>
      <c r="D35" s="1">
        <f t="shared" si="5"/>
        <v>56</v>
      </c>
      <c r="E35" s="1">
        <f t="shared" si="5"/>
        <v>40</v>
      </c>
      <c r="F35" s="1">
        <f t="shared" si="5"/>
        <v>20</v>
      </c>
      <c r="G35" s="1">
        <f t="shared" ref="G35:K35" si="6">COUNTIF(G3:G34,"TRUE")</f>
        <v>25</v>
      </c>
      <c r="H35" s="1">
        <f t="shared" si="6"/>
        <v>20</v>
      </c>
      <c r="I35" s="1">
        <f t="shared" si="6"/>
        <v>13</v>
      </c>
      <c r="J35" s="1">
        <f t="shared" si="6"/>
        <v>12</v>
      </c>
      <c r="K35" s="1">
        <f t="shared" si="6"/>
        <v>3</v>
      </c>
      <c r="L35" s="5">
        <f>COUNTA(E3:E34)</f>
        <v>32</v>
      </c>
    </row>
    <row r="36" spans="1:12" ht="15.75" customHeight="1">
      <c r="E36" s="1" t="s">
        <v>3</v>
      </c>
      <c r="F36" s="2"/>
      <c r="G36" s="2">
        <f>G35/L35</f>
        <v>0.78125</v>
      </c>
      <c r="H36" s="2">
        <f>H35/L35</f>
        <v>0.625</v>
      </c>
      <c r="I36" s="2">
        <f>I35/L35</f>
        <v>0.40625</v>
      </c>
      <c r="J36" s="2">
        <f>J35/L35</f>
        <v>0.375</v>
      </c>
      <c r="K36" s="2">
        <f>K35/L35</f>
        <v>9.375E-2</v>
      </c>
    </row>
    <row r="37" spans="1:12" ht="15.75" customHeight="1">
      <c r="E37" s="1" t="s">
        <v>96</v>
      </c>
      <c r="F37" s="2"/>
      <c r="G37" s="2"/>
      <c r="H37" s="2">
        <f>H35/G35</f>
        <v>0.8</v>
      </c>
      <c r="I37" s="2">
        <f>I35/G35</f>
        <v>0.52</v>
      </c>
      <c r="J37" s="2">
        <f>J35/G35</f>
        <v>0.48</v>
      </c>
      <c r="K37" s="2">
        <f>K35/G35</f>
        <v>0.12</v>
      </c>
    </row>
    <row r="38" spans="1:12" ht="15.75" customHeight="1">
      <c r="E38" s="1" t="s">
        <v>97</v>
      </c>
      <c r="F38" s="2"/>
      <c r="G38" s="2">
        <f>E35/C35</f>
        <v>0.24390243902439024</v>
      </c>
      <c r="H38" s="2">
        <f>E35/D35</f>
        <v>0.7142857142857143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36"/>
  <sheetViews>
    <sheetView workbookViewId="0">
      <selection activeCell="G3" sqref="G3:K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A1" s="1" t="s">
        <v>413</v>
      </c>
      <c r="D1" s="1" t="s">
        <v>33</v>
      </c>
      <c r="E1" s="4" t="s">
        <v>34</v>
      </c>
    </row>
    <row r="2" spans="1:11" ht="15.75" customHeight="1">
      <c r="A2" s="1" t="s">
        <v>35</v>
      </c>
      <c r="B2" s="1"/>
      <c r="C2" s="1" t="s">
        <v>36</v>
      </c>
      <c r="D2" s="1" t="s">
        <v>37</v>
      </c>
      <c r="E2" s="1" t="s">
        <v>38</v>
      </c>
      <c r="F2" s="1" t="s">
        <v>9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</row>
    <row r="3" spans="1:11" ht="15.75" customHeight="1">
      <c r="A3" s="1" t="s">
        <v>414</v>
      </c>
      <c r="B3" s="1"/>
      <c r="C3" s="1">
        <v>4</v>
      </c>
      <c r="D3" s="1">
        <v>1</v>
      </c>
      <c r="E3" s="1">
        <v>1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415</v>
      </c>
      <c r="B4" s="1"/>
      <c r="C4" s="1">
        <v>5</v>
      </c>
      <c r="D4" s="1">
        <v>2</v>
      </c>
      <c r="E4" s="1">
        <v>2</v>
      </c>
      <c r="F4" s="1">
        <v>2</v>
      </c>
      <c r="G4" s="1" t="b">
        <f t="shared" ref="G4:G32" si="0">(D4&gt;0)</f>
        <v>1</v>
      </c>
      <c r="H4" s="1" t="b">
        <f t="shared" ref="H4:H32" si="1">(E4&gt;0)</f>
        <v>1</v>
      </c>
      <c r="I4" s="1" t="b">
        <f t="shared" ref="I4:I32" si="2">AND(G4,(D4=E4))</f>
        <v>1</v>
      </c>
      <c r="J4" s="1" t="b">
        <f t="shared" ref="J4:J32" si="3">(F4&gt;0)</f>
        <v>1</v>
      </c>
      <c r="K4" s="1" t="b">
        <f t="shared" ref="K4:K32" si="4">AND(I4,(E4=F4))</f>
        <v>1</v>
      </c>
    </row>
    <row r="5" spans="1:11" ht="15.75" customHeight="1">
      <c r="A5" s="1" t="s">
        <v>416</v>
      </c>
      <c r="B5" s="1"/>
      <c r="C5" s="1">
        <v>4</v>
      </c>
      <c r="D5" s="1">
        <v>3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417</v>
      </c>
      <c r="B6" s="1"/>
      <c r="C6" s="1">
        <v>2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418</v>
      </c>
      <c r="B7" s="1"/>
      <c r="C7" s="1">
        <v>7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419</v>
      </c>
      <c r="B8" s="1"/>
      <c r="C8" s="1">
        <v>8</v>
      </c>
      <c r="D8" s="1">
        <v>8</v>
      </c>
      <c r="E8" s="1">
        <v>8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420</v>
      </c>
      <c r="B9" s="1"/>
      <c r="C9" s="1">
        <v>5</v>
      </c>
      <c r="D9" s="1">
        <v>3</v>
      </c>
      <c r="E9" s="1">
        <v>3</v>
      </c>
      <c r="F9" s="1">
        <v>3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421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422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423</v>
      </c>
      <c r="B12" s="1"/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424</v>
      </c>
      <c r="B13" s="1"/>
      <c r="C13" s="1">
        <v>7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425</v>
      </c>
      <c r="B14" s="1"/>
      <c r="C14" s="1">
        <v>6</v>
      </c>
      <c r="D14" s="1">
        <v>2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426</v>
      </c>
      <c r="B15" s="1"/>
      <c r="C15" s="1">
        <v>8</v>
      </c>
      <c r="D15" s="1">
        <v>2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0</v>
      </c>
      <c r="J15" s="1" t="b">
        <f t="shared" si="3"/>
        <v>1</v>
      </c>
      <c r="K15" s="1" t="b">
        <f t="shared" si="4"/>
        <v>0</v>
      </c>
    </row>
    <row r="16" spans="1:11" ht="15.75" customHeight="1">
      <c r="A16" s="1" t="s">
        <v>427</v>
      </c>
      <c r="B16" s="1"/>
      <c r="C16" s="1">
        <v>7</v>
      </c>
      <c r="D16" s="1">
        <v>7</v>
      </c>
      <c r="E16" s="1">
        <v>4</v>
      </c>
      <c r="F16" s="1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1</v>
      </c>
      <c r="K16" s="1" t="b">
        <f t="shared" si="4"/>
        <v>0</v>
      </c>
    </row>
    <row r="17" spans="1:12" ht="15.75" customHeight="1">
      <c r="A17" s="1" t="s">
        <v>428</v>
      </c>
      <c r="B17" s="1"/>
      <c r="C17" s="1">
        <v>6</v>
      </c>
      <c r="D17" s="1">
        <v>3</v>
      </c>
      <c r="E17" s="1">
        <v>3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429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430</v>
      </c>
      <c r="B19" s="1"/>
      <c r="C19" s="1">
        <v>7</v>
      </c>
      <c r="D19" s="1">
        <v>3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431</v>
      </c>
      <c r="B20" s="1"/>
      <c r="C20" s="1">
        <v>6</v>
      </c>
      <c r="D20" s="1">
        <v>4</v>
      </c>
      <c r="E20" s="1">
        <v>4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432</v>
      </c>
      <c r="B21" s="1"/>
      <c r="C21" s="1">
        <v>5</v>
      </c>
      <c r="D21" s="1">
        <v>1</v>
      </c>
      <c r="E21" s="1">
        <v>1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433</v>
      </c>
      <c r="B22" s="1"/>
      <c r="C22" s="1">
        <v>4</v>
      </c>
      <c r="D22" s="1">
        <v>4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434</v>
      </c>
      <c r="B23" s="1"/>
      <c r="C23" s="1">
        <v>6</v>
      </c>
      <c r="D23" s="1">
        <v>6</v>
      </c>
      <c r="E23" s="1">
        <v>6</v>
      </c>
      <c r="F23" s="1">
        <v>3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0</v>
      </c>
    </row>
    <row r="24" spans="1:12" ht="15.75" customHeight="1">
      <c r="A24" s="1" t="s">
        <v>435</v>
      </c>
      <c r="B24" s="1"/>
      <c r="C24" s="1">
        <v>6</v>
      </c>
      <c r="D24" s="1">
        <v>1</v>
      </c>
      <c r="E24" s="1">
        <v>1</v>
      </c>
      <c r="F24" s="1">
        <v>1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2" ht="15.75" customHeight="1">
      <c r="A25" s="1" t="s">
        <v>436</v>
      </c>
      <c r="B25" s="1"/>
      <c r="C25" s="1">
        <v>4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437</v>
      </c>
      <c r="B26" s="1"/>
      <c r="C26" s="1">
        <v>4</v>
      </c>
      <c r="D26" s="1">
        <v>1</v>
      </c>
      <c r="E26" s="1">
        <v>1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438</v>
      </c>
      <c r="B27" s="1"/>
      <c r="C27" s="1">
        <v>8</v>
      </c>
      <c r="D27" s="1">
        <v>3</v>
      </c>
      <c r="E27" s="1">
        <v>0</v>
      </c>
      <c r="F27" s="1">
        <v>0</v>
      </c>
      <c r="G27" s="1" t="b">
        <f t="shared" si="0"/>
        <v>1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439</v>
      </c>
      <c r="B28" s="1"/>
      <c r="C28" s="1">
        <v>6</v>
      </c>
      <c r="D28" s="1">
        <v>4</v>
      </c>
      <c r="E28" s="1">
        <v>4</v>
      </c>
      <c r="F28" s="1">
        <v>3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0</v>
      </c>
    </row>
    <row r="29" spans="1:12" ht="15.75" customHeight="1">
      <c r="A29" s="1" t="s">
        <v>440</v>
      </c>
      <c r="B29" s="1"/>
      <c r="C29" s="1">
        <v>3</v>
      </c>
      <c r="D29" s="1">
        <v>1</v>
      </c>
      <c r="E29" s="1">
        <v>1</v>
      </c>
      <c r="F29" s="1">
        <v>0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441</v>
      </c>
      <c r="B30" s="1"/>
      <c r="C30" s="1">
        <v>9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442</v>
      </c>
      <c r="B31" s="1"/>
      <c r="C31" s="1">
        <v>4</v>
      </c>
      <c r="D31" s="1">
        <v>2</v>
      </c>
      <c r="E31" s="1">
        <v>0</v>
      </c>
      <c r="F31" s="1">
        <v>0</v>
      </c>
      <c r="G31" s="1" t="b">
        <f t="shared" si="0"/>
        <v>1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443</v>
      </c>
      <c r="B32" s="1"/>
      <c r="C32" s="1">
        <v>2</v>
      </c>
      <c r="D32" s="1">
        <v>2</v>
      </c>
      <c r="E32" s="1">
        <v>2</v>
      </c>
      <c r="F32" s="1">
        <v>2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1</v>
      </c>
      <c r="L32" s="1" t="s">
        <v>74</v>
      </c>
    </row>
    <row r="33" spans="2:12" ht="15.75" customHeight="1">
      <c r="B33" s="1" t="s">
        <v>95</v>
      </c>
      <c r="C33" s="1">
        <f t="shared" ref="C33:F33" si="5">SUM(C2:C32)</f>
        <v>164</v>
      </c>
      <c r="D33" s="1">
        <f t="shared" si="5"/>
        <v>65</v>
      </c>
      <c r="E33" s="1">
        <f t="shared" si="5"/>
        <v>44</v>
      </c>
      <c r="F33" s="1">
        <f t="shared" si="5"/>
        <v>20</v>
      </c>
      <c r="G33" s="1">
        <f t="shared" ref="G33:K33" si="6">COUNTIF(G3:G32,"TRUE")</f>
        <v>22</v>
      </c>
      <c r="H33" s="1">
        <f t="shared" si="6"/>
        <v>16</v>
      </c>
      <c r="I33" s="1">
        <f t="shared" si="6"/>
        <v>13</v>
      </c>
      <c r="J33" s="1">
        <f t="shared" si="6"/>
        <v>11</v>
      </c>
      <c r="K33" s="1">
        <f t="shared" si="6"/>
        <v>7</v>
      </c>
      <c r="L33" s="5">
        <f>COUNTA(E3:E32)</f>
        <v>30</v>
      </c>
    </row>
    <row r="34" spans="2:12" ht="15.75" customHeight="1">
      <c r="E34" s="1" t="s">
        <v>3</v>
      </c>
      <c r="F34" s="2"/>
      <c r="G34" s="2">
        <f>G33/L33</f>
        <v>0.73333333333333328</v>
      </c>
      <c r="H34" s="2">
        <f>H33/L33</f>
        <v>0.53333333333333333</v>
      </c>
      <c r="I34" s="2">
        <f>I33/L33</f>
        <v>0.43333333333333335</v>
      </c>
      <c r="J34" s="2">
        <f>J33/L33</f>
        <v>0.36666666666666664</v>
      </c>
      <c r="K34" s="2">
        <f>K33/L33</f>
        <v>0.23333333333333334</v>
      </c>
    </row>
    <row r="35" spans="2:12" ht="15.75" customHeight="1">
      <c r="E35" s="1" t="s">
        <v>96</v>
      </c>
      <c r="F35" s="2"/>
      <c r="G35" s="2"/>
      <c r="H35" s="2">
        <f>H33/G33</f>
        <v>0.72727272727272729</v>
      </c>
      <c r="I35" s="2">
        <f>I33/G33</f>
        <v>0.59090909090909094</v>
      </c>
      <c r="J35" s="2">
        <f>J33/G33</f>
        <v>0.5</v>
      </c>
      <c r="K35" s="2">
        <f>K33/G33</f>
        <v>0.31818181818181818</v>
      </c>
    </row>
    <row r="36" spans="2:12" ht="15.75" customHeight="1">
      <c r="E36" s="1" t="s">
        <v>97</v>
      </c>
      <c r="F36" s="2"/>
      <c r="G36" s="2">
        <f>E33/C33</f>
        <v>0.26829268292682928</v>
      </c>
      <c r="H36" s="2">
        <f>E33/D33</f>
        <v>0.67692307692307696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2025-06-11T21:07:24Z</dcterms:modified>
</cp:coreProperties>
</file>