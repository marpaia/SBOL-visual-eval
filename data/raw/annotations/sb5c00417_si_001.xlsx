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lukas/Desktop/ACS Supplemental Information/"/>
    </mc:Choice>
  </mc:AlternateContent>
  <xr:revisionPtr revIDLastSave="0" documentId="13_ncr:1_{E36513CD-6149-B24B-9570-E62F73597D91}" xr6:coauthVersionLast="47" xr6:coauthVersionMax="47" xr10:uidLastSave="{00000000-0000-0000-0000-000000000000}"/>
  <bookViews>
    <workbookView xWindow="3260" yWindow="720" windowWidth="41540" windowHeight="22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 l="1"/>
  <c r="I16" i="1"/>
  <c r="F16" i="1"/>
  <c r="G16" i="1"/>
  <c r="H16" i="1"/>
  <c r="J16" i="1"/>
  <c r="K16" i="1"/>
  <c r="B16" i="1"/>
  <c r="C16" i="1"/>
</calcChain>
</file>

<file path=xl/sharedStrings.xml><?xml version="1.0" encoding="utf-8"?>
<sst xmlns="http://schemas.openxmlformats.org/spreadsheetml/2006/main" count="22" uniqueCount="16">
  <si>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</si>
  <si>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</si>
  <si>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</si>
  <si>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</si>
  <si>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</si>
  <si>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</si>
  <si>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</si>
  <si>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</si>
  <si>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</si>
  <si>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All Paper Figures Compliant</t>
  </si>
  <si>
    <t>Part Best</t>
  </si>
  <si>
    <t>All Paper Figures Best Practices</t>
  </si>
  <si>
    <t>% of Figures</t>
  </si>
  <si>
    <t>% Compliant Figures</t>
  </si>
  <si>
    <t>% Best Practices Figures</t>
  </si>
  <si>
    <t>Total articles 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</si>
</sst>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Sheet1!$U$1</c:f>
              <c:strCache>
                <c:ptCount val="1"/>
                <c:pt idx="0">
                  <c:v>% Compliant Figures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Sheet1!$U$2:$U$13</c:f>
              <c:numCache>
                <c:formatCode>0.00%</c:formatCode>
                <c:ptCount val="12"/>
                <c:pt idx="0">
                  <c:v>0.41379310344827502</c:v>
                </c:pt>
                <c:pt idx="1">
                  <c:v>0.61616161616161602</c:v>
                </c:pt>
                <c:pt idx="2">
                  <c:v>0.52380952380952295</c:v>
                </c:pt>
                <c:pt idx="3">
                  <c:v>0.60451977401129897</c:v>
                </c:pt>
                <c:pt idx="4">
                  <c:v>0.62672811059907796</c:v>
                </c:pt>
                <c:pt idx="5">
                  <c:v>0.65614035087719302</c:v>
                </c:pt>
                <c:pt idx="6">
                  <c:v>0.56410256410256399</c:v>
                </c:pt>
                <c:pt idx="7">
                  <c:v>0.50694444444444398</c:v>
                </c:pt>
                <c:pt idx="8">
                  <c:v>0.76049382716049296</c:v>
                </c:pt>
                <c:pt idx="9">
                  <c:v>0.83407079646017701</c:v>
                </c:pt>
                <c:pt idx="10">
                  <c:v>0.808664259927797</c:v>
                </c:pt>
                <c:pt idx="11">
                  <c:v>0.73936170212765895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9-4C4D-938E-0DB6CCCFE67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% Best Practices Figures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Sheet1!$V$2:$V$13</c:f>
              <c:numCache>
                <c:formatCode>0.0%</c:formatCode>
                <c:ptCount val="12"/>
                <c:pt idx="0">
                  <c:v>0.20689655172413701</c:v>
                </c:pt>
                <c:pt idx="1">
                  <c:v>0.36363636363636298</c:v>
                </c:pt>
                <c:pt idx="2">
                  <c:v>0.26190476190476097</c:v>
                </c:pt>
                <c:pt idx="3">
                  <c:v>0.21468926553672299</c:v>
                </c:pt>
                <c:pt idx="4">
                  <c:v>0.41474654377880099</c:v>
                </c:pt>
                <c:pt idx="5">
                  <c:v>0.40350877192982398</c:v>
                </c:pt>
                <c:pt idx="6">
                  <c:v>0.228438228438228</c:v>
                </c:pt>
                <c:pt idx="7">
                  <c:v>0.29166666666666602</c:v>
                </c:pt>
                <c:pt idx="8">
                  <c:v>0.343209876543209</c:v>
                </c:pt>
                <c:pt idx="9">
                  <c:v>0.57522123893805299</c:v>
                </c:pt>
                <c:pt idx="10">
                  <c:v>0.40072202166064902</c:v>
                </c:pt>
                <c:pt idx="11">
                  <c:v>0.364361702127659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59-4C4D-938E-0DB6CCCF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345787"/>
        <c:axId val="1167312497"/>
      </c:scatterChart>
      <c:valAx>
        <c:axId val="1881345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312497"/>
        <c:crosses val="autoZero"/>
        <c:crossBetween val="midCat"/>
      </c:valAx>
      <c:valAx>
        <c:axId val="1167312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13457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Sheet1!$Q$1</c:f>
              <c:strCache>
                <c:ptCount val="1"/>
                <c:pt idx="0">
                  <c:v>All Paper Figures Compliant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Sheet1!$Q$2:$Q$13</c:f>
              <c:numCache>
                <c:formatCode>0.0%</c:formatCode>
                <c:ptCount val="12"/>
                <c:pt idx="0">
                  <c:v>0.34285714285714203</c:v>
                </c:pt>
                <c:pt idx="1">
                  <c:v>0.52941176470588203</c:v>
                </c:pt>
                <c:pt idx="2">
                  <c:v>0.5</c:v>
                </c:pt>
                <c:pt idx="3">
                  <c:v>0.46428571428571402</c:v>
                </c:pt>
                <c:pt idx="4">
                  <c:v>0.55769230769230704</c:v>
                </c:pt>
                <c:pt idx="5">
                  <c:v>0.58823529411764697</c:v>
                </c:pt>
                <c:pt idx="6">
                  <c:v>0.51322751322751303</c:v>
                </c:pt>
                <c:pt idx="7">
                  <c:v>0.422222222222222</c:v>
                </c:pt>
                <c:pt idx="8">
                  <c:v>0.71186440677966101</c:v>
                </c:pt>
                <c:pt idx="9">
                  <c:v>0.79581151832460695</c:v>
                </c:pt>
                <c:pt idx="10">
                  <c:v>0.746835443037974</c:v>
                </c:pt>
                <c:pt idx="11">
                  <c:v>0.71839080459770099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36-1346-9CF9-9CB5BDFC9E3C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All Paper Figures Best Practices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Sheet1!$S$2:$S$13</c:f>
              <c:numCache>
                <c:formatCode>0.0%</c:formatCode>
                <c:ptCount val="12"/>
                <c:pt idx="0">
                  <c:v>0.14285714285714199</c:v>
                </c:pt>
                <c:pt idx="1">
                  <c:v>0.29411764705882298</c:v>
                </c:pt>
                <c:pt idx="2">
                  <c:v>0.22413793103448201</c:v>
                </c:pt>
                <c:pt idx="3">
                  <c:v>0.107142857142857</c:v>
                </c:pt>
                <c:pt idx="4">
                  <c:v>0.33653846153846101</c:v>
                </c:pt>
                <c:pt idx="5">
                  <c:v>0.33088235294117602</c:v>
                </c:pt>
                <c:pt idx="6">
                  <c:v>0.19047619047618999</c:v>
                </c:pt>
                <c:pt idx="7">
                  <c:v>0.22222222222222199</c:v>
                </c:pt>
                <c:pt idx="8">
                  <c:v>0.29378531073446301</c:v>
                </c:pt>
                <c:pt idx="9">
                  <c:v>0.51832460732984298</c:v>
                </c:pt>
                <c:pt idx="10">
                  <c:v>0.29535864978902898</c:v>
                </c:pt>
                <c:pt idx="11">
                  <c:v>0.31609195402298801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36-1346-9CF9-9CB5BDFC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666391"/>
        <c:axId val="1468179534"/>
      </c:scatterChart>
      <c:valAx>
        <c:axId val="9426663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8179534"/>
        <c:crosses val="autoZero"/>
        <c:crossBetween val="midCat"/>
      </c:valAx>
      <c:valAx>
        <c:axId val="146817953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266639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21</xdr:row>
      <xdr:rowOff>114300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114300</xdr:colOff>
      <xdr:row>21</xdr:row>
      <xdr:rowOff>66675</xdr:rowOff>
    </xdr:from>
    <xdr:ext cx="5991225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S27" sqref="S27"/>
    </sheetView>
  </sheetViews>
  <sheetFormatPr baseColWidth="10" defaultColWidth="12.6640625" defaultRowHeight="15.75" customHeight="1" x14ac:dyDescent="0.15"/>
  <cols>
    <col min="1" max="1" width="27.1640625" customWidth="1"/>
    <col min="3" max="3" width="17.6640625" customWidth="1"/>
    <col min="4" max="4" width="17.1640625" customWidth="1"/>
    <col min="20" max="20" width="22.5" customWidth="1"/>
    <col min="21" max="21" width="25" customWidth="1"/>
    <col min="22" max="22" width="29.6640625" customWidth="1"/>
  </cols>
  <sheetData>
    <row r="1" spans="1:2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</v>
      </c>
      <c r="L1" s="2"/>
      <c r="M1" s="2" t="s">
        <v>2</v>
      </c>
      <c r="N1" s="2" t="s">
        <v>5</v>
      </c>
      <c r="O1" s="2" t="s">
        <v>6</v>
      </c>
      <c r="P1" s="2" t="s">
        <v>5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ht="15.75" customHeight="1" x14ac:dyDescent="0.15">
      <c r="A2" s="3">
        <v>2012</v>
      </c>
      <c r="B2" s="3">
        <v>340</v>
      </c>
      <c r="C2" s="3">
        <v>87</v>
      </c>
      <c r="D2" s="3">
        <v>36</v>
      </c>
      <c r="E2" s="3">
        <v>18</v>
      </c>
      <c r="F2" s="3">
        <v>35</v>
      </c>
      <c r="G2" s="3">
        <v>15</v>
      </c>
      <c r="H2" s="3">
        <v>12</v>
      </c>
      <c r="I2" s="3">
        <v>9</v>
      </c>
      <c r="J2" s="3">
        <v>5</v>
      </c>
      <c r="K2" s="3">
        <v>63</v>
      </c>
      <c r="L2" s="3"/>
      <c r="M2" s="4">
        <v>0.55555555555555503</v>
      </c>
      <c r="N2" s="4">
        <v>0.238095238095238</v>
      </c>
      <c r="O2" s="4">
        <v>0.19047619047618999</v>
      </c>
      <c r="P2" s="4">
        <v>0.42857142857142799</v>
      </c>
      <c r="Q2" s="4">
        <v>0.34285714285714203</v>
      </c>
      <c r="R2" s="4">
        <v>0.25714285714285701</v>
      </c>
      <c r="S2" s="4">
        <v>0.14285714285714199</v>
      </c>
      <c r="T2" s="5">
        <v>0.105882352941176</v>
      </c>
      <c r="U2" s="5">
        <v>0.41379310344827502</v>
      </c>
      <c r="V2" s="4">
        <v>0.20689655172413701</v>
      </c>
    </row>
    <row r="3" spans="1:22" ht="15.75" customHeight="1" x14ac:dyDescent="0.15">
      <c r="A3" s="3">
        <v>2013</v>
      </c>
      <c r="B3" s="3">
        <v>408</v>
      </c>
      <c r="C3" s="3">
        <v>99</v>
      </c>
      <c r="D3" s="3">
        <v>61</v>
      </c>
      <c r="E3" s="3">
        <v>36</v>
      </c>
      <c r="F3" s="3">
        <v>51</v>
      </c>
      <c r="G3" s="3">
        <v>32</v>
      </c>
      <c r="H3" s="3">
        <v>27</v>
      </c>
      <c r="I3" s="3">
        <v>18</v>
      </c>
      <c r="J3" s="3">
        <v>15</v>
      </c>
      <c r="K3" s="3">
        <v>80</v>
      </c>
      <c r="L3" s="3"/>
      <c r="M3" s="4">
        <v>0.63749999999999996</v>
      </c>
      <c r="N3" s="4">
        <v>0.4</v>
      </c>
      <c r="O3" s="4">
        <v>0.33750000000000002</v>
      </c>
      <c r="P3" s="4">
        <v>0.62745098039215597</v>
      </c>
      <c r="Q3" s="4">
        <v>0.52941176470588203</v>
      </c>
      <c r="R3" s="4">
        <v>0.35294117647058798</v>
      </c>
      <c r="S3" s="4">
        <v>0.29411764705882298</v>
      </c>
      <c r="T3" s="5">
        <v>0.14950980392156801</v>
      </c>
      <c r="U3" s="5">
        <v>0.61616161616161602</v>
      </c>
      <c r="V3" s="4">
        <v>0.36363636363636298</v>
      </c>
    </row>
    <row r="4" spans="1:22" ht="15.75" customHeight="1" x14ac:dyDescent="0.15">
      <c r="A4" s="3">
        <v>2014</v>
      </c>
      <c r="B4" s="3">
        <v>445</v>
      </c>
      <c r="C4" s="3">
        <v>84</v>
      </c>
      <c r="D4" s="3">
        <v>44</v>
      </c>
      <c r="E4" s="3">
        <v>22</v>
      </c>
      <c r="F4" s="3">
        <v>58</v>
      </c>
      <c r="G4" s="3">
        <v>31</v>
      </c>
      <c r="H4" s="3">
        <v>29</v>
      </c>
      <c r="I4" s="3">
        <v>18</v>
      </c>
      <c r="J4" s="3">
        <v>13</v>
      </c>
      <c r="K4" s="3">
        <v>117</v>
      </c>
      <c r="L4" s="3"/>
      <c r="M4" s="4">
        <v>0.49572649572649502</v>
      </c>
      <c r="N4" s="4">
        <v>0.26495726495726402</v>
      </c>
      <c r="O4" s="4">
        <v>0.24786324786324701</v>
      </c>
      <c r="P4" s="4">
        <v>0.53448275862068895</v>
      </c>
      <c r="Q4" s="4">
        <v>0.5</v>
      </c>
      <c r="R4" s="4">
        <v>0.31034482758620602</v>
      </c>
      <c r="S4" s="4">
        <v>0.22413793103448201</v>
      </c>
      <c r="T4" s="5">
        <v>9.8876404494381995E-2</v>
      </c>
      <c r="U4" s="5">
        <v>0.52380952380952295</v>
      </c>
      <c r="V4" s="4">
        <v>0.26190476190476097</v>
      </c>
    </row>
    <row r="5" spans="1:22" ht="15.75" customHeight="1" x14ac:dyDescent="0.15">
      <c r="A5" s="3">
        <v>2015</v>
      </c>
      <c r="B5" s="3">
        <v>743</v>
      </c>
      <c r="C5" s="3">
        <v>177</v>
      </c>
      <c r="D5" s="3">
        <v>107</v>
      </c>
      <c r="E5" s="3">
        <v>38</v>
      </c>
      <c r="F5" s="3">
        <v>84</v>
      </c>
      <c r="G5" s="3">
        <v>51</v>
      </c>
      <c r="H5" s="3">
        <v>39</v>
      </c>
      <c r="I5" s="3">
        <v>14</v>
      </c>
      <c r="J5" s="3">
        <v>9</v>
      </c>
      <c r="K5" s="3">
        <v>145</v>
      </c>
      <c r="L5" s="3"/>
      <c r="M5" s="4">
        <v>0.57931034482758603</v>
      </c>
      <c r="N5" s="4">
        <v>0.35172413793103402</v>
      </c>
      <c r="O5" s="4">
        <v>0.26896551724137902</v>
      </c>
      <c r="P5" s="4">
        <v>0.60714285714285698</v>
      </c>
      <c r="Q5" s="4">
        <v>0.46428571428571402</v>
      </c>
      <c r="R5" s="4">
        <v>0.16666666666666599</v>
      </c>
      <c r="S5" s="4">
        <v>0.107142857142857</v>
      </c>
      <c r="T5" s="5">
        <v>0.14401076716016101</v>
      </c>
      <c r="U5" s="5">
        <v>0.60451977401129897</v>
      </c>
      <c r="V5" s="4">
        <v>0.21468926553672299</v>
      </c>
    </row>
    <row r="6" spans="1:22" ht="15.75" customHeight="1" x14ac:dyDescent="0.15">
      <c r="A6" s="3">
        <v>2016</v>
      </c>
      <c r="B6" s="3">
        <v>886</v>
      </c>
      <c r="C6" s="3">
        <v>217</v>
      </c>
      <c r="D6" s="3">
        <v>136</v>
      </c>
      <c r="E6" s="3">
        <v>90</v>
      </c>
      <c r="F6" s="3">
        <v>104</v>
      </c>
      <c r="G6" s="3">
        <v>69</v>
      </c>
      <c r="H6" s="3">
        <v>58</v>
      </c>
      <c r="I6" s="3">
        <v>46</v>
      </c>
      <c r="J6" s="3">
        <v>35</v>
      </c>
      <c r="K6" s="3">
        <v>169</v>
      </c>
      <c r="L6" s="3"/>
      <c r="M6" s="4">
        <v>0.61538461538461497</v>
      </c>
      <c r="N6" s="4">
        <v>0.40828402366863897</v>
      </c>
      <c r="O6" s="4">
        <v>0.34319526627218899</v>
      </c>
      <c r="P6" s="4">
        <v>0.66346153846153799</v>
      </c>
      <c r="Q6" s="4">
        <v>0.55769230769230704</v>
      </c>
      <c r="R6" s="4">
        <v>0.44230769230769201</v>
      </c>
      <c r="S6" s="4">
        <v>0.33653846153846101</v>
      </c>
      <c r="T6" s="5">
        <v>0.15349887133182799</v>
      </c>
      <c r="U6" s="5">
        <v>0.62672811059907796</v>
      </c>
      <c r="V6" s="4">
        <v>0.41474654377880099</v>
      </c>
    </row>
    <row r="7" spans="1:22" ht="15.75" customHeight="1" x14ac:dyDescent="0.15">
      <c r="A7" s="3">
        <v>2017</v>
      </c>
      <c r="B7" s="3">
        <v>1266</v>
      </c>
      <c r="C7" s="3">
        <v>285</v>
      </c>
      <c r="D7" s="3">
        <v>187</v>
      </c>
      <c r="E7" s="3">
        <v>115</v>
      </c>
      <c r="F7" s="3">
        <v>136</v>
      </c>
      <c r="G7" s="3">
        <v>97</v>
      </c>
      <c r="H7" s="3">
        <v>80</v>
      </c>
      <c r="I7" s="3">
        <v>62</v>
      </c>
      <c r="J7" s="3">
        <v>45</v>
      </c>
      <c r="K7" s="3">
        <v>242</v>
      </c>
      <c r="L7" s="3"/>
      <c r="M7" s="4">
        <v>0.56198347107437996</v>
      </c>
      <c r="N7" s="4">
        <v>0.40082644628099101</v>
      </c>
      <c r="O7" s="4">
        <v>0.330578512396694</v>
      </c>
      <c r="P7" s="4">
        <v>0.71323529411764697</v>
      </c>
      <c r="Q7" s="4">
        <v>0.58823529411764697</v>
      </c>
      <c r="R7" s="4">
        <v>0.45588235294117602</v>
      </c>
      <c r="S7" s="4">
        <v>0.33088235294117602</v>
      </c>
      <c r="T7" s="5">
        <v>0.14770932069510201</v>
      </c>
      <c r="U7" s="5">
        <v>0.65614035087719302</v>
      </c>
      <c r="V7" s="4">
        <v>0.40350877192982398</v>
      </c>
    </row>
    <row r="8" spans="1:22" ht="15.75" customHeight="1" x14ac:dyDescent="0.15">
      <c r="A8" s="3">
        <v>2018</v>
      </c>
      <c r="B8" s="3">
        <v>1615</v>
      </c>
      <c r="C8" s="3">
        <v>429</v>
      </c>
      <c r="D8" s="3">
        <v>242</v>
      </c>
      <c r="E8" s="3">
        <v>98</v>
      </c>
      <c r="F8" s="3">
        <v>189</v>
      </c>
      <c r="G8" s="3">
        <v>120</v>
      </c>
      <c r="H8" s="3">
        <v>97</v>
      </c>
      <c r="I8" s="3">
        <v>72</v>
      </c>
      <c r="J8" s="3">
        <v>36</v>
      </c>
      <c r="K8" s="3">
        <v>305</v>
      </c>
      <c r="L8" s="3"/>
      <c r="M8" s="4">
        <v>0.61967213114754005</v>
      </c>
      <c r="N8" s="4">
        <v>0.393442622950819</v>
      </c>
      <c r="O8" s="4">
        <v>0.318032786885245</v>
      </c>
      <c r="P8" s="4">
        <v>0.634920634920634</v>
      </c>
      <c r="Q8" s="4">
        <v>0.51322751322751303</v>
      </c>
      <c r="R8" s="4">
        <v>0.38095238095237999</v>
      </c>
      <c r="S8" s="4">
        <v>0.19047619047618999</v>
      </c>
      <c r="T8" s="5">
        <v>0.14984520123839001</v>
      </c>
      <c r="U8" s="5">
        <v>0.56410256410256399</v>
      </c>
      <c r="V8" s="4">
        <v>0.228438228438228</v>
      </c>
    </row>
    <row r="9" spans="1:22" ht="15.75" customHeight="1" x14ac:dyDescent="0.15">
      <c r="A9" s="3">
        <v>2019</v>
      </c>
      <c r="B9" s="3">
        <v>1512</v>
      </c>
      <c r="C9" s="3">
        <v>432</v>
      </c>
      <c r="D9" s="3">
        <v>219</v>
      </c>
      <c r="E9" s="3">
        <v>126</v>
      </c>
      <c r="F9" s="3">
        <v>180</v>
      </c>
      <c r="G9" s="3">
        <v>96</v>
      </c>
      <c r="H9" s="3">
        <v>76</v>
      </c>
      <c r="I9" s="3">
        <v>55</v>
      </c>
      <c r="J9" s="3">
        <v>40</v>
      </c>
      <c r="K9" s="3">
        <v>286</v>
      </c>
      <c r="L9" s="3"/>
      <c r="M9" s="4">
        <v>0.62937062937062904</v>
      </c>
      <c r="N9" s="4">
        <v>0.33566433566433501</v>
      </c>
      <c r="O9" s="4">
        <v>0.26573426573426501</v>
      </c>
      <c r="P9" s="4">
        <v>0.53333333333333299</v>
      </c>
      <c r="Q9" s="4">
        <v>0.422222222222222</v>
      </c>
      <c r="R9" s="4">
        <v>0.30555555555555503</v>
      </c>
      <c r="S9" s="4">
        <v>0.22222222222222199</v>
      </c>
      <c r="T9" s="5">
        <v>0.14484126984126899</v>
      </c>
      <c r="U9" s="5">
        <v>0.50694444444444398</v>
      </c>
      <c r="V9" s="4">
        <v>0.29166666666666602</v>
      </c>
    </row>
    <row r="10" spans="1:22" ht="15.75" customHeight="1" x14ac:dyDescent="0.15">
      <c r="A10" s="3">
        <v>2020</v>
      </c>
      <c r="B10" s="3">
        <v>1649</v>
      </c>
      <c r="C10" s="3">
        <v>405</v>
      </c>
      <c r="D10" s="3">
        <v>308</v>
      </c>
      <c r="E10" s="3">
        <v>139</v>
      </c>
      <c r="F10" s="3">
        <v>177</v>
      </c>
      <c r="G10" s="3">
        <v>137</v>
      </c>
      <c r="H10" s="3">
        <v>126</v>
      </c>
      <c r="I10" s="3">
        <v>68</v>
      </c>
      <c r="J10" s="3">
        <v>52</v>
      </c>
      <c r="K10" s="3">
        <v>311</v>
      </c>
      <c r="L10" s="3"/>
      <c r="M10" s="4">
        <v>0.56913183279742696</v>
      </c>
      <c r="N10" s="4">
        <v>0.44051446945337602</v>
      </c>
      <c r="O10" s="4">
        <v>0.40514469453376201</v>
      </c>
      <c r="P10" s="4">
        <v>0.774011299435028</v>
      </c>
      <c r="Q10" s="4">
        <v>0.71186440677966101</v>
      </c>
      <c r="R10" s="4">
        <v>0.38418079096045199</v>
      </c>
      <c r="S10" s="4">
        <v>0.29378531073446301</v>
      </c>
      <c r="T10" s="5">
        <v>0.186779866585809</v>
      </c>
      <c r="U10" s="5">
        <v>0.76049382716049296</v>
      </c>
      <c r="V10" s="4">
        <v>0.343209876543209</v>
      </c>
    </row>
    <row r="11" spans="1:22" ht="15.75" customHeight="1" x14ac:dyDescent="0.15">
      <c r="A11" s="3">
        <v>2021</v>
      </c>
      <c r="B11" s="3">
        <v>1679</v>
      </c>
      <c r="C11" s="3">
        <v>452</v>
      </c>
      <c r="D11" s="3">
        <v>377</v>
      </c>
      <c r="E11" s="3">
        <v>260</v>
      </c>
      <c r="F11" s="3">
        <v>191</v>
      </c>
      <c r="G11" s="3">
        <v>160</v>
      </c>
      <c r="H11" s="3">
        <v>152</v>
      </c>
      <c r="I11" s="3">
        <v>112</v>
      </c>
      <c r="J11" s="3">
        <v>99</v>
      </c>
      <c r="K11" s="3">
        <v>314</v>
      </c>
      <c r="L11" s="3"/>
      <c r="M11" s="4">
        <v>0.60828025477707004</v>
      </c>
      <c r="N11" s="4">
        <v>0.50955414012738798</v>
      </c>
      <c r="O11" s="4">
        <v>0.484076433121019</v>
      </c>
      <c r="P11" s="4">
        <v>0.83769633507853403</v>
      </c>
      <c r="Q11" s="4">
        <v>0.79581151832460695</v>
      </c>
      <c r="R11" s="4">
        <v>0.586387434554973</v>
      </c>
      <c r="S11" s="4">
        <v>0.51832460732984298</v>
      </c>
      <c r="T11" s="5">
        <v>0.224538415723645</v>
      </c>
      <c r="U11" s="5">
        <v>0.83407079646017701</v>
      </c>
      <c r="V11" s="4">
        <v>0.57522123893805299</v>
      </c>
    </row>
    <row r="12" spans="1:22" ht="15.75" customHeight="1" x14ac:dyDescent="0.15">
      <c r="A12" s="3">
        <v>2022</v>
      </c>
      <c r="B12" s="3">
        <v>1872</v>
      </c>
      <c r="C12" s="3">
        <v>554</v>
      </c>
      <c r="D12" s="3">
        <v>448</v>
      </c>
      <c r="E12" s="3">
        <v>222</v>
      </c>
      <c r="F12" s="3">
        <v>237</v>
      </c>
      <c r="G12" s="3">
        <v>199</v>
      </c>
      <c r="H12" s="3">
        <v>177</v>
      </c>
      <c r="I12" s="3">
        <v>109</v>
      </c>
      <c r="J12" s="3">
        <v>70</v>
      </c>
      <c r="K12" s="3">
        <v>355</v>
      </c>
      <c r="L12" s="3"/>
      <c r="M12" s="4">
        <v>0.66760563380281601</v>
      </c>
      <c r="N12" s="4">
        <v>0.56056338028168995</v>
      </c>
      <c r="O12" s="4">
        <v>0.49859154929577398</v>
      </c>
      <c r="P12" s="4">
        <v>0.83966244725738304</v>
      </c>
      <c r="Q12" s="4">
        <v>0.746835443037974</v>
      </c>
      <c r="R12" s="4">
        <v>0.45991561181434598</v>
      </c>
      <c r="S12" s="4">
        <v>0.29535864978902898</v>
      </c>
      <c r="T12" s="5">
        <v>0.23931623931623899</v>
      </c>
      <c r="U12" s="5">
        <v>0.808664259927797</v>
      </c>
      <c r="V12" s="4">
        <v>0.40072202166064902</v>
      </c>
    </row>
    <row r="13" spans="1:22" ht="15.75" customHeight="1" x14ac:dyDescent="0.15">
      <c r="A13" s="3">
        <v>2023</v>
      </c>
      <c r="B13" s="3">
        <v>1714</v>
      </c>
      <c r="C13" s="3">
        <v>376</v>
      </c>
      <c r="D13" s="3">
        <v>278</v>
      </c>
      <c r="E13" s="3">
        <v>137</v>
      </c>
      <c r="F13" s="3">
        <v>174</v>
      </c>
      <c r="G13" s="3">
        <v>137</v>
      </c>
      <c r="H13" s="3">
        <v>125</v>
      </c>
      <c r="I13" s="3">
        <v>71</v>
      </c>
      <c r="J13" s="3">
        <v>55</v>
      </c>
      <c r="K13" s="3">
        <v>331</v>
      </c>
      <c r="L13" s="3"/>
      <c r="M13" s="4">
        <v>0.52567975830815705</v>
      </c>
      <c r="N13" s="4">
        <v>0.41389728096676698</v>
      </c>
      <c r="O13" s="4">
        <v>0.37764350453172202</v>
      </c>
      <c r="P13" s="4">
        <v>0.78735632183908</v>
      </c>
      <c r="Q13" s="4">
        <v>0.71839080459770099</v>
      </c>
      <c r="R13" s="4">
        <v>0.40804597701149398</v>
      </c>
      <c r="S13" s="4">
        <v>0.31609195402298801</v>
      </c>
      <c r="T13" s="5">
        <v>0.16219369894982399</v>
      </c>
      <c r="U13" s="5">
        <v>0.73936170212765895</v>
      </c>
      <c r="V13" s="4">
        <v>0.364361702127659</v>
      </c>
    </row>
    <row r="16" spans="1:22" ht="15.75" customHeight="1" x14ac:dyDescent="0.15">
      <c r="A16" s="3" t="s">
        <v>15</v>
      </c>
      <c r="B16" s="3">
        <f t="shared" ref="B16:K16" si="0">SUM(B2:B13)</f>
        <v>14129</v>
      </c>
      <c r="C16" s="3">
        <f t="shared" si="0"/>
        <v>3597</v>
      </c>
      <c r="D16" s="3">
        <f t="shared" si="0"/>
        <v>2443</v>
      </c>
      <c r="E16" s="3">
        <f t="shared" si="0"/>
        <v>1301</v>
      </c>
      <c r="F16" s="3">
        <f t="shared" si="0"/>
        <v>1616</v>
      </c>
      <c r="G16" s="3">
        <f t="shared" si="0"/>
        <v>1144</v>
      </c>
      <c r="H16" s="3">
        <f t="shared" si="0"/>
        <v>998</v>
      </c>
      <c r="I16" s="3">
        <f t="shared" si="0"/>
        <v>654</v>
      </c>
      <c r="J16" s="3">
        <f t="shared" si="0"/>
        <v>474</v>
      </c>
      <c r="K16" s="3">
        <f t="shared" si="0"/>
        <v>2718</v>
      </c>
    </row>
    <row r="17" spans="11:11" ht="15.75" customHeight="1" x14ac:dyDescent="0.15">
      <c r="K1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Buecherl</cp:lastModifiedBy>
  <dcterms:modified xsi:type="dcterms:W3CDTF">2025-06-09T23:29:13Z</dcterms:modified>
</cp:coreProperties>
</file>