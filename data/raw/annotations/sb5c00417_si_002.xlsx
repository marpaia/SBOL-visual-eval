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7EA68B8A-F807-0046-A580-F881E43623E8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K5" i="13" s="1"/>
  <c r="J5" i="13"/>
  <c r="G6" i="13"/>
  <c r="H6" i="13"/>
  <c r="I6" i="13"/>
  <c r="J6" i="13"/>
  <c r="K6" i="13"/>
  <c r="G7" i="13"/>
  <c r="H7" i="13"/>
  <c r="I7" i="13"/>
  <c r="J7" i="13"/>
  <c r="K7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4" i="10"/>
  <c r="H4" i="10"/>
  <c r="I4" i="10"/>
  <c r="J4" i="10"/>
  <c r="K4" i="10"/>
  <c r="G5" i="10"/>
  <c r="H5" i="10"/>
  <c r="I5" i="10"/>
  <c r="K5" i="10" s="1"/>
  <c r="J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J3" i="9"/>
  <c r="H3" i="9"/>
  <c r="G3" i="9"/>
  <c r="I3" i="9" s="1"/>
  <c r="K3" i="9" s="1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K3" i="8"/>
  <c r="I3" i="8"/>
  <c r="J3" i="8"/>
  <c r="H3" i="8"/>
  <c r="G3" i="8"/>
  <c r="G4" i="7"/>
  <c r="H4" i="7"/>
  <c r="I4" i="7"/>
  <c r="K4" i="7" s="1"/>
  <c r="J4" i="7"/>
  <c r="G5" i="7"/>
  <c r="I5" i="7" s="1"/>
  <c r="K5" i="7" s="1"/>
  <c r="H5" i="7"/>
  <c r="J5" i="7"/>
  <c r="G6" i="7"/>
  <c r="H6" i="7"/>
  <c r="I6" i="7"/>
  <c r="J6" i="7"/>
  <c r="K6" i="7"/>
  <c r="G7" i="7"/>
  <c r="I7" i="7" s="1"/>
  <c r="K7" i="7" s="1"/>
  <c r="H7" i="7"/>
  <c r="J7" i="7"/>
  <c r="K3" i="7"/>
  <c r="J3" i="7"/>
  <c r="I3" i="7"/>
  <c r="H3" i="7"/>
  <c r="G3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K3" i="6"/>
  <c r="I3" i="6"/>
  <c r="J3" i="6"/>
  <c r="H3" i="6"/>
  <c r="G3" i="6"/>
  <c r="I4" i="5"/>
  <c r="J4" i="5"/>
  <c r="K4" i="5"/>
  <c r="I5" i="5"/>
  <c r="J5" i="5"/>
  <c r="K5" i="5"/>
  <c r="I6" i="5"/>
  <c r="K6" i="5" s="1"/>
  <c r="J6" i="5"/>
  <c r="K3" i="5"/>
  <c r="J3" i="5"/>
  <c r="I3" i="5"/>
  <c r="G4" i="5"/>
  <c r="H4" i="5"/>
  <c r="G5" i="5"/>
  <c r="H5" i="5"/>
  <c r="G6" i="5"/>
  <c r="H6" i="5"/>
  <c r="H3" i="5"/>
  <c r="G3" i="5"/>
  <c r="G4" i="4"/>
  <c r="H4" i="4"/>
  <c r="I4" i="4"/>
  <c r="J4" i="4"/>
  <c r="K4" i="4"/>
  <c r="G5" i="4"/>
  <c r="I5" i="4" s="1"/>
  <c r="K5" i="4" s="1"/>
  <c r="H5" i="4"/>
  <c r="J5" i="4"/>
  <c r="G6" i="4"/>
  <c r="H6" i="4"/>
  <c r="I6" i="4"/>
  <c r="J6" i="4"/>
  <c r="K6" i="4"/>
  <c r="K3" i="4"/>
  <c r="J3" i="4"/>
  <c r="I3" i="4"/>
  <c r="H3" i="4"/>
  <c r="G3" i="4"/>
  <c r="I4" i="3"/>
  <c r="J4" i="3"/>
  <c r="K4" i="3"/>
  <c r="I5" i="3"/>
  <c r="J5" i="3"/>
  <c r="K5" i="3"/>
  <c r="I6" i="3"/>
  <c r="J6" i="3"/>
  <c r="K6" i="3"/>
  <c r="K3" i="3"/>
  <c r="J3" i="3"/>
  <c r="I3" i="3"/>
  <c r="G4" i="3"/>
  <c r="H4" i="3"/>
  <c r="G5" i="3"/>
  <c r="H5" i="3"/>
  <c r="G6" i="3"/>
  <c r="H6" i="3"/>
  <c r="H3" i="3"/>
  <c r="G3" i="3"/>
  <c r="J4" i="2"/>
  <c r="K4" i="2"/>
  <c r="J5" i="2"/>
  <c r="K5" i="2"/>
  <c r="J6" i="2"/>
  <c r="K6" i="2"/>
  <c r="J7" i="2"/>
  <c r="K7" i="2"/>
  <c r="K3" i="2"/>
  <c r="J3" i="2"/>
  <c r="I4" i="2"/>
  <c r="I5" i="2"/>
  <c r="I6" i="2"/>
  <c r="I7" i="2"/>
  <c r="I3" i="2"/>
  <c r="H4" i="2"/>
  <c r="H5" i="2"/>
  <c r="H6" i="2"/>
  <c r="H7" i="2"/>
  <c r="H3" i="2"/>
  <c r="G4" i="2"/>
  <c r="G5" i="2"/>
  <c r="G6" i="2"/>
  <c r="G7" i="2"/>
  <c r="G3" i="2"/>
  <c r="L8" i="13"/>
  <c r="F8" i="13"/>
  <c r="E14" i="1" s="1"/>
  <c r="E8" i="13"/>
  <c r="D8" i="13"/>
  <c r="C8" i="13"/>
  <c r="H12" i="12"/>
  <c r="G12" i="12"/>
  <c r="L9" i="12"/>
  <c r="F9" i="12"/>
  <c r="E9" i="12"/>
  <c r="D9" i="12"/>
  <c r="C9" i="12"/>
  <c r="G12" i="11"/>
  <c r="L9" i="11"/>
  <c r="K12" i="1" s="1"/>
  <c r="F9" i="11"/>
  <c r="E9" i="11"/>
  <c r="D9" i="11"/>
  <c r="H12" i="11" s="1"/>
  <c r="C9" i="11"/>
  <c r="G12" i="10"/>
  <c r="L9" i="10"/>
  <c r="F9" i="10"/>
  <c r="E11" i="1" s="1"/>
  <c r="E9" i="10"/>
  <c r="H12" i="10" s="1"/>
  <c r="D9" i="10"/>
  <c r="C9" i="10"/>
  <c r="L10" i="9"/>
  <c r="F10" i="9"/>
  <c r="E10" i="1" s="1"/>
  <c r="E10" i="9"/>
  <c r="G13" i="9" s="1"/>
  <c r="D10" i="9"/>
  <c r="C10" i="1" s="1"/>
  <c r="C10" i="9"/>
  <c r="H11" i="8"/>
  <c r="L8" i="8"/>
  <c r="F8" i="8"/>
  <c r="E8" i="8"/>
  <c r="D8" i="8"/>
  <c r="C8" i="8"/>
  <c r="G11" i="8" s="1"/>
  <c r="L8" i="7"/>
  <c r="F8" i="7"/>
  <c r="E8" i="1" s="1"/>
  <c r="E8" i="7"/>
  <c r="D8" i="7"/>
  <c r="C8" i="7"/>
  <c r="L9" i="6"/>
  <c r="F9" i="6"/>
  <c r="E9" i="6"/>
  <c r="H12" i="6" s="1"/>
  <c r="D9" i="6"/>
  <c r="C9" i="6"/>
  <c r="H10" i="5"/>
  <c r="G10" i="5"/>
  <c r="L7" i="5"/>
  <c r="F7" i="5"/>
  <c r="E6" i="1" s="1"/>
  <c r="V6" i="1" s="1"/>
  <c r="E7" i="5"/>
  <c r="D7" i="5"/>
  <c r="C7" i="5"/>
  <c r="B6" i="1" s="1"/>
  <c r="H10" i="4"/>
  <c r="L7" i="4"/>
  <c r="F7" i="4"/>
  <c r="E5" i="1" s="1"/>
  <c r="E7" i="4"/>
  <c r="D7" i="4"/>
  <c r="C5" i="1" s="1"/>
  <c r="C7" i="4"/>
  <c r="L7" i="3"/>
  <c r="F7" i="3"/>
  <c r="E4" i="1" s="1"/>
  <c r="E7" i="3"/>
  <c r="D7" i="3"/>
  <c r="C7" i="3"/>
  <c r="L8" i="2"/>
  <c r="F8" i="2"/>
  <c r="E3" i="1" s="1"/>
  <c r="E15" i="1" s="1"/>
  <c r="E8" i="2"/>
  <c r="D8" i="2"/>
  <c r="C8" i="2"/>
  <c r="V14" i="1"/>
  <c r="K14" i="1"/>
  <c r="D14" i="1"/>
  <c r="U14" i="1" s="1"/>
  <c r="C14" i="1"/>
  <c r="B14" i="1"/>
  <c r="V13" i="1"/>
  <c r="K13" i="1"/>
  <c r="E13" i="1"/>
  <c r="D13" i="1"/>
  <c r="U13" i="1" s="1"/>
  <c r="C13" i="1"/>
  <c r="B13" i="1"/>
  <c r="E12" i="1"/>
  <c r="D12" i="1"/>
  <c r="T12" i="1" s="1"/>
  <c r="C12" i="1"/>
  <c r="V12" i="1" s="1"/>
  <c r="B12" i="1"/>
  <c r="K11" i="1"/>
  <c r="C11" i="1"/>
  <c r="V11" i="1" s="1"/>
  <c r="B11" i="1"/>
  <c r="K10" i="1"/>
  <c r="D10" i="1"/>
  <c r="T10" i="1" s="1"/>
  <c r="B10" i="1"/>
  <c r="U9" i="1"/>
  <c r="K9" i="1"/>
  <c r="E9" i="1"/>
  <c r="D9" i="1"/>
  <c r="C9" i="1"/>
  <c r="V9" i="1" s="1"/>
  <c r="B9" i="1"/>
  <c r="U8" i="1"/>
  <c r="K8" i="1"/>
  <c r="D8" i="1"/>
  <c r="C8" i="1"/>
  <c r="V8" i="1" s="1"/>
  <c r="B8" i="1"/>
  <c r="E7" i="1"/>
  <c r="C7" i="1"/>
  <c r="V7" i="1" s="1"/>
  <c r="B7" i="1"/>
  <c r="K6" i="1"/>
  <c r="D6" i="1"/>
  <c r="C6" i="1"/>
  <c r="K5" i="1"/>
  <c r="B5" i="1"/>
  <c r="K4" i="1"/>
  <c r="C4" i="1"/>
  <c r="V4" i="1" s="1"/>
  <c r="B4" i="1"/>
  <c r="K3" i="1"/>
  <c r="D3" i="1"/>
  <c r="T3" i="1" s="1"/>
  <c r="C3" i="1"/>
  <c r="C15" i="1" s="1"/>
  <c r="B3" i="1"/>
  <c r="H9" i="12" l="1"/>
  <c r="H10" i="12" s="1"/>
  <c r="H7" i="4"/>
  <c r="H8" i="4" s="1"/>
  <c r="G8" i="2"/>
  <c r="G9" i="2" s="1"/>
  <c r="K8" i="8"/>
  <c r="K9" i="8" s="1"/>
  <c r="G9" i="10"/>
  <c r="F11" i="1" s="1"/>
  <c r="M11" i="1" s="1"/>
  <c r="J8" i="8"/>
  <c r="J9" i="8" s="1"/>
  <c r="I8" i="2"/>
  <c r="I9" i="2" s="1"/>
  <c r="J10" i="9"/>
  <c r="J11" i="9" s="1"/>
  <c r="G7" i="4"/>
  <c r="F5" i="1" s="1"/>
  <c r="M5" i="1" s="1"/>
  <c r="H9" i="6"/>
  <c r="G7" i="1" s="1"/>
  <c r="G10" i="9"/>
  <c r="F10" i="1" s="1"/>
  <c r="M10" i="1" s="1"/>
  <c r="H8" i="2"/>
  <c r="G7" i="3"/>
  <c r="G8" i="3" s="1"/>
  <c r="I8" i="7"/>
  <c r="I9" i="7" s="1"/>
  <c r="J9" i="6"/>
  <c r="I7" i="1" s="1"/>
  <c r="I9" i="6"/>
  <c r="H7" i="1" s="1"/>
  <c r="J9" i="12"/>
  <c r="I13" i="1" s="1"/>
  <c r="H7" i="5"/>
  <c r="H8" i="5" s="1"/>
  <c r="K9" i="6"/>
  <c r="J7" i="1" s="1"/>
  <c r="K9" i="12"/>
  <c r="K10" i="12" s="1"/>
  <c r="G8" i="13"/>
  <c r="F14" i="1" s="1"/>
  <c r="M14" i="1" s="1"/>
  <c r="J8" i="7"/>
  <c r="J9" i="7" s="1"/>
  <c r="K9" i="11"/>
  <c r="J12" i="1" s="1"/>
  <c r="I7" i="5"/>
  <c r="I8" i="5" s="1"/>
  <c r="K10" i="9"/>
  <c r="K11" i="9" s="1"/>
  <c r="H8" i="8"/>
  <c r="G9" i="1" s="1"/>
  <c r="G9" i="6"/>
  <c r="F7" i="1" s="1"/>
  <c r="G9" i="11"/>
  <c r="H7" i="3"/>
  <c r="H8" i="13"/>
  <c r="G14" i="1" s="1"/>
  <c r="I7" i="3"/>
  <c r="K7" i="4"/>
  <c r="J9" i="10"/>
  <c r="J10" i="10" s="1"/>
  <c r="I8" i="13"/>
  <c r="H14" i="1" s="1"/>
  <c r="I7" i="4"/>
  <c r="I8" i="4" s="1"/>
  <c r="H9" i="10"/>
  <c r="H10" i="10" s="1"/>
  <c r="G8" i="7"/>
  <c r="I8" i="8"/>
  <c r="I9" i="8" s="1"/>
  <c r="I9" i="11"/>
  <c r="J7" i="4"/>
  <c r="J8" i="4" s="1"/>
  <c r="K8" i="7"/>
  <c r="G8" i="8"/>
  <c r="F9" i="1" s="1"/>
  <c r="M9" i="1" s="1"/>
  <c r="I9" i="10"/>
  <c r="I10" i="9"/>
  <c r="K8" i="13"/>
  <c r="J14" i="1" s="1"/>
  <c r="G7" i="5"/>
  <c r="F6" i="1" s="1"/>
  <c r="M6" i="1" s="1"/>
  <c r="H8" i="7"/>
  <c r="H9" i="7" s="1"/>
  <c r="H10" i="9"/>
  <c r="H11" i="9" s="1"/>
  <c r="K7" i="3"/>
  <c r="J4" i="1" s="1"/>
  <c r="J8" i="2"/>
  <c r="I3" i="1" s="1"/>
  <c r="G9" i="12"/>
  <c r="V5" i="1"/>
  <c r="B15" i="1"/>
  <c r="V15" i="1"/>
  <c r="V10" i="1"/>
  <c r="V3" i="1"/>
  <c r="T6" i="1"/>
  <c r="J7" i="5"/>
  <c r="U12" i="1"/>
  <c r="K7" i="5"/>
  <c r="U3" i="1"/>
  <c r="D7" i="1"/>
  <c r="D11" i="1"/>
  <c r="H11" i="2"/>
  <c r="G11" i="2"/>
  <c r="H13" i="9"/>
  <c r="H10" i="3"/>
  <c r="G10" i="3"/>
  <c r="H11" i="13"/>
  <c r="G11" i="13"/>
  <c r="T8" i="1"/>
  <c r="T13" i="1"/>
  <c r="T14" i="1"/>
  <c r="J7" i="3"/>
  <c r="D4" i="1"/>
  <c r="D15" i="1" s="1"/>
  <c r="K7" i="1"/>
  <c r="T9" i="1"/>
  <c r="G10" i="4"/>
  <c r="H11" i="7"/>
  <c r="G11" i="7"/>
  <c r="G13" i="1"/>
  <c r="K8" i="2"/>
  <c r="H9" i="11"/>
  <c r="G12" i="6"/>
  <c r="K9" i="10"/>
  <c r="J9" i="11"/>
  <c r="I9" i="12"/>
  <c r="J8" i="13"/>
  <c r="D5" i="1"/>
  <c r="U6" i="1"/>
  <c r="U10" i="1"/>
  <c r="G5" i="1" l="1"/>
  <c r="J9" i="1"/>
  <c r="S9" i="1" s="1"/>
  <c r="F4" i="1"/>
  <c r="M4" i="1" s="1"/>
  <c r="G10" i="10"/>
  <c r="K10" i="11"/>
  <c r="H9" i="3"/>
  <c r="I10" i="2"/>
  <c r="I10" i="7"/>
  <c r="I9" i="1"/>
  <c r="R9" i="1" s="1"/>
  <c r="H3" i="1"/>
  <c r="O3" i="1" s="1"/>
  <c r="H10" i="6"/>
  <c r="H9" i="4"/>
  <c r="H5" i="1"/>
  <c r="Q5" i="1" s="1"/>
  <c r="G9" i="13"/>
  <c r="K10" i="13"/>
  <c r="I11" i="1"/>
  <c r="R11" i="1" s="1"/>
  <c r="S7" i="1"/>
  <c r="F3" i="1"/>
  <c r="M3" i="1" s="1"/>
  <c r="I9" i="4"/>
  <c r="I10" i="1"/>
  <c r="R10" i="1" s="1"/>
  <c r="I10" i="6"/>
  <c r="H11" i="10"/>
  <c r="G11" i="1"/>
  <c r="P11" i="1" s="1"/>
  <c r="J10" i="12"/>
  <c r="K10" i="6"/>
  <c r="H8" i="3"/>
  <c r="J10" i="1"/>
  <c r="S10" i="1" s="1"/>
  <c r="H10" i="2"/>
  <c r="I11" i="11"/>
  <c r="H9" i="8"/>
  <c r="G4" i="1"/>
  <c r="N4" i="1" s="1"/>
  <c r="G3" i="1"/>
  <c r="H9" i="2"/>
  <c r="K9" i="4"/>
  <c r="G11" i="9"/>
  <c r="J12" i="9"/>
  <c r="G6" i="1"/>
  <c r="N6" i="1" s="1"/>
  <c r="K11" i="12"/>
  <c r="J13" i="1"/>
  <c r="I10" i="11"/>
  <c r="K12" i="9"/>
  <c r="J9" i="4"/>
  <c r="J10" i="6"/>
  <c r="H10" i="8"/>
  <c r="I5" i="1"/>
  <c r="R5" i="1" s="1"/>
  <c r="I9" i="13"/>
  <c r="G8" i="4"/>
  <c r="I10" i="13"/>
  <c r="Q7" i="1"/>
  <c r="H9" i="13"/>
  <c r="I8" i="1"/>
  <c r="H12" i="1"/>
  <c r="O12" i="1" s="1"/>
  <c r="H6" i="1"/>
  <c r="O6" i="1" s="1"/>
  <c r="G9" i="7"/>
  <c r="H8" i="1"/>
  <c r="O8" i="1" s="1"/>
  <c r="H11" i="6"/>
  <c r="J11" i="6"/>
  <c r="J10" i="2"/>
  <c r="J10" i="8"/>
  <c r="K10" i="8"/>
  <c r="J9" i="2"/>
  <c r="K11" i="6"/>
  <c r="M7" i="1"/>
  <c r="J11" i="12"/>
  <c r="G8" i="1"/>
  <c r="N8" i="1" s="1"/>
  <c r="J10" i="7"/>
  <c r="G9" i="8"/>
  <c r="H11" i="12"/>
  <c r="G10" i="1"/>
  <c r="P10" i="1" s="1"/>
  <c r="S14" i="1"/>
  <c r="I11" i="6"/>
  <c r="I9" i="3"/>
  <c r="I8" i="3"/>
  <c r="H12" i="9"/>
  <c r="I10" i="8"/>
  <c r="F12" i="1"/>
  <c r="M12" i="1" s="1"/>
  <c r="G10" i="11"/>
  <c r="H9" i="5"/>
  <c r="F13" i="1"/>
  <c r="M13" i="1" s="1"/>
  <c r="G10" i="12"/>
  <c r="I12" i="9"/>
  <c r="H10" i="1"/>
  <c r="H9" i="1"/>
  <c r="Q9" i="1" s="1"/>
  <c r="I11" i="10"/>
  <c r="I10" i="10"/>
  <c r="H11" i="1"/>
  <c r="I9" i="5"/>
  <c r="H10" i="13"/>
  <c r="G8" i="5"/>
  <c r="K11" i="11"/>
  <c r="I11" i="9"/>
  <c r="J11" i="10"/>
  <c r="R7" i="1"/>
  <c r="F8" i="1"/>
  <c r="K9" i="3"/>
  <c r="K8" i="3"/>
  <c r="K9" i="7"/>
  <c r="J8" i="1"/>
  <c r="K10" i="7"/>
  <c r="K9" i="13"/>
  <c r="H4" i="1"/>
  <c r="G10" i="6"/>
  <c r="H10" i="7"/>
  <c r="K8" i="4"/>
  <c r="J5" i="1"/>
  <c r="S5" i="1" s="1"/>
  <c r="T15" i="1"/>
  <c r="U15" i="1"/>
  <c r="K10" i="2"/>
  <c r="J3" i="1"/>
  <c r="K9" i="2"/>
  <c r="I14" i="1"/>
  <c r="R14" i="1" s="1"/>
  <c r="J10" i="13"/>
  <c r="J9" i="13"/>
  <c r="K11" i="10"/>
  <c r="K10" i="10"/>
  <c r="J11" i="1"/>
  <c r="S11" i="1" s="1"/>
  <c r="P7" i="1"/>
  <c r="N7" i="1"/>
  <c r="P14" i="1"/>
  <c r="N14" i="1"/>
  <c r="T4" i="1"/>
  <c r="U4" i="1"/>
  <c r="P9" i="1"/>
  <c r="N9" i="1"/>
  <c r="I11" i="12"/>
  <c r="H13" i="1"/>
  <c r="I10" i="12"/>
  <c r="O7" i="1"/>
  <c r="J11" i="11"/>
  <c r="I12" i="1"/>
  <c r="J10" i="11"/>
  <c r="T5" i="1"/>
  <c r="U5" i="1"/>
  <c r="Q14" i="1"/>
  <c r="O14" i="1"/>
  <c r="N13" i="1"/>
  <c r="P5" i="1"/>
  <c r="N5" i="1"/>
  <c r="T11" i="1"/>
  <c r="U11" i="1"/>
  <c r="I6" i="1"/>
  <c r="R6" i="1" s="1"/>
  <c r="J9" i="5"/>
  <c r="J8" i="5"/>
  <c r="T7" i="1"/>
  <c r="U7" i="1"/>
  <c r="K15" i="1"/>
  <c r="H11" i="11"/>
  <c r="G12" i="1"/>
  <c r="H10" i="11"/>
  <c r="I4" i="1"/>
  <c r="J9" i="3"/>
  <c r="J8" i="3"/>
  <c r="K9" i="5"/>
  <c r="K8" i="5"/>
  <c r="J6" i="1"/>
  <c r="S6" i="1" s="1"/>
  <c r="Q4" i="1" l="1"/>
  <c r="Q6" i="1"/>
  <c r="R4" i="1"/>
  <c r="R3" i="1"/>
  <c r="S4" i="1"/>
  <c r="P4" i="1"/>
  <c r="N11" i="1"/>
  <c r="O5" i="1"/>
  <c r="P3" i="1"/>
  <c r="Q3" i="1"/>
  <c r="N3" i="1"/>
  <c r="P6" i="1"/>
  <c r="Q8" i="1"/>
  <c r="S12" i="1"/>
  <c r="S8" i="1"/>
  <c r="O9" i="1"/>
  <c r="Q12" i="1"/>
  <c r="R13" i="1"/>
  <c r="N10" i="1"/>
  <c r="M8" i="1"/>
  <c r="S13" i="1"/>
  <c r="G15" i="1"/>
  <c r="N15" i="1" s="1"/>
  <c r="P8" i="1"/>
  <c r="P13" i="1"/>
  <c r="R8" i="1"/>
  <c r="Q11" i="1"/>
  <c r="O11" i="1"/>
  <c r="O4" i="1"/>
  <c r="Q10" i="1"/>
  <c r="O10" i="1"/>
  <c r="F15" i="1"/>
  <c r="M15" i="1" s="1"/>
  <c r="R12" i="1"/>
  <c r="Q13" i="1"/>
  <c r="O13" i="1"/>
  <c r="I15" i="1"/>
  <c r="J15" i="1"/>
  <c r="S3" i="1"/>
  <c r="P12" i="1"/>
  <c r="N12" i="1"/>
  <c r="H15" i="1"/>
  <c r="P15" i="1" l="1"/>
  <c r="S15" i="1"/>
  <c r="R15" i="1"/>
  <c r="Q15" i="1"/>
  <c r="O15" i="1"/>
</calcChain>
</file>

<file path=xl/sharedStrings.xml><?xml version="1.0" encoding="utf-8"?>
<sst xmlns="http://schemas.openxmlformats.org/spreadsheetml/2006/main" count="294" uniqueCount="109">
  <si>
    <t>Year: 2012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</si>
  <si>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</si>
  <si>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</si>
  <si>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</si>
  <si>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</si>
  <si>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</si>
  <si>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</si>
  <si>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</si>
  <si>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</si>
  <si>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</si>
  <si>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</si>
  <si>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</si>
  <si>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</si>
  <si>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</si>
  <si>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</si>
  <si>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</si>
  <si>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</si>
  <si>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</si>
  <si>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</si>
  <si>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</si>
  <si>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</si>
  <si>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</si>
  <si>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</si>
  <si>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</si>
  <si>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</si>
  <si>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</si>
  <si>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</si>
  <si>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</si>
  <si>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</si>
  <si>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</si>
  <si>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</si>
  <si>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</si>
  <si>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</si>
  <si>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</si>
  <si>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</si>
  <si>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</si>
  <si>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</si>
  <si>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</si>
  <si>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</si>
  <si>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</si>
  <si>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</si>
  <si>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</si>
  <si>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</si>
  <si>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The Organism Is the Product</t>
  </si>
  <si>
    <t>Engineering Artificial Small RNAs for Conditional Gene Silencing in Escherichia coli</t>
  </si>
  <si>
    <t>j5 DNA Assembly Design Automation Software</t>
  </si>
  <si>
    <t>Cloning the Acholeplasma laidlawii PG-8A Genome in Saccharomyces cerevisiae as a Yeast Centromeric Plasmid</t>
  </si>
  <si>
    <t>An E. coli Cell-Free Expression Toolbox: Application to Synthetic Gene Circuits and Artificial Cells</t>
  </si>
  <si>
    <t>Totals:</t>
  </si>
  <si>
    <t>% of SBOL-possible papers</t>
  </si>
  <si>
    <t>% of all / possible figures</t>
  </si>
  <si>
    <t>Multiplexed in Vivo His-Tagging of Enzyme Pathways for in Vitro Single-Pot Multienzyme Catalysis</t>
  </si>
  <si>
    <t>Assembly of MreB Filaments on Liposome Membranes: A Synthetic Biology Approach</t>
  </si>
  <si>
    <t>Monitoring Alkane Degradation by Single BioBrick Integration to an Optimal Cellular Framework</t>
  </si>
  <si>
    <t>Ultrasensitive Synthetic Protein Regulatory Networks Using Mixed Decoys</t>
  </si>
  <si>
    <t>Engineering a Photoactivated Caspase-7 for Rapid Induction of Apoptosis</t>
  </si>
  <si>
    <t>Feedback Control of Protein Expression in Mammalian Cells by Tunable Synthetic Translational Inhibition</t>
  </si>
  <si>
    <t>A Comparison of Two Strategies for Affinity Maturation of a BH3 Peptide toward Pro-Survival Bcl-2 Proteins</t>
  </si>
  <si>
    <t>A Sensitive Switch for Visualizing Natural Gene Silencing in Single Cells</t>
  </si>
  <si>
    <t>Parts-Based Assembly of Synthetic Transmembrane Proteins in Mammalian Cells</t>
  </si>
  <si>
    <t>SYNZIP Protein Interaction Toolbox: in Vitro and in Vivo Specifications of Heterospecific Coiled-Coil Interaction Domains</t>
  </si>
  <si>
    <t>Proteins from an Unevolved Library of de novo Designed Sequences Bind a Range of Small Molecules</t>
  </si>
  <si>
    <t>MAP2.03D: A Sequence/Structure Based Server for Protein Engineering</t>
  </si>
  <si>
    <t>Promoting Collaborative Interdisciplinary Research at the Duke Center for Systems Biology</t>
  </si>
  <si>
    <t>Tetracycline-Regulated Expression Implemented through Transcriptional Activation Combined with Proximal and Distal Repression</t>
  </si>
  <si>
    <t>A Synthetic Post-transcriptional Controller To Explore the Modular Design of Gene Circuits</t>
  </si>
  <si>
    <t>A Modified Cre-lox Genetic Switch To Dynamically Control Metabolic Flow in Saccharomyces cerevisiae</t>
  </si>
  <si>
    <t>Elucidation of Small RNAs That Activate Transcription in Bacteria</t>
  </si>
  <si>
    <t>An in vitro Autogene</t>
  </si>
  <si>
    <t>Evolutionary Synthetic Biology</t>
  </si>
  <si>
    <t>Engineered Networks of Synthetic and Natural Proteins To Control Cell Migration</t>
  </si>
  <si>
    <t>SCHEMA-Designed Variants of Human Arginase I and II Reveal Sequence Elements Important to Stability and Catalysis</t>
  </si>
  <si>
    <t>Landscape Topography Determines Global Stability and Robustness of a Metabolic Network</t>
  </si>
  <si>
    <t>A Basis Set of de Novo Coiled-Coil Peptide Oligomers for Rational Protein Design and Synthetic Biology</t>
  </si>
  <si>
    <t>ePathBrick: A Synthetic Biology Platform for Engineering Metabolic Pathways in E. coli</t>
  </si>
  <si>
    <t>Assembly of Large, High G+C Bacterial DNA Fragments in Yeast</t>
  </si>
  <si>
    <t>Characterization and Modeling of Transcriptional Cross-Regulation in Acinetobacter baylyi ADP1</t>
  </si>
  <si>
    <t>Automated Design of Genetic Toggle Switches with Predetermined Bistability</t>
  </si>
  <si>
    <t>Cloning Large Gene Clusters from E. coli Using in Vitro Single-Strand Overlapping Annealing</t>
  </si>
  <si>
    <t>Ensemble Bayesian Analysis of Bistability in a Synthetic Transcriptional Switch</t>
  </si>
  <si>
    <t>An End-to-End Workflow for Engineering of Biological Networks from High-Level Specifications</t>
  </si>
  <si>
    <t>Automated Selection of Synthetic Biology Parts for Genetic Regulatory Networks</t>
  </si>
  <si>
    <t>Computational Modeling of Synthetic Microbial Biofilms</t>
  </si>
  <si>
    <t>Hierarchical Modeling for Synthetic Biology</t>
  </si>
  <si>
    <t>Specification and Simulation of Synthetic Multicelled Behaviors</t>
  </si>
  <si>
    <t>A Data-Driven Framework for Identifying Nonlinear Dynamic Models of Genetic Parts</t>
  </si>
  <si>
    <t>A Synthetic Biology Approach to Understanding Cellular Information Processing</t>
  </si>
  <si>
    <t>A Combinatorial Library of Unsaturated Lipidoids for Efficient Intracellular Gene Delivery</t>
  </si>
  <si>
    <t>Genome Replication, Synthesis, and Assembly of the Bacteriophage T7 in a Single Cell-Free Reaction</t>
  </si>
  <si>
    <t>Efficient Orthogonal Integration of the Bacteriophage ϕ29 DNA-Portal Connector Protein in Engineered Lipid Bilayers</t>
  </si>
  <si>
    <t>Evolutionary Stability of a Refactored Phage Genome</t>
  </si>
  <si>
    <t>Effects of Compartment Size on the Kinetics of Intracompartmental Multimeric Protein Synthesis</t>
  </si>
  <si>
    <t>Stable Maintenance of Multiple Plasmids in E. coli Using a Single Selective Marker</t>
  </si>
  <si>
    <t>Engineered E. coli That Detect and Respond to Gut Inflammation through Nitric Oxide Sensing</t>
  </si>
  <si>
    <t>Genetic Circuits in Salmonella typhimurium</t>
  </si>
  <si>
    <t>In Vivo Gene Expression Dynamics of Tumor-Targeted Bacteria</t>
  </si>
  <si>
    <t>Engineering Integrated Digital Circuits with Allosteric Ribozymes for Scaling up Molecular Computation and Diagnostics</t>
  </si>
  <si>
    <t>Rapid Synthesis of Defined Eukaryotic Promoter Libraries</t>
  </si>
  <si>
    <t>From Fields to Fuels: Recent Advances in the Microbial Production of Biofuels</t>
  </si>
  <si>
    <t>Synthetic Biology and Metabolic Engineering</t>
  </si>
  <si>
    <t>Modification-Free Photocontrol of β-Lactam Conversion with Spatiotemporal Resolution</t>
  </si>
  <si>
    <t>Rational Design of Escherichia coli for l-Isoleucine Production</t>
  </si>
  <si>
    <t>A Synthetic Biology Approach to Engineer a Functional Reversal of the β-Oxidation Cycle</t>
  </si>
  <si>
    <t>Genetic Circuit Performance under Conditions Relevant for Industrial Bioreactors</t>
  </si>
  <si>
    <t>Dimerization-Dependent Green and Yellow Fluorescent Proteins</t>
  </si>
  <si>
    <t>Refactored M13 Bacteriophage as a Platform for Tumor Cell Imaging and Drug Delivery</t>
  </si>
  <si>
    <t>Scalable Plasmid Transfer using Engineered P1-based Phagemids</t>
  </si>
  <si>
    <t>Organization of Synthetic Alphoid DNA Array in Human Artificial Chromosome (HAC) with a Conditional Centromere</t>
  </si>
  <si>
    <t>A Heritable Recombination System for Synthetic Darwinian Evolution in Yeast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</si>
</sst>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topLeftCell="D1" workbookViewId="0">
      <selection activeCell="M23" sqref="M23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8" t="s">
        <v>1</v>
      </c>
      <c r="C1" s="9"/>
      <c r="D1" s="9"/>
      <c r="E1" s="9"/>
      <c r="F1" s="8" t="s">
        <v>2</v>
      </c>
      <c r="G1" s="9"/>
      <c r="H1" s="9"/>
      <c r="I1" s="9"/>
      <c r="J1" s="9"/>
      <c r="K1" s="9"/>
      <c r="M1" s="8" t="s">
        <v>3</v>
      </c>
      <c r="N1" s="9"/>
      <c r="O1" s="9"/>
      <c r="P1" s="8" t="s">
        <v>4</v>
      </c>
      <c r="Q1" s="9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January!C8</f>
        <v>22</v>
      </c>
      <c r="C3" s="1">
        <f>January!D8</f>
        <v>13</v>
      </c>
      <c r="D3" s="1">
        <f>January!E8</f>
        <v>4</v>
      </c>
      <c r="E3" s="1">
        <f>January!F8</f>
        <v>1</v>
      </c>
      <c r="F3" s="1">
        <f>January!G8</f>
        <v>4</v>
      </c>
      <c r="G3" s="1">
        <f>January!H8</f>
        <v>2</v>
      </c>
      <c r="H3" s="1">
        <f>January!I8</f>
        <v>2</v>
      </c>
      <c r="I3" s="1">
        <f>January!J8</f>
        <v>1</v>
      </c>
      <c r="J3" s="1">
        <f>January!K8</f>
        <v>0</v>
      </c>
      <c r="K3" s="1">
        <f>January!L8</f>
        <v>5</v>
      </c>
      <c r="M3" s="2">
        <f t="shared" ref="M3:O3" si="0">F3/$K3</f>
        <v>0.8</v>
      </c>
      <c r="N3" s="2">
        <f t="shared" si="0"/>
        <v>0.4</v>
      </c>
      <c r="O3" s="2">
        <f t="shared" si="0"/>
        <v>0.4</v>
      </c>
      <c r="P3" s="2">
        <f t="shared" ref="P3:Q3" si="1">G3/$F3</f>
        <v>0.5</v>
      </c>
      <c r="Q3" s="2">
        <f t="shared" si="1"/>
        <v>0.5</v>
      </c>
      <c r="R3" s="2">
        <f t="shared" ref="R3:R15" si="2">I3/F3</f>
        <v>0.25</v>
      </c>
      <c r="S3" s="2">
        <f t="shared" ref="S3:S15" si="3">J3/F3</f>
        <v>0</v>
      </c>
      <c r="T3" s="3">
        <f t="shared" ref="T3:T15" si="4">D3/$B3</f>
        <v>0.18181818181818182</v>
      </c>
      <c r="U3" s="3">
        <f t="shared" ref="U3:U15" si="5">D3/C3</f>
        <v>0.30769230769230771</v>
      </c>
      <c r="V3" s="2">
        <f t="shared" ref="V3:V15" si="6">E3/C3</f>
        <v>7.6923076923076927E-2</v>
      </c>
    </row>
    <row r="4" spans="1:22" ht="15.75" customHeight="1">
      <c r="A4" s="1" t="s">
        <v>20</v>
      </c>
      <c r="B4" s="1">
        <f>February!C7</f>
        <v>17</v>
      </c>
      <c r="C4" s="1">
        <f>February!D7</f>
        <v>0</v>
      </c>
      <c r="D4" s="1">
        <f>February!E7</f>
        <v>0</v>
      </c>
      <c r="E4" s="1">
        <f>February!F7</f>
        <v>0</v>
      </c>
      <c r="F4" s="1">
        <f>February!G7</f>
        <v>0</v>
      </c>
      <c r="G4" s="1">
        <f>February!H7</f>
        <v>0</v>
      </c>
      <c r="H4" s="1">
        <f>February!I7</f>
        <v>0</v>
      </c>
      <c r="I4" s="1">
        <f>February!J7</f>
        <v>0</v>
      </c>
      <c r="J4" s="1">
        <f>February!K7</f>
        <v>0</v>
      </c>
      <c r="K4" s="1">
        <f>February!L7</f>
        <v>4</v>
      </c>
      <c r="M4" s="2">
        <f t="shared" ref="M4:O4" si="7">F4/$K4</f>
        <v>0</v>
      </c>
      <c r="N4" s="2">
        <f t="shared" si="7"/>
        <v>0</v>
      </c>
      <c r="O4" s="2">
        <f t="shared" si="7"/>
        <v>0</v>
      </c>
      <c r="P4" s="2" t="e">
        <f t="shared" ref="P4:Q4" si="8">G4/$F4</f>
        <v>#DIV/0!</v>
      </c>
      <c r="Q4" s="2" t="e">
        <f t="shared" si="8"/>
        <v>#DIV/0!</v>
      </c>
      <c r="R4" s="2" t="e">
        <f t="shared" si="2"/>
        <v>#DIV/0!</v>
      </c>
      <c r="S4" s="2" t="e">
        <f t="shared" si="3"/>
        <v>#DIV/0!</v>
      </c>
      <c r="T4" s="3">
        <f t="shared" si="4"/>
        <v>0</v>
      </c>
      <c r="U4" s="3" t="e">
        <f t="shared" si="5"/>
        <v>#DIV/0!</v>
      </c>
      <c r="V4" s="2" t="e">
        <f t="shared" si="6"/>
        <v>#DIV/0!</v>
      </c>
    </row>
    <row r="5" spans="1:22" ht="15.75" customHeight="1">
      <c r="A5" s="1" t="s">
        <v>21</v>
      </c>
      <c r="B5" s="1">
        <f>March!C7</f>
        <v>17</v>
      </c>
      <c r="C5" s="1">
        <f>March!D7</f>
        <v>7</v>
      </c>
      <c r="D5" s="1">
        <f>March!E7</f>
        <v>0</v>
      </c>
      <c r="E5" s="1">
        <f>March!F7</f>
        <v>0</v>
      </c>
      <c r="F5" s="1">
        <f>March!G7</f>
        <v>2</v>
      </c>
      <c r="G5" s="1">
        <f>March!H7</f>
        <v>0</v>
      </c>
      <c r="H5" s="1">
        <f>March!I7</f>
        <v>0</v>
      </c>
      <c r="I5" s="1">
        <f>March!J7</f>
        <v>0</v>
      </c>
      <c r="J5" s="1">
        <f>March!K7</f>
        <v>0</v>
      </c>
      <c r="K5" s="1">
        <f>March!L7</f>
        <v>4</v>
      </c>
      <c r="M5" s="2">
        <f t="shared" ref="M5:O5" si="9">F5/$K5</f>
        <v>0.5</v>
      </c>
      <c r="N5" s="2">
        <f t="shared" si="9"/>
        <v>0</v>
      </c>
      <c r="O5" s="2">
        <f t="shared" si="9"/>
        <v>0</v>
      </c>
      <c r="P5" s="2">
        <f t="shared" ref="P5:Q5" si="10">G5/$F5</f>
        <v>0</v>
      </c>
      <c r="Q5" s="2">
        <f t="shared" si="10"/>
        <v>0</v>
      </c>
      <c r="R5" s="2">
        <f t="shared" si="2"/>
        <v>0</v>
      </c>
      <c r="S5" s="2">
        <f t="shared" si="3"/>
        <v>0</v>
      </c>
      <c r="T5" s="3">
        <f t="shared" si="4"/>
        <v>0</v>
      </c>
      <c r="U5" s="3">
        <f t="shared" si="5"/>
        <v>0</v>
      </c>
      <c r="V5" s="2">
        <f t="shared" si="6"/>
        <v>0</v>
      </c>
    </row>
    <row r="6" spans="1:22" ht="15.75" customHeight="1">
      <c r="A6" s="1" t="s">
        <v>22</v>
      </c>
      <c r="B6" s="1">
        <f>April!C7</f>
        <v>24</v>
      </c>
      <c r="C6" s="1">
        <f>April!D7</f>
        <v>1</v>
      </c>
      <c r="D6" s="1">
        <f>April!E7</f>
        <v>1</v>
      </c>
      <c r="E6" s="1">
        <f>April!F7</f>
        <v>0</v>
      </c>
      <c r="F6" s="1">
        <f>April!G7</f>
        <v>1</v>
      </c>
      <c r="G6" s="1">
        <f>April!H7</f>
        <v>1</v>
      </c>
      <c r="H6" s="1">
        <f>April!I7</f>
        <v>1</v>
      </c>
      <c r="I6" s="1">
        <f>April!J7</f>
        <v>0</v>
      </c>
      <c r="J6" s="1">
        <f>April!K7</f>
        <v>0</v>
      </c>
      <c r="K6" s="1">
        <f>April!L7</f>
        <v>4</v>
      </c>
      <c r="M6" s="2">
        <f t="shared" ref="M6:O6" si="11">F6/$K6</f>
        <v>0.25</v>
      </c>
      <c r="N6" s="2">
        <f t="shared" si="11"/>
        <v>0.25</v>
      </c>
      <c r="O6" s="2">
        <f t="shared" si="11"/>
        <v>0.25</v>
      </c>
      <c r="P6" s="2">
        <f t="shared" ref="P6:Q6" si="12">G6/$F6</f>
        <v>1</v>
      </c>
      <c r="Q6" s="2">
        <f t="shared" si="12"/>
        <v>1</v>
      </c>
      <c r="R6" s="2">
        <f t="shared" si="2"/>
        <v>0</v>
      </c>
      <c r="S6" s="2">
        <f t="shared" si="3"/>
        <v>0</v>
      </c>
      <c r="T6" s="3">
        <f t="shared" si="4"/>
        <v>4.1666666666666664E-2</v>
      </c>
      <c r="U6" s="3">
        <f t="shared" si="5"/>
        <v>1</v>
      </c>
      <c r="V6" s="2">
        <f t="shared" si="6"/>
        <v>0</v>
      </c>
    </row>
    <row r="7" spans="1:22" ht="15.75" customHeight="1">
      <c r="A7" s="1" t="s">
        <v>23</v>
      </c>
      <c r="B7" s="1">
        <f>May!C9</f>
        <v>33</v>
      </c>
      <c r="C7" s="1">
        <f>May!D9</f>
        <v>13</v>
      </c>
      <c r="D7" s="1">
        <f>May!E9</f>
        <v>1</v>
      </c>
      <c r="E7" s="1">
        <f>May!F9</f>
        <v>0</v>
      </c>
      <c r="F7" s="1">
        <f>May!G9</f>
        <v>5</v>
      </c>
      <c r="G7" s="1">
        <f>May!H9</f>
        <v>1</v>
      </c>
      <c r="H7" s="1">
        <f>May!I9</f>
        <v>0</v>
      </c>
      <c r="I7" s="1">
        <f>May!J9</f>
        <v>0</v>
      </c>
      <c r="J7" s="1">
        <f>May!K9</f>
        <v>0</v>
      </c>
      <c r="K7" s="1">
        <f>May!L9</f>
        <v>6</v>
      </c>
      <c r="M7" s="2">
        <f t="shared" ref="M7:O7" si="13">F7/$K7</f>
        <v>0.83333333333333337</v>
      </c>
      <c r="N7" s="2">
        <f t="shared" si="13"/>
        <v>0.16666666666666666</v>
      </c>
      <c r="O7" s="2">
        <f t="shared" si="13"/>
        <v>0</v>
      </c>
      <c r="P7" s="2">
        <f t="shared" ref="P7:Q7" si="14">G7/$F7</f>
        <v>0.2</v>
      </c>
      <c r="Q7" s="2">
        <f t="shared" si="14"/>
        <v>0</v>
      </c>
      <c r="R7" s="2">
        <f t="shared" si="2"/>
        <v>0</v>
      </c>
      <c r="S7" s="2">
        <f t="shared" si="3"/>
        <v>0</v>
      </c>
      <c r="T7" s="3">
        <f t="shared" si="4"/>
        <v>3.0303030303030304E-2</v>
      </c>
      <c r="U7" s="3">
        <f t="shared" si="5"/>
        <v>7.6923076923076927E-2</v>
      </c>
      <c r="V7" s="2">
        <f t="shared" si="6"/>
        <v>0</v>
      </c>
    </row>
    <row r="8" spans="1:22" ht="15.75" customHeight="1">
      <c r="A8" s="1" t="s">
        <v>24</v>
      </c>
      <c r="B8" s="1">
        <f>June!C8</f>
        <v>33</v>
      </c>
      <c r="C8" s="1">
        <f>June!D8</f>
        <v>0</v>
      </c>
      <c r="D8" s="1">
        <f>June!E8</f>
        <v>0</v>
      </c>
      <c r="E8" s="1">
        <f>June!F8</f>
        <v>0</v>
      </c>
      <c r="F8" s="1">
        <f>June!G8</f>
        <v>0</v>
      </c>
      <c r="G8" s="1">
        <f>June!H8</f>
        <v>0</v>
      </c>
      <c r="H8" s="1">
        <f>June!I8</f>
        <v>0</v>
      </c>
      <c r="I8" s="1">
        <f>June!J8</f>
        <v>0</v>
      </c>
      <c r="J8" s="1">
        <f>June!K8</f>
        <v>0</v>
      </c>
      <c r="K8" s="1">
        <f>June!L8</f>
        <v>5</v>
      </c>
      <c r="M8" s="2">
        <f t="shared" ref="M8:O8" si="15">F8/$K8</f>
        <v>0</v>
      </c>
      <c r="N8" s="2">
        <f t="shared" si="15"/>
        <v>0</v>
      </c>
      <c r="O8" s="2">
        <f t="shared" si="15"/>
        <v>0</v>
      </c>
      <c r="P8" s="2" t="e">
        <f t="shared" ref="P8:Q8" si="16">G8/$F8</f>
        <v>#DIV/0!</v>
      </c>
      <c r="Q8" s="2" t="e">
        <f t="shared" si="16"/>
        <v>#DIV/0!</v>
      </c>
      <c r="R8" s="2" t="e">
        <f t="shared" si="2"/>
        <v>#DIV/0!</v>
      </c>
      <c r="S8" s="2" t="e">
        <f t="shared" si="3"/>
        <v>#DIV/0!</v>
      </c>
      <c r="T8" s="3">
        <f t="shared" si="4"/>
        <v>0</v>
      </c>
      <c r="U8" s="3" t="e">
        <f t="shared" si="5"/>
        <v>#DIV/0!</v>
      </c>
      <c r="V8" s="2" t="e">
        <f t="shared" si="6"/>
        <v>#DIV/0!</v>
      </c>
    </row>
    <row r="9" spans="1:22" ht="15.75" customHeight="1">
      <c r="A9" s="1" t="s">
        <v>25</v>
      </c>
      <c r="B9" s="1">
        <f>July!C8</f>
        <v>22</v>
      </c>
      <c r="C9" s="1">
        <f>July!D8</f>
        <v>11</v>
      </c>
      <c r="D9" s="1">
        <f>July!E8</f>
        <v>4</v>
      </c>
      <c r="E9" s="1">
        <f>July!F8</f>
        <v>0</v>
      </c>
      <c r="F9" s="1">
        <f>July!G8</f>
        <v>5</v>
      </c>
      <c r="G9" s="1">
        <f>July!H8</f>
        <v>1</v>
      </c>
      <c r="H9" s="1">
        <f>July!I8</f>
        <v>1</v>
      </c>
      <c r="I9" s="1">
        <f>July!J8</f>
        <v>0</v>
      </c>
      <c r="J9" s="1">
        <f>July!K8</f>
        <v>0</v>
      </c>
      <c r="K9" s="1">
        <f>July!L8</f>
        <v>5</v>
      </c>
      <c r="M9" s="2">
        <f t="shared" ref="M9:O9" si="17">F9/$K9</f>
        <v>1</v>
      </c>
      <c r="N9" s="2">
        <f t="shared" si="17"/>
        <v>0.2</v>
      </c>
      <c r="O9" s="2">
        <f t="shared" si="17"/>
        <v>0.2</v>
      </c>
      <c r="P9" s="2">
        <f t="shared" ref="P9:Q9" si="18">G9/$F9</f>
        <v>0.2</v>
      </c>
      <c r="Q9" s="2">
        <f t="shared" si="18"/>
        <v>0.2</v>
      </c>
      <c r="R9" s="2">
        <f t="shared" si="2"/>
        <v>0</v>
      </c>
      <c r="S9" s="2">
        <f t="shared" si="3"/>
        <v>0</v>
      </c>
      <c r="T9" s="3">
        <f t="shared" si="4"/>
        <v>0.18181818181818182</v>
      </c>
      <c r="U9" s="3">
        <f t="shared" si="5"/>
        <v>0.36363636363636365</v>
      </c>
      <c r="V9" s="2">
        <f t="shared" si="6"/>
        <v>0</v>
      </c>
    </row>
    <row r="10" spans="1:22" ht="15.75" customHeight="1">
      <c r="A10" s="1" t="s">
        <v>26</v>
      </c>
      <c r="B10" s="1">
        <f>August!C10</f>
        <v>58</v>
      </c>
      <c r="C10" s="1">
        <f>August!D10</f>
        <v>20</v>
      </c>
      <c r="D10" s="1">
        <f>August!E10</f>
        <v>18</v>
      </c>
      <c r="E10" s="1">
        <f>August!F10</f>
        <v>14</v>
      </c>
      <c r="F10" s="1">
        <f>August!G10</f>
        <v>6</v>
      </c>
      <c r="G10" s="1">
        <f>August!H10</f>
        <v>5</v>
      </c>
      <c r="H10" s="1">
        <f>August!I10</f>
        <v>4</v>
      </c>
      <c r="I10" s="1">
        <f>August!J10</f>
        <v>5</v>
      </c>
      <c r="J10" s="1">
        <f>August!K10</f>
        <v>3</v>
      </c>
      <c r="K10" s="1">
        <f>August!L10</f>
        <v>7</v>
      </c>
      <c r="M10" s="2">
        <f t="shared" ref="M10:O10" si="19">F10/$K10</f>
        <v>0.8571428571428571</v>
      </c>
      <c r="N10" s="2">
        <f t="shared" si="19"/>
        <v>0.7142857142857143</v>
      </c>
      <c r="O10" s="2">
        <f t="shared" si="19"/>
        <v>0.5714285714285714</v>
      </c>
      <c r="P10" s="2">
        <f t="shared" ref="P10:Q10" si="20">G10/$F10</f>
        <v>0.83333333333333337</v>
      </c>
      <c r="Q10" s="2">
        <f t="shared" si="20"/>
        <v>0.66666666666666663</v>
      </c>
      <c r="R10" s="2">
        <f t="shared" si="2"/>
        <v>0.83333333333333337</v>
      </c>
      <c r="S10" s="2">
        <f t="shared" si="3"/>
        <v>0.5</v>
      </c>
      <c r="T10" s="3">
        <f t="shared" si="4"/>
        <v>0.31034482758620691</v>
      </c>
      <c r="U10" s="3">
        <f t="shared" si="5"/>
        <v>0.9</v>
      </c>
      <c r="V10" s="2">
        <f t="shared" si="6"/>
        <v>0.7</v>
      </c>
    </row>
    <row r="11" spans="1:22" ht="15.75" customHeight="1">
      <c r="A11" s="1" t="s">
        <v>27</v>
      </c>
      <c r="B11" s="1">
        <f>September!C9</f>
        <v>28</v>
      </c>
      <c r="C11" s="1">
        <f>September!D9</f>
        <v>2</v>
      </c>
      <c r="D11" s="1">
        <f>September!E9</f>
        <v>2</v>
      </c>
      <c r="E11" s="1">
        <f>September!F9</f>
        <v>0</v>
      </c>
      <c r="F11" s="1">
        <f>September!G9</f>
        <v>1</v>
      </c>
      <c r="G11" s="1">
        <f>September!H9</f>
        <v>1</v>
      </c>
      <c r="H11" s="1">
        <f>September!I9</f>
        <v>1</v>
      </c>
      <c r="I11" s="1">
        <f>September!J9</f>
        <v>0</v>
      </c>
      <c r="J11" s="1">
        <f>September!K9</f>
        <v>0</v>
      </c>
      <c r="K11" s="1">
        <f>September!L9</f>
        <v>6</v>
      </c>
      <c r="M11" s="2">
        <f t="shared" ref="M11:O11" si="21">F11/$K11</f>
        <v>0.16666666666666666</v>
      </c>
      <c r="N11" s="2">
        <f t="shared" si="21"/>
        <v>0.16666666666666666</v>
      </c>
      <c r="O11" s="2">
        <f t="shared" si="21"/>
        <v>0.16666666666666666</v>
      </c>
      <c r="P11" s="2">
        <f t="shared" ref="P11:Q11" si="22">G11/$F11</f>
        <v>1</v>
      </c>
      <c r="Q11" s="2">
        <f t="shared" si="22"/>
        <v>1</v>
      </c>
      <c r="R11" s="2">
        <f t="shared" si="2"/>
        <v>0</v>
      </c>
      <c r="S11" s="2">
        <f t="shared" si="3"/>
        <v>0</v>
      </c>
      <c r="T11" s="3">
        <f t="shared" si="4"/>
        <v>7.1428571428571425E-2</v>
      </c>
      <c r="U11" s="3">
        <f t="shared" si="5"/>
        <v>1</v>
      </c>
      <c r="V11" s="2">
        <f t="shared" si="6"/>
        <v>0</v>
      </c>
    </row>
    <row r="12" spans="1:22" ht="15.75" customHeight="1">
      <c r="A12" s="1" t="s">
        <v>28</v>
      </c>
      <c r="B12" s="1">
        <f>October!C9</f>
        <v>26</v>
      </c>
      <c r="C12" s="1">
        <f>October!D9</f>
        <v>5</v>
      </c>
      <c r="D12" s="1">
        <f>October!E9</f>
        <v>2</v>
      </c>
      <c r="E12" s="1">
        <f>October!F9</f>
        <v>0</v>
      </c>
      <c r="F12" s="1">
        <f>October!G9</f>
        <v>3</v>
      </c>
      <c r="G12" s="1">
        <f>October!H9</f>
        <v>1</v>
      </c>
      <c r="H12" s="1">
        <f>October!I9</f>
        <v>1</v>
      </c>
      <c r="I12" s="1">
        <f>October!J9</f>
        <v>0</v>
      </c>
      <c r="J12" s="1">
        <f>October!K9</f>
        <v>0</v>
      </c>
      <c r="K12" s="1">
        <f>October!L9</f>
        <v>6</v>
      </c>
      <c r="M12" s="2">
        <f t="shared" ref="M12:O12" si="23">F12/$K12</f>
        <v>0.5</v>
      </c>
      <c r="N12" s="2">
        <f t="shared" si="23"/>
        <v>0.16666666666666666</v>
      </c>
      <c r="O12" s="2">
        <f t="shared" si="23"/>
        <v>0.16666666666666666</v>
      </c>
      <c r="P12" s="2">
        <f t="shared" ref="P12:Q12" si="24">G12/$F12</f>
        <v>0.33333333333333331</v>
      </c>
      <c r="Q12" s="2">
        <f t="shared" si="24"/>
        <v>0.33333333333333331</v>
      </c>
      <c r="R12" s="2">
        <f t="shared" si="2"/>
        <v>0</v>
      </c>
      <c r="S12" s="2">
        <f t="shared" si="3"/>
        <v>0</v>
      </c>
      <c r="T12" s="3">
        <f t="shared" si="4"/>
        <v>7.6923076923076927E-2</v>
      </c>
      <c r="U12" s="3">
        <f t="shared" si="5"/>
        <v>0.4</v>
      </c>
      <c r="V12" s="2">
        <f t="shared" si="6"/>
        <v>0</v>
      </c>
    </row>
    <row r="13" spans="1:22" ht="15.75" customHeight="1">
      <c r="A13" s="1" t="s">
        <v>29</v>
      </c>
      <c r="B13" s="1">
        <f>November!C9</f>
        <v>36</v>
      </c>
      <c r="C13" s="1">
        <f>November!D9</f>
        <v>5</v>
      </c>
      <c r="D13" s="1">
        <f>November!E9</f>
        <v>2</v>
      </c>
      <c r="E13" s="1">
        <f>November!F9</f>
        <v>2</v>
      </c>
      <c r="F13" s="1">
        <f>November!G9</f>
        <v>4</v>
      </c>
      <c r="G13" s="1">
        <f>November!H9</f>
        <v>2</v>
      </c>
      <c r="H13" s="1">
        <f>November!I9</f>
        <v>2</v>
      </c>
      <c r="I13" s="1">
        <f>November!J9</f>
        <v>2</v>
      </c>
      <c r="J13" s="1">
        <f>November!K9</f>
        <v>2</v>
      </c>
      <c r="K13" s="1">
        <f>November!L9</f>
        <v>6</v>
      </c>
      <c r="M13" s="2">
        <f t="shared" ref="M13:O13" si="25">F13/$K13</f>
        <v>0.66666666666666663</v>
      </c>
      <c r="N13" s="2">
        <f t="shared" si="25"/>
        <v>0.33333333333333331</v>
      </c>
      <c r="O13" s="2">
        <f t="shared" si="25"/>
        <v>0.33333333333333331</v>
      </c>
      <c r="P13" s="2">
        <f t="shared" ref="P13:Q13" si="26">G13/$F13</f>
        <v>0.5</v>
      </c>
      <c r="Q13" s="2">
        <f t="shared" si="26"/>
        <v>0.5</v>
      </c>
      <c r="R13" s="2">
        <f t="shared" si="2"/>
        <v>0.5</v>
      </c>
      <c r="S13" s="2">
        <f t="shared" si="3"/>
        <v>0.5</v>
      </c>
      <c r="T13" s="3">
        <f t="shared" si="4"/>
        <v>5.5555555555555552E-2</v>
      </c>
      <c r="U13" s="3">
        <f t="shared" si="5"/>
        <v>0.4</v>
      </c>
      <c r="V13" s="2">
        <f t="shared" si="6"/>
        <v>0.4</v>
      </c>
    </row>
    <row r="14" spans="1:22" ht="15.75" customHeight="1">
      <c r="A14" s="1" t="s">
        <v>30</v>
      </c>
      <c r="B14" s="1">
        <f>December!C8</f>
        <v>24</v>
      </c>
      <c r="C14" s="1">
        <f>December!D8</f>
        <v>10</v>
      </c>
      <c r="D14" s="1">
        <f>December!E8</f>
        <v>2</v>
      </c>
      <c r="E14" s="1">
        <f>December!F8</f>
        <v>1</v>
      </c>
      <c r="F14" s="1">
        <f>December!G8</f>
        <v>4</v>
      </c>
      <c r="G14" s="1">
        <f>December!H8</f>
        <v>1</v>
      </c>
      <c r="H14" s="1">
        <f>December!I8</f>
        <v>0</v>
      </c>
      <c r="I14" s="1">
        <f>December!J8</f>
        <v>1</v>
      </c>
      <c r="J14" s="1">
        <f>December!K8</f>
        <v>0</v>
      </c>
      <c r="K14" s="1">
        <f>December!L8</f>
        <v>5</v>
      </c>
      <c r="M14" s="2">
        <f t="shared" ref="M14:O14" si="27">F14/$K14</f>
        <v>0.8</v>
      </c>
      <c r="N14" s="2">
        <f t="shared" si="27"/>
        <v>0.2</v>
      </c>
      <c r="O14" s="2">
        <f t="shared" si="27"/>
        <v>0</v>
      </c>
      <c r="P14" s="2">
        <f t="shared" ref="P14:Q14" si="28">G14/$F14</f>
        <v>0.25</v>
      </c>
      <c r="Q14" s="2">
        <f t="shared" si="28"/>
        <v>0</v>
      </c>
      <c r="R14" s="2">
        <f t="shared" si="2"/>
        <v>0.25</v>
      </c>
      <c r="S14" s="2">
        <f t="shared" si="3"/>
        <v>0</v>
      </c>
      <c r="T14" s="3">
        <f t="shared" si="4"/>
        <v>8.3333333333333329E-2</v>
      </c>
      <c r="U14" s="3">
        <f t="shared" si="5"/>
        <v>0.2</v>
      </c>
      <c r="V14" s="2">
        <f t="shared" si="6"/>
        <v>0.1</v>
      </c>
    </row>
    <row r="15" spans="1:22" ht="15.75" customHeight="1">
      <c r="A15" s="1" t="s">
        <v>31</v>
      </c>
      <c r="B15" s="1">
        <f t="shared" ref="B15:K15" si="29">SUM(B3:B14)</f>
        <v>340</v>
      </c>
      <c r="C15" s="1">
        <f t="shared" si="29"/>
        <v>87</v>
      </c>
      <c r="D15" s="1">
        <f t="shared" si="29"/>
        <v>36</v>
      </c>
      <c r="E15" s="1">
        <f t="shared" si="29"/>
        <v>18</v>
      </c>
      <c r="F15" s="1">
        <f t="shared" si="29"/>
        <v>35</v>
      </c>
      <c r="G15" s="1">
        <f t="shared" si="29"/>
        <v>15</v>
      </c>
      <c r="H15" s="1">
        <f t="shared" si="29"/>
        <v>12</v>
      </c>
      <c r="I15" s="1">
        <f t="shared" si="29"/>
        <v>9</v>
      </c>
      <c r="J15" s="1">
        <f t="shared" si="29"/>
        <v>5</v>
      </c>
      <c r="K15" s="1">
        <f t="shared" si="29"/>
        <v>63</v>
      </c>
      <c r="M15" s="2">
        <f t="shared" ref="M15:O15" si="30">F15/$K15</f>
        <v>0.55555555555555558</v>
      </c>
      <c r="N15" s="2">
        <f t="shared" si="30"/>
        <v>0.23809523809523808</v>
      </c>
      <c r="O15" s="2">
        <f t="shared" si="30"/>
        <v>0.19047619047619047</v>
      </c>
      <c r="P15" s="2">
        <f t="shared" ref="P15:Q15" si="31">G15/$F15</f>
        <v>0.42857142857142855</v>
      </c>
      <c r="Q15" s="2">
        <f t="shared" si="31"/>
        <v>0.34285714285714286</v>
      </c>
      <c r="R15" s="2">
        <f t="shared" si="2"/>
        <v>0.25714285714285712</v>
      </c>
      <c r="S15" s="2">
        <f t="shared" si="3"/>
        <v>0.14285714285714285</v>
      </c>
      <c r="T15" s="3">
        <f t="shared" si="4"/>
        <v>0.10588235294117647</v>
      </c>
      <c r="U15" s="3">
        <f t="shared" si="5"/>
        <v>0.41379310344827586</v>
      </c>
      <c r="V15" s="2">
        <f t="shared" si="6"/>
        <v>0.20689655172413793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1"/>
  <sheetViews>
    <sheetView workbookViewId="0">
      <selection activeCell="J9" sqref="J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43</v>
      </c>
      <c r="B3" s="1"/>
      <c r="C3" s="1">
        <v>0</v>
      </c>
      <c r="D3" s="1">
        <v>0</v>
      </c>
      <c r="E3" s="1">
        <v>0</v>
      </c>
      <c r="F3" s="1">
        <v>0</v>
      </c>
      <c r="G3" s="1" t="b">
        <f>D3 &gt; 0</f>
        <v>0</v>
      </c>
      <c r="H3" s="1" t="b">
        <f>E3 &gt; 0</f>
        <v>0</v>
      </c>
      <c r="I3" s="1" t="b">
        <f>AND(G3,(D3=E3))</f>
        <v>0</v>
      </c>
      <c r="J3" s="1" t="b">
        <f>(F3 &gt; 0)</f>
        <v>0</v>
      </c>
      <c r="K3" s="1" t="b">
        <f>AND(I3,(E3=F3))</f>
        <v>0</v>
      </c>
    </row>
    <row r="4" spans="1:12" ht="15.75" customHeight="1">
      <c r="A4" s="1" t="s">
        <v>44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H7" si="0">D4 &gt; 0</f>
        <v>1</v>
      </c>
      <c r="H4" s="1" t="b">
        <f t="shared" ref="H4:H7" si="1">E4 &gt; 0</f>
        <v>1</v>
      </c>
      <c r="I4" s="1" t="b">
        <f t="shared" ref="I4:I7" si="2">AND(G4,(D4=E4))</f>
        <v>1</v>
      </c>
      <c r="J4" s="1" t="b">
        <f t="shared" ref="J4:J7" si="3">(F4 &gt; 0)</f>
        <v>0</v>
      </c>
      <c r="K4" s="1" t="b">
        <f t="shared" ref="K4:K7" si="4">AND(I4,(E4=F4))</f>
        <v>0</v>
      </c>
    </row>
    <row r="5" spans="1:12" ht="15.75" customHeight="1">
      <c r="A5" s="1" t="s">
        <v>45</v>
      </c>
      <c r="B5" s="1"/>
      <c r="C5" s="1">
        <v>5</v>
      </c>
      <c r="D5" s="1">
        <v>3</v>
      </c>
      <c r="E5" s="1">
        <v>3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0</v>
      </c>
    </row>
    <row r="6" spans="1:12" ht="15.75" customHeight="1">
      <c r="A6" s="1" t="s">
        <v>46</v>
      </c>
      <c r="B6" s="1"/>
      <c r="C6" s="1">
        <v>5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47</v>
      </c>
      <c r="B7" s="1"/>
      <c r="C7" s="1">
        <v>8</v>
      </c>
      <c r="D7" s="1">
        <v>7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B8" s="1" t="s">
        <v>48</v>
      </c>
      <c r="C8" s="1">
        <f t="shared" ref="C8:F8" si="5">SUM(C2:C7)</f>
        <v>22</v>
      </c>
      <c r="D8" s="1">
        <f t="shared" si="5"/>
        <v>13</v>
      </c>
      <c r="E8" s="1">
        <f t="shared" si="5"/>
        <v>4</v>
      </c>
      <c r="F8" s="1">
        <f t="shared" si="5"/>
        <v>1</v>
      </c>
      <c r="G8" s="1">
        <f t="shared" ref="G8:K8" si="6">COUNTIF(G3:G7,"TRUE")</f>
        <v>4</v>
      </c>
      <c r="H8" s="1">
        <f t="shared" si="6"/>
        <v>2</v>
      </c>
      <c r="I8" s="1">
        <f t="shared" si="6"/>
        <v>2</v>
      </c>
      <c r="J8" s="1">
        <f t="shared" si="6"/>
        <v>1</v>
      </c>
      <c r="K8" s="1">
        <f t="shared" si="6"/>
        <v>0</v>
      </c>
      <c r="L8" s="5">
        <f>COUNTA(E3:E7)</f>
        <v>5</v>
      </c>
    </row>
    <row r="9" spans="1:12" ht="15.75" customHeight="1">
      <c r="E9" s="1" t="s">
        <v>3</v>
      </c>
      <c r="F9" s="2"/>
      <c r="G9" s="2">
        <f>G8/L8</f>
        <v>0.8</v>
      </c>
      <c r="H9" s="2">
        <f>H8/L8</f>
        <v>0.4</v>
      </c>
      <c r="I9" s="2">
        <f>I8/L8</f>
        <v>0.4</v>
      </c>
      <c r="J9" s="2">
        <f>J8/L8</f>
        <v>0.2</v>
      </c>
      <c r="K9" s="2">
        <f>K8/L8</f>
        <v>0</v>
      </c>
    </row>
    <row r="10" spans="1:12" ht="15.75" customHeight="1">
      <c r="E10" s="1" t="s">
        <v>49</v>
      </c>
      <c r="F10" s="2"/>
      <c r="G10" s="2"/>
      <c r="H10" s="2">
        <f>H8/G8</f>
        <v>0.5</v>
      </c>
      <c r="I10" s="2">
        <f>I8/G8</f>
        <v>0.5</v>
      </c>
      <c r="J10" s="2">
        <f>J8/G8</f>
        <v>0.25</v>
      </c>
      <c r="K10" s="2">
        <f>K8/G8</f>
        <v>0</v>
      </c>
    </row>
    <row r="11" spans="1:12" ht="15.75" customHeight="1">
      <c r="E11" s="1" t="s">
        <v>50</v>
      </c>
      <c r="F11" s="2"/>
      <c r="G11" s="2">
        <f>E8/C8</f>
        <v>0.18181818181818182</v>
      </c>
      <c r="H11" s="2">
        <f>E8/D8</f>
        <v>0.30769230769230771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"/>
  <sheetViews>
    <sheetView workbookViewId="0">
      <selection activeCell="G7" sqref="G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51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 &gt; 0</f>
        <v>0</v>
      </c>
      <c r="H3" s="1" t="b">
        <f>E3 &gt; 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52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6" si="0">D4 &gt; 0</f>
        <v>0</v>
      </c>
      <c r="H4" s="1" t="b">
        <f t="shared" ref="H4:H6" si="1">E4 &gt; 0</f>
        <v>0</v>
      </c>
      <c r="I4" s="1" t="b">
        <f t="shared" ref="I4:I6" si="2">AND(G4,(D4=E4))</f>
        <v>0</v>
      </c>
      <c r="J4" s="1" t="b">
        <f t="shared" ref="J4:J6" si="3">(F4&gt;0)</f>
        <v>0</v>
      </c>
      <c r="K4" s="1" t="b">
        <f t="shared" ref="K4:K6" si="4">AND(I4,(E4=F4))</f>
        <v>0</v>
      </c>
    </row>
    <row r="5" spans="1:12" ht="15.75" customHeight="1">
      <c r="A5" s="1" t="s">
        <v>53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54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B7" s="1" t="s">
        <v>48</v>
      </c>
      <c r="C7" s="1">
        <f t="shared" ref="C7:F7" si="5">SUM(C2:C6)</f>
        <v>17</v>
      </c>
      <c r="D7" s="1">
        <f t="shared" si="5"/>
        <v>0</v>
      </c>
      <c r="E7" s="1">
        <f t="shared" si="5"/>
        <v>0</v>
      </c>
      <c r="F7" s="1">
        <f t="shared" si="5"/>
        <v>0</v>
      </c>
      <c r="G7" s="1">
        <f t="shared" ref="G7:K7" si="6">COUNTIF(G3:G6,"TRUE")</f>
        <v>0</v>
      </c>
      <c r="H7" s="1">
        <f t="shared" si="6"/>
        <v>0</v>
      </c>
      <c r="I7" s="1">
        <f t="shared" si="6"/>
        <v>0</v>
      </c>
      <c r="J7" s="1">
        <f t="shared" si="6"/>
        <v>0</v>
      </c>
      <c r="K7" s="1">
        <f t="shared" si="6"/>
        <v>0</v>
      </c>
      <c r="L7" s="5">
        <f>COUNTA(E3:E6)</f>
        <v>4</v>
      </c>
    </row>
    <row r="8" spans="1:12" ht="15.75" customHeight="1">
      <c r="E8" s="1" t="s">
        <v>3</v>
      </c>
      <c r="F8" s="2"/>
      <c r="G8" s="2">
        <f>G7/L7</f>
        <v>0</v>
      </c>
      <c r="H8" s="2">
        <f>H7/L7</f>
        <v>0</v>
      </c>
      <c r="I8" s="2">
        <f>I7/L7</f>
        <v>0</v>
      </c>
      <c r="J8" s="2">
        <f>J7/L7</f>
        <v>0</v>
      </c>
      <c r="K8" s="2">
        <f>K7/L7</f>
        <v>0</v>
      </c>
    </row>
    <row r="9" spans="1:12" ht="15.75" customHeight="1">
      <c r="E9" s="1" t="s">
        <v>49</v>
      </c>
      <c r="F9" s="2"/>
      <c r="G9" s="2"/>
      <c r="H9" s="2" t="e">
        <f>H7/G7</f>
        <v>#DIV/0!</v>
      </c>
      <c r="I9" s="2" t="e">
        <f>I7/G7</f>
        <v>#DIV/0!</v>
      </c>
      <c r="J9" s="2" t="e">
        <f>J7/G7</f>
        <v>#DIV/0!</v>
      </c>
      <c r="K9" s="2" t="e">
        <f>K7/G7</f>
        <v>#DIV/0!</v>
      </c>
    </row>
    <row r="10" spans="1:12" ht="15.75" customHeight="1">
      <c r="E10" s="1" t="s">
        <v>50</v>
      </c>
      <c r="F10" s="2"/>
      <c r="G10" s="2">
        <f>E7/C7</f>
        <v>0</v>
      </c>
      <c r="H10" s="2" t="e">
        <f>E7/D7</f>
        <v>#DIV/0!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"/>
  <sheetViews>
    <sheetView workbookViewId="0">
      <selection activeCell="F9" sqref="F9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55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AND(G3,D3=E3)</f>
        <v>0</v>
      </c>
      <c r="J3" s="1" t="b">
        <f>F3&gt;0</f>
        <v>0</v>
      </c>
      <c r="K3" s="1" t="b">
        <f>AND(I3,(E3&gt;F3))</f>
        <v>0</v>
      </c>
    </row>
    <row r="4" spans="1:12" ht="15.75" customHeight="1">
      <c r="A4" s="1" t="s">
        <v>56</v>
      </c>
      <c r="B4" s="1"/>
      <c r="C4" s="1">
        <v>3</v>
      </c>
      <c r="D4" s="1">
        <v>3</v>
      </c>
      <c r="E4" s="1">
        <v>0</v>
      </c>
      <c r="F4" s="1">
        <v>0</v>
      </c>
      <c r="G4" s="1" t="b">
        <f t="shared" ref="G4:G6" si="0">D4&gt;0</f>
        <v>1</v>
      </c>
      <c r="H4" s="1" t="b">
        <f t="shared" ref="H4:H6" si="1">E4&gt;0</f>
        <v>0</v>
      </c>
      <c r="I4" s="1" t="b">
        <f t="shared" ref="I4:I6" si="2">AND(G4,D4=E4)</f>
        <v>0</v>
      </c>
      <c r="J4" s="1" t="b">
        <f t="shared" ref="J4:J6" si="3">F4&gt;0</f>
        <v>0</v>
      </c>
      <c r="K4" s="1" t="b">
        <f t="shared" ref="K4:K6" si="4">AND(I4,(E4&gt;F4))</f>
        <v>0</v>
      </c>
    </row>
    <row r="5" spans="1:12" ht="15.75" customHeight="1">
      <c r="A5" s="1" t="s">
        <v>57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58</v>
      </c>
      <c r="B6" s="1"/>
      <c r="C6" s="1">
        <v>4</v>
      </c>
      <c r="D6" s="1">
        <v>4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B7" s="1" t="s">
        <v>48</v>
      </c>
      <c r="C7" s="1">
        <f t="shared" ref="C7:F7" si="5">SUM(C2:C6)</f>
        <v>17</v>
      </c>
      <c r="D7" s="1">
        <f t="shared" si="5"/>
        <v>7</v>
      </c>
      <c r="E7" s="1">
        <f t="shared" si="5"/>
        <v>0</v>
      </c>
      <c r="F7" s="1">
        <f t="shared" si="5"/>
        <v>0</v>
      </c>
      <c r="G7" s="1">
        <f t="shared" ref="G7:K7" si="6">COUNTIF(G3:G6,"TRUE")</f>
        <v>2</v>
      </c>
      <c r="H7" s="1">
        <f t="shared" si="6"/>
        <v>0</v>
      </c>
      <c r="I7" s="1">
        <f t="shared" si="6"/>
        <v>0</v>
      </c>
      <c r="J7" s="1">
        <f t="shared" si="6"/>
        <v>0</v>
      </c>
      <c r="K7" s="1">
        <f t="shared" si="6"/>
        <v>0</v>
      </c>
      <c r="L7" s="5">
        <f>COUNTA(E3:E6)</f>
        <v>4</v>
      </c>
    </row>
    <row r="8" spans="1:12" ht="15.75" customHeight="1">
      <c r="E8" s="1" t="s">
        <v>3</v>
      </c>
      <c r="F8" s="2"/>
      <c r="G8" s="2">
        <f>G7/L7</f>
        <v>0.5</v>
      </c>
      <c r="H8" s="2">
        <f>H7/L7</f>
        <v>0</v>
      </c>
      <c r="I8" s="2">
        <f>I7/L7</f>
        <v>0</v>
      </c>
      <c r="J8" s="2">
        <f>J7/L7</f>
        <v>0</v>
      </c>
      <c r="K8" s="2">
        <f>K7/L7</f>
        <v>0</v>
      </c>
    </row>
    <row r="9" spans="1:12" ht="15.75" customHeight="1">
      <c r="E9" s="1" t="s">
        <v>49</v>
      </c>
      <c r="F9" s="2"/>
      <c r="G9" s="2"/>
      <c r="H9" s="2">
        <f>H7/G7</f>
        <v>0</v>
      </c>
      <c r="I9" s="2">
        <f>I7/G7</f>
        <v>0</v>
      </c>
      <c r="J9" s="2">
        <f>J7/G7</f>
        <v>0</v>
      </c>
      <c r="K9" s="2">
        <f>K7/G7</f>
        <v>0</v>
      </c>
    </row>
    <row r="10" spans="1:12" ht="15.75" customHeight="1">
      <c r="E10" s="1" t="s">
        <v>50</v>
      </c>
      <c r="F10" s="2"/>
      <c r="G10" s="2">
        <f>E7/C7</f>
        <v>0</v>
      </c>
      <c r="H10" s="2">
        <f>E7/D7</f>
        <v>0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"/>
  <sheetViews>
    <sheetView workbookViewId="0">
      <selection activeCell="I3" sqref="I3:K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59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F3&gt;0</f>
        <v>0</v>
      </c>
      <c r="K3" s="1" t="b">
        <f>AND(I3,(E3=F3))</f>
        <v>0</v>
      </c>
    </row>
    <row r="4" spans="1:12" ht="15.75" customHeight="1">
      <c r="A4" s="1" t="s">
        <v>60</v>
      </c>
      <c r="B4" s="1"/>
      <c r="C4" s="1">
        <v>5</v>
      </c>
      <c r="D4" s="1">
        <v>1</v>
      </c>
      <c r="E4" s="1">
        <v>1</v>
      </c>
      <c r="F4" s="1">
        <v>0</v>
      </c>
      <c r="G4" s="1" t="b">
        <f t="shared" ref="G4:G6" si="0">D4&gt;0</f>
        <v>1</v>
      </c>
      <c r="H4" s="1" t="b">
        <f t="shared" ref="H4:H6" si="1">E4&gt;0</f>
        <v>1</v>
      </c>
      <c r="I4" s="1" t="b">
        <f t="shared" ref="I4:I6" si="2">AND(G4,(D4=E4))</f>
        <v>1</v>
      </c>
      <c r="J4" s="1" t="b">
        <f t="shared" ref="J4:J6" si="3">F4&gt;0</f>
        <v>0</v>
      </c>
      <c r="K4" s="1" t="b">
        <f t="shared" ref="K4:K6" si="4">AND(I4,(E4=F4))</f>
        <v>0</v>
      </c>
    </row>
    <row r="5" spans="1:12" ht="15.75" customHeight="1">
      <c r="A5" s="1" t="s">
        <v>61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62</v>
      </c>
      <c r="B6" s="1"/>
      <c r="C6" s="1">
        <v>10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B7" s="1" t="s">
        <v>48</v>
      </c>
      <c r="C7" s="1">
        <f t="shared" ref="C7:F7" si="5">SUM(C2:C6)</f>
        <v>24</v>
      </c>
      <c r="D7" s="1">
        <f t="shared" si="5"/>
        <v>1</v>
      </c>
      <c r="E7" s="1">
        <f t="shared" si="5"/>
        <v>1</v>
      </c>
      <c r="F7" s="1">
        <f t="shared" si="5"/>
        <v>0</v>
      </c>
      <c r="G7" s="1">
        <f t="shared" ref="G7:K7" si="6">COUNTIF(G3:G6,"TRUE")</f>
        <v>1</v>
      </c>
      <c r="H7" s="1">
        <f t="shared" si="6"/>
        <v>1</v>
      </c>
      <c r="I7" s="1">
        <f t="shared" si="6"/>
        <v>1</v>
      </c>
      <c r="J7" s="1">
        <f t="shared" si="6"/>
        <v>0</v>
      </c>
      <c r="K7" s="1">
        <f t="shared" si="6"/>
        <v>0</v>
      </c>
      <c r="L7" s="5">
        <f>COUNTA(E3:E6)</f>
        <v>4</v>
      </c>
    </row>
    <row r="8" spans="1:12" ht="15.75" customHeight="1">
      <c r="E8" s="1" t="s">
        <v>3</v>
      </c>
      <c r="F8" s="2"/>
      <c r="G8" s="2">
        <f>G7/L7</f>
        <v>0.25</v>
      </c>
      <c r="H8" s="2">
        <f>H7/L7</f>
        <v>0.25</v>
      </c>
      <c r="I8" s="2">
        <f>I7/L7</f>
        <v>0.25</v>
      </c>
      <c r="J8" s="2">
        <f>J7/L7</f>
        <v>0</v>
      </c>
      <c r="K8" s="2">
        <f>K7/L7</f>
        <v>0</v>
      </c>
    </row>
    <row r="9" spans="1:12" ht="15.75" customHeight="1">
      <c r="E9" s="1" t="s">
        <v>49</v>
      </c>
      <c r="F9" s="2"/>
      <c r="G9" s="2"/>
      <c r="H9" s="2">
        <f>H7/G7</f>
        <v>1</v>
      </c>
      <c r="I9" s="2">
        <f>I7/G7</f>
        <v>1</v>
      </c>
      <c r="J9" s="2">
        <f>J7/G7</f>
        <v>0</v>
      </c>
      <c r="K9" s="2">
        <f>K7/G7</f>
        <v>0</v>
      </c>
    </row>
    <row r="10" spans="1:12" ht="15.75" customHeight="1">
      <c r="E10" s="1" t="s">
        <v>50</v>
      </c>
      <c r="F10" s="2"/>
      <c r="G10" s="2">
        <f>E7/C7</f>
        <v>4.1666666666666664E-2</v>
      </c>
      <c r="H10" s="2">
        <f>E7/D7</f>
        <v>1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2"/>
  <sheetViews>
    <sheetView workbookViewId="0">
      <selection activeCell="A26" sqref="A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63</v>
      </c>
      <c r="B3" s="1"/>
      <c r="C3" s="1">
        <v>1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64</v>
      </c>
      <c r="B4" s="1"/>
      <c r="C4" s="1">
        <v>5</v>
      </c>
      <c r="D4" s="1">
        <v>3</v>
      </c>
      <c r="E4" s="1">
        <v>0</v>
      </c>
      <c r="F4" s="1">
        <v>0</v>
      </c>
      <c r="G4" s="1" t="b">
        <f t="shared" ref="G4:G8" si="0">D4&gt;0</f>
        <v>1</v>
      </c>
      <c r="H4" s="1" t="b">
        <f t="shared" ref="H4:H8" si="1">E4&gt;0</f>
        <v>0</v>
      </c>
      <c r="I4" s="1" t="b">
        <f t="shared" ref="I4:I8" si="2">AND(G4,(D4=E4))</f>
        <v>0</v>
      </c>
      <c r="J4" s="1" t="b">
        <f t="shared" ref="J4:J8" si="3">(F4&gt;0)</f>
        <v>0</v>
      </c>
      <c r="K4" s="1" t="b">
        <f t="shared" ref="K4:K8" si="4">AND(I4,(E4=F4))</f>
        <v>0</v>
      </c>
    </row>
    <row r="5" spans="1:12" ht="15.75" customHeight="1">
      <c r="A5" s="1" t="s">
        <v>65</v>
      </c>
      <c r="B5" s="1"/>
      <c r="C5" s="1">
        <v>8</v>
      </c>
      <c r="D5" s="1">
        <v>3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66</v>
      </c>
      <c r="B6" s="1"/>
      <c r="C6" s="1">
        <v>7</v>
      </c>
      <c r="D6" s="1">
        <v>5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67</v>
      </c>
      <c r="B7" s="1"/>
      <c r="C7" s="1">
        <v>4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68</v>
      </c>
      <c r="B8" s="1"/>
      <c r="C8" s="1">
        <v>8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33</v>
      </c>
      <c r="D9" s="1">
        <f t="shared" si="5"/>
        <v>13</v>
      </c>
      <c r="E9" s="1">
        <f t="shared" si="5"/>
        <v>1</v>
      </c>
      <c r="F9" s="1">
        <f t="shared" si="5"/>
        <v>0</v>
      </c>
      <c r="G9" s="1">
        <f t="shared" ref="G9:K9" si="6">COUNTIF(G3:G8,"TRUE")</f>
        <v>5</v>
      </c>
      <c r="H9" s="1">
        <f t="shared" si="6"/>
        <v>1</v>
      </c>
      <c r="I9" s="1">
        <f t="shared" si="6"/>
        <v>0</v>
      </c>
      <c r="J9" s="1">
        <f t="shared" si="6"/>
        <v>0</v>
      </c>
      <c r="K9" s="1">
        <f t="shared" si="6"/>
        <v>0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0.83333333333333337</v>
      </c>
      <c r="H10" s="2">
        <f>H9/L9</f>
        <v>0.16666666666666666</v>
      </c>
      <c r="I10" s="2">
        <f>I9/L9</f>
        <v>0</v>
      </c>
      <c r="J10" s="2">
        <f>J9/L9</f>
        <v>0</v>
      </c>
      <c r="K10" s="2">
        <f>K9/L9</f>
        <v>0</v>
      </c>
    </row>
    <row r="11" spans="1:12" ht="15.75" customHeight="1">
      <c r="E11" s="1" t="s">
        <v>49</v>
      </c>
      <c r="F11" s="2"/>
      <c r="G11" s="2"/>
      <c r="H11" s="2">
        <f>H9/G9</f>
        <v>0.2</v>
      </c>
      <c r="I11" s="2">
        <f>I9/G9</f>
        <v>0</v>
      </c>
      <c r="J11" s="2">
        <f>J9/G9</f>
        <v>0</v>
      </c>
      <c r="K11" s="2">
        <f>K9/G9</f>
        <v>0</v>
      </c>
    </row>
    <row r="12" spans="1:12" ht="15.75" customHeight="1">
      <c r="E12" s="1" t="s">
        <v>50</v>
      </c>
      <c r="F12" s="2"/>
      <c r="G12" s="2">
        <f>E9/C9</f>
        <v>3.0303030303030304E-2</v>
      </c>
      <c r="H12" s="2">
        <f>E9/D9</f>
        <v>7.6923076923076927E-2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1"/>
  <sheetViews>
    <sheetView workbookViewId="0">
      <selection activeCell="B25" sqref="B2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69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70</v>
      </c>
      <c r="B4" s="1"/>
      <c r="C4" s="1">
        <v>7</v>
      </c>
      <c r="D4" s="1">
        <v>0</v>
      </c>
      <c r="E4" s="1">
        <v>0</v>
      </c>
      <c r="F4" s="1">
        <v>0</v>
      </c>
      <c r="G4" s="1" t="b">
        <f t="shared" ref="G4:G7" si="0">(D4&gt;0)</f>
        <v>0</v>
      </c>
      <c r="H4" s="1" t="b">
        <f t="shared" ref="H4:H7" si="1">(E4&gt;0)</f>
        <v>0</v>
      </c>
      <c r="I4" s="1" t="b">
        <f t="shared" ref="I4:I7" si="2">AND(G4,(D4=E4))</f>
        <v>0</v>
      </c>
      <c r="J4" s="1" t="b">
        <f t="shared" ref="J4:J7" si="3">(F4&gt;0)</f>
        <v>0</v>
      </c>
      <c r="K4" s="1" t="b">
        <f t="shared" ref="K4:K7" si="4">AND(I4,(E4=F4))</f>
        <v>0</v>
      </c>
    </row>
    <row r="5" spans="1:12" ht="15.75" customHeight="1">
      <c r="A5" s="1" t="s">
        <v>71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72</v>
      </c>
      <c r="B6" s="1"/>
      <c r="C6" s="1">
        <v>11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73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B8" s="1" t="s">
        <v>48</v>
      </c>
      <c r="C8" s="1">
        <f t="shared" ref="C8:F8" si="5">SUM(C2:C7)</f>
        <v>33</v>
      </c>
      <c r="D8" s="1">
        <f t="shared" si="5"/>
        <v>0</v>
      </c>
      <c r="E8" s="1">
        <f t="shared" si="5"/>
        <v>0</v>
      </c>
      <c r="F8" s="1">
        <f t="shared" si="5"/>
        <v>0</v>
      </c>
      <c r="G8" s="1">
        <f t="shared" ref="G8:K8" si="6">COUNTIF(G3:G7,"TRUE")</f>
        <v>0</v>
      </c>
      <c r="H8" s="1">
        <f t="shared" si="6"/>
        <v>0</v>
      </c>
      <c r="I8" s="1">
        <f t="shared" si="6"/>
        <v>0</v>
      </c>
      <c r="J8" s="1">
        <f t="shared" si="6"/>
        <v>0</v>
      </c>
      <c r="K8" s="1">
        <f t="shared" si="6"/>
        <v>0</v>
      </c>
      <c r="L8" s="5">
        <f>COUNTA(E3:E7)</f>
        <v>5</v>
      </c>
    </row>
    <row r="9" spans="1:12" ht="15.75" customHeight="1">
      <c r="E9" s="1" t="s">
        <v>3</v>
      </c>
      <c r="F9" s="2"/>
      <c r="G9" s="2">
        <f>G8/L8</f>
        <v>0</v>
      </c>
      <c r="H9" s="2">
        <f>H8/L8</f>
        <v>0</v>
      </c>
      <c r="I9" s="2">
        <f>I8/L8</f>
        <v>0</v>
      </c>
      <c r="J9" s="2">
        <f>J8/L8</f>
        <v>0</v>
      </c>
      <c r="K9" s="2">
        <f>K8/L8</f>
        <v>0</v>
      </c>
    </row>
    <row r="10" spans="1:12" ht="15.75" customHeight="1">
      <c r="E10" s="1" t="s">
        <v>49</v>
      </c>
      <c r="F10" s="2"/>
      <c r="G10" s="2"/>
      <c r="H10" s="2" t="e">
        <f>H8/G8</f>
        <v>#DIV/0!</v>
      </c>
      <c r="I10" s="2" t="e">
        <f>I8/G8</f>
        <v>#DIV/0!</v>
      </c>
      <c r="J10" s="2" t="e">
        <f>J8/G8</f>
        <v>#DIV/0!</v>
      </c>
      <c r="K10" s="2" t="e">
        <f>K8/G8</f>
        <v>#DIV/0!</v>
      </c>
    </row>
    <row r="11" spans="1:12" ht="15.75" customHeight="1">
      <c r="E11" s="1" t="s">
        <v>50</v>
      </c>
      <c r="F11" s="2"/>
      <c r="G11" s="2">
        <f>E8/C8</f>
        <v>0</v>
      </c>
      <c r="H11" s="2" t="e">
        <f>E8/D8</f>
        <v>#DIV/0!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1"/>
  <sheetViews>
    <sheetView workbookViewId="0">
      <selection activeCell="C24" sqref="C2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74</v>
      </c>
      <c r="B3" s="1"/>
      <c r="C3" s="1">
        <v>6</v>
      </c>
      <c r="D3" s="1">
        <v>4</v>
      </c>
      <c r="E3" s="1">
        <v>4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75</v>
      </c>
      <c r="B4" s="1"/>
      <c r="C4" s="1">
        <v>4</v>
      </c>
      <c r="D4" s="1">
        <v>3</v>
      </c>
      <c r="E4" s="1">
        <v>0</v>
      </c>
      <c r="F4" s="1">
        <v>0</v>
      </c>
      <c r="G4" s="1" t="b">
        <f t="shared" ref="G4:G7" si="0">(D4&gt;0)</f>
        <v>1</v>
      </c>
      <c r="H4" s="1" t="b">
        <f t="shared" ref="H4:H7" si="1">(E4&gt;0)</f>
        <v>0</v>
      </c>
      <c r="I4" s="1" t="b">
        <f t="shared" ref="I4:I7" si="2">AND(G4,(D4=E4))</f>
        <v>0</v>
      </c>
      <c r="J4" s="1" t="b">
        <f t="shared" ref="J4:J7" si="3">(F4&gt;0)</f>
        <v>0</v>
      </c>
      <c r="K4" s="1" t="b">
        <f t="shared" ref="K4:K7" si="4">AND(I4,(E4=F4))</f>
        <v>0</v>
      </c>
    </row>
    <row r="5" spans="1:12" ht="15.75" customHeight="1">
      <c r="A5" s="1" t="s">
        <v>76</v>
      </c>
      <c r="B5" s="1"/>
      <c r="C5" s="1">
        <v>5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77</v>
      </c>
      <c r="B6" s="1"/>
      <c r="C6" s="1">
        <v>5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78</v>
      </c>
      <c r="B7" s="1"/>
      <c r="C7" s="1">
        <v>2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B8" s="1" t="s">
        <v>48</v>
      </c>
      <c r="C8" s="1">
        <f t="shared" ref="C8:F8" si="5">SUM(C2:C7)</f>
        <v>22</v>
      </c>
      <c r="D8" s="1">
        <f t="shared" si="5"/>
        <v>11</v>
      </c>
      <c r="E8" s="1">
        <f t="shared" si="5"/>
        <v>4</v>
      </c>
      <c r="F8" s="1">
        <f t="shared" si="5"/>
        <v>0</v>
      </c>
      <c r="G8" s="1">
        <f t="shared" ref="G8:K8" si="6">COUNTIF(G3:G7,"TRUE")</f>
        <v>5</v>
      </c>
      <c r="H8" s="1">
        <f t="shared" si="6"/>
        <v>1</v>
      </c>
      <c r="I8" s="1">
        <f t="shared" si="6"/>
        <v>1</v>
      </c>
      <c r="J8" s="1">
        <f t="shared" si="6"/>
        <v>0</v>
      </c>
      <c r="K8" s="1">
        <f t="shared" si="6"/>
        <v>0</v>
      </c>
      <c r="L8" s="5">
        <f>COUNTA(E3:E7)</f>
        <v>5</v>
      </c>
    </row>
    <row r="9" spans="1:12" ht="15.75" customHeight="1">
      <c r="E9" s="1" t="s">
        <v>3</v>
      </c>
      <c r="F9" s="2"/>
      <c r="G9" s="2">
        <f>G8/L8</f>
        <v>1</v>
      </c>
      <c r="H9" s="2">
        <f>H8/L8</f>
        <v>0.2</v>
      </c>
      <c r="I9" s="2">
        <f>I8/L8</f>
        <v>0.2</v>
      </c>
      <c r="J9" s="2">
        <f>J8/L8</f>
        <v>0</v>
      </c>
      <c r="K9" s="2">
        <f>K8/L8</f>
        <v>0</v>
      </c>
    </row>
    <row r="10" spans="1:12" ht="15.75" customHeight="1">
      <c r="E10" s="1" t="s">
        <v>49</v>
      </c>
      <c r="F10" s="2"/>
      <c r="G10" s="2"/>
      <c r="H10" s="2">
        <f>H8/G8</f>
        <v>0.2</v>
      </c>
      <c r="I10" s="2">
        <f>I8/G8</f>
        <v>0.2</v>
      </c>
      <c r="J10" s="2">
        <f>J8/G8</f>
        <v>0</v>
      </c>
      <c r="K10" s="2">
        <f>K8/G8</f>
        <v>0</v>
      </c>
    </row>
    <row r="11" spans="1:12" ht="15.75" customHeight="1">
      <c r="E11" s="1" t="s">
        <v>50</v>
      </c>
      <c r="F11" s="2"/>
      <c r="G11" s="2">
        <f>E8/C8</f>
        <v>0.18181818181818182</v>
      </c>
      <c r="H11" s="2">
        <f>E8/D8</f>
        <v>0.36363636363636365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3"/>
  <sheetViews>
    <sheetView workbookViewId="0">
      <selection activeCell="D25" sqref="D2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79</v>
      </c>
      <c r="B3" s="1"/>
      <c r="C3" s="1">
        <v>9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80</v>
      </c>
      <c r="B4" s="1"/>
      <c r="C4" s="1">
        <v>10</v>
      </c>
      <c r="D4" s="1">
        <v>4</v>
      </c>
      <c r="E4" s="1">
        <v>4</v>
      </c>
      <c r="F4" s="1">
        <v>2</v>
      </c>
      <c r="G4" s="1" t="b">
        <f t="shared" ref="G4:G9" si="0">(D4&gt;0)</f>
        <v>1</v>
      </c>
      <c r="H4" s="1" t="b">
        <f t="shared" ref="H4:H9" si="1">(E4&gt;0)</f>
        <v>1</v>
      </c>
      <c r="I4" s="1" t="b">
        <f t="shared" ref="I4:I9" si="2">AND(G4,(D4=E4))</f>
        <v>1</v>
      </c>
      <c r="J4" s="1" t="b">
        <f t="shared" ref="J4:J9" si="3">(F4&gt;0)</f>
        <v>1</v>
      </c>
      <c r="K4" s="1" t="b">
        <f t="shared" ref="K4:K9" si="4">AND(I4,(E4=F4))</f>
        <v>0</v>
      </c>
    </row>
    <row r="5" spans="1:12" ht="15.75" customHeight="1">
      <c r="A5" s="1" t="s">
        <v>81</v>
      </c>
      <c r="B5" s="1"/>
      <c r="C5" s="1">
        <v>8</v>
      </c>
      <c r="D5" s="1">
        <v>4</v>
      </c>
      <c r="E5" s="1">
        <v>3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1</v>
      </c>
      <c r="K5" s="1" t="b">
        <f t="shared" si="4"/>
        <v>0</v>
      </c>
    </row>
    <row r="6" spans="1:12" ht="15.75" customHeight="1">
      <c r="A6" s="1" t="s">
        <v>82</v>
      </c>
      <c r="B6" s="1"/>
      <c r="C6" s="1">
        <v>5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83</v>
      </c>
      <c r="B7" s="1"/>
      <c r="C7" s="1">
        <v>13</v>
      </c>
      <c r="D7" s="1">
        <v>7</v>
      </c>
      <c r="E7" s="1">
        <v>7</v>
      </c>
      <c r="F7" s="1">
        <v>7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2" ht="15.75" customHeight="1">
      <c r="A8" s="1" t="s">
        <v>84</v>
      </c>
      <c r="B8" s="1"/>
      <c r="C8" s="1">
        <v>7</v>
      </c>
      <c r="D8" s="1">
        <v>3</v>
      </c>
      <c r="E8" s="1">
        <v>3</v>
      </c>
      <c r="F8" s="1">
        <v>3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A9" s="1" t="s">
        <v>85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B10" s="1" t="s">
        <v>48</v>
      </c>
      <c r="C10" s="1">
        <f t="shared" ref="C10:F10" si="5">SUM(C2:C9)</f>
        <v>58</v>
      </c>
      <c r="D10" s="1">
        <f t="shared" si="5"/>
        <v>20</v>
      </c>
      <c r="E10" s="1">
        <f t="shared" si="5"/>
        <v>18</v>
      </c>
      <c r="F10" s="1">
        <f t="shared" si="5"/>
        <v>14</v>
      </c>
      <c r="G10" s="1">
        <f t="shared" ref="G10:K10" si="6">COUNTIF(G3:G9,"TRUE")</f>
        <v>6</v>
      </c>
      <c r="H10" s="1">
        <f t="shared" si="6"/>
        <v>5</v>
      </c>
      <c r="I10" s="1">
        <f t="shared" si="6"/>
        <v>4</v>
      </c>
      <c r="J10" s="1">
        <f t="shared" si="6"/>
        <v>5</v>
      </c>
      <c r="K10" s="1">
        <f t="shared" si="6"/>
        <v>3</v>
      </c>
      <c r="L10" s="5">
        <f>COUNTA(E3:E9)</f>
        <v>7</v>
      </c>
    </row>
    <row r="11" spans="1:12" ht="15.75" customHeight="1">
      <c r="E11" s="1" t="s">
        <v>3</v>
      </c>
      <c r="F11" s="2"/>
      <c r="G11" s="2">
        <f>G10/L10</f>
        <v>0.8571428571428571</v>
      </c>
      <c r="H11" s="2">
        <f>H10/L10</f>
        <v>0.7142857142857143</v>
      </c>
      <c r="I11" s="2">
        <f>I10/L10</f>
        <v>0.5714285714285714</v>
      </c>
      <c r="J11" s="2">
        <f>J10/L10</f>
        <v>0.7142857142857143</v>
      </c>
      <c r="K11" s="2">
        <f>K10/L10</f>
        <v>0.42857142857142855</v>
      </c>
    </row>
    <row r="12" spans="1:12" ht="15.75" customHeight="1">
      <c r="E12" s="1" t="s">
        <v>49</v>
      </c>
      <c r="F12" s="2"/>
      <c r="G12" s="2"/>
      <c r="H12" s="2">
        <f>H10/G10</f>
        <v>0.83333333333333337</v>
      </c>
      <c r="I12" s="2">
        <f>I10/G10</f>
        <v>0.66666666666666663</v>
      </c>
      <c r="J12" s="2">
        <f>J10/G10</f>
        <v>0.83333333333333337</v>
      </c>
      <c r="K12" s="2">
        <f>K10/G10</f>
        <v>0.5</v>
      </c>
    </row>
    <row r="13" spans="1:12" ht="15.75" customHeight="1">
      <c r="E13" s="1" t="s">
        <v>50</v>
      </c>
      <c r="F13" s="2"/>
      <c r="G13" s="2">
        <f>E10/C10</f>
        <v>0.31034482758620691</v>
      </c>
      <c r="H13" s="2">
        <f>E10/D10</f>
        <v>0.9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2"/>
  <sheetViews>
    <sheetView workbookViewId="0">
      <selection activeCell="E28" sqref="E2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86</v>
      </c>
      <c r="B3" s="1"/>
      <c r="C3" s="1">
        <v>4</v>
      </c>
      <c r="D3" s="1">
        <v>2</v>
      </c>
      <c r="E3" s="1">
        <v>2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87</v>
      </c>
      <c r="B4" s="1"/>
      <c r="C4" s="1">
        <v>6</v>
      </c>
      <c r="D4" s="1">
        <v>0</v>
      </c>
      <c r="E4" s="1">
        <v>0</v>
      </c>
      <c r="F4" s="1">
        <v>0</v>
      </c>
      <c r="G4" s="1" t="b">
        <f t="shared" ref="G4:G8" si="0">(D4&gt;0)</f>
        <v>0</v>
      </c>
      <c r="H4" s="1" t="b">
        <f t="shared" ref="H4:H8" si="1">(E4&gt;0)</f>
        <v>0</v>
      </c>
      <c r="I4" s="1" t="b">
        <f t="shared" ref="I4:I8" si="2">AND(G4,(D4=E4))</f>
        <v>0</v>
      </c>
      <c r="J4" s="1" t="b">
        <f t="shared" ref="J4:J8" si="3">(F4&gt;0)</f>
        <v>0</v>
      </c>
      <c r="K4" s="1" t="b">
        <f t="shared" ref="K4:K8" si="4">AND(I4,(E4=F4))</f>
        <v>0</v>
      </c>
    </row>
    <row r="5" spans="1:12" ht="15.75" customHeight="1">
      <c r="A5" s="1" t="s">
        <v>88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89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90</v>
      </c>
      <c r="B7" s="1"/>
      <c r="C7" s="1">
        <v>3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91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28</v>
      </c>
      <c r="D9" s="1">
        <f t="shared" si="5"/>
        <v>2</v>
      </c>
      <c r="E9" s="1">
        <f t="shared" si="5"/>
        <v>2</v>
      </c>
      <c r="F9" s="1">
        <f t="shared" si="5"/>
        <v>0</v>
      </c>
      <c r="G9" s="1">
        <f t="shared" ref="G9:K9" si="6">COUNTIF(G3:G8,"TRUE")</f>
        <v>1</v>
      </c>
      <c r="H9" s="1">
        <f t="shared" si="6"/>
        <v>1</v>
      </c>
      <c r="I9" s="1">
        <f t="shared" si="6"/>
        <v>1</v>
      </c>
      <c r="J9" s="1">
        <f t="shared" si="6"/>
        <v>0</v>
      </c>
      <c r="K9" s="1">
        <f t="shared" si="6"/>
        <v>0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0.16666666666666666</v>
      </c>
      <c r="H10" s="2">
        <f>H9/L9</f>
        <v>0.16666666666666666</v>
      </c>
      <c r="I10" s="2">
        <f>I9/L9</f>
        <v>0.16666666666666666</v>
      </c>
      <c r="J10" s="2">
        <f>J9/L9</f>
        <v>0</v>
      </c>
      <c r="K10" s="2">
        <f>K9/L9</f>
        <v>0</v>
      </c>
    </row>
    <row r="11" spans="1:12" ht="15.75" customHeight="1">
      <c r="E11" s="1" t="s">
        <v>49</v>
      </c>
      <c r="F11" s="2"/>
      <c r="G11" s="2"/>
      <c r="H11" s="2">
        <f>H9/G9</f>
        <v>1</v>
      </c>
      <c r="I11" s="2">
        <f>I9/G9</f>
        <v>1</v>
      </c>
      <c r="J11" s="2">
        <f>J9/G9</f>
        <v>0</v>
      </c>
      <c r="K11" s="2">
        <f>K9/G9</f>
        <v>0</v>
      </c>
    </row>
    <row r="12" spans="1:12" ht="15.75" customHeight="1">
      <c r="E12" s="1" t="s">
        <v>50</v>
      </c>
      <c r="F12" s="2"/>
      <c r="G12" s="2">
        <f>E9/C9</f>
        <v>7.1428571428571425E-2</v>
      </c>
      <c r="H12" s="2">
        <f>E9/D9</f>
        <v>1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2"/>
  <sheetViews>
    <sheetView workbookViewId="0">
      <selection activeCell="F18" sqref="F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92</v>
      </c>
      <c r="B3" s="1"/>
      <c r="C3" s="1">
        <v>6</v>
      </c>
      <c r="D3" s="1">
        <v>2</v>
      </c>
      <c r="E3" s="1">
        <v>2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93</v>
      </c>
      <c r="B4" s="1"/>
      <c r="C4" s="1">
        <v>3</v>
      </c>
      <c r="D4" s="1">
        <v>2</v>
      </c>
      <c r="E4" s="1">
        <v>0</v>
      </c>
      <c r="F4" s="1">
        <v>0</v>
      </c>
      <c r="G4" s="1" t="b">
        <f t="shared" ref="G4:G8" si="0">(D4&gt;0)</f>
        <v>1</v>
      </c>
      <c r="H4" s="1" t="b">
        <f t="shared" ref="H4:H8" si="1">(E4&gt;0)</f>
        <v>0</v>
      </c>
      <c r="I4" s="1" t="b">
        <f t="shared" ref="I4:I8" si="2">AND(G4,(D4=E4))</f>
        <v>0</v>
      </c>
      <c r="J4" s="1" t="b">
        <f t="shared" ref="J4:J8" si="3">(F4&gt;0)</f>
        <v>0</v>
      </c>
      <c r="K4" s="1" t="b">
        <f t="shared" ref="K4:K8" si="4">AND(I4,(E4=F4))</f>
        <v>0</v>
      </c>
    </row>
    <row r="5" spans="1:12" ht="15.75" customHeight="1">
      <c r="A5" s="1" t="s">
        <v>94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95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96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97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B9" s="1" t="s">
        <v>48</v>
      </c>
      <c r="C9" s="1">
        <f t="shared" ref="C9:F9" si="5">SUM(C2:C8)</f>
        <v>26</v>
      </c>
      <c r="D9" s="1">
        <f t="shared" si="5"/>
        <v>5</v>
      </c>
      <c r="E9" s="1">
        <f t="shared" si="5"/>
        <v>2</v>
      </c>
      <c r="F9" s="1">
        <f t="shared" si="5"/>
        <v>0</v>
      </c>
      <c r="G9" s="1">
        <f t="shared" ref="G9:K9" si="6">COUNTIF(G3:G8,"TRUE")</f>
        <v>3</v>
      </c>
      <c r="H9" s="1">
        <f t="shared" si="6"/>
        <v>1</v>
      </c>
      <c r="I9" s="1">
        <f t="shared" si="6"/>
        <v>1</v>
      </c>
      <c r="J9" s="1">
        <f t="shared" si="6"/>
        <v>0</v>
      </c>
      <c r="K9" s="1">
        <f t="shared" si="6"/>
        <v>0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0.5</v>
      </c>
      <c r="H10" s="2">
        <f>H9/L9</f>
        <v>0.16666666666666666</v>
      </c>
      <c r="I10" s="2">
        <f>I9/L9</f>
        <v>0.16666666666666666</v>
      </c>
      <c r="J10" s="2">
        <f>J9/L9</f>
        <v>0</v>
      </c>
      <c r="K10" s="2">
        <f>K9/L9</f>
        <v>0</v>
      </c>
    </row>
    <row r="11" spans="1:12" ht="15.75" customHeight="1">
      <c r="E11" s="1" t="s">
        <v>49</v>
      </c>
      <c r="F11" s="2"/>
      <c r="G11" s="2"/>
      <c r="H11" s="2">
        <f>H9/G9</f>
        <v>0.33333333333333331</v>
      </c>
      <c r="I11" s="2">
        <f>I9/G9</f>
        <v>0.33333333333333331</v>
      </c>
      <c r="J11" s="2">
        <f>J9/G9</f>
        <v>0</v>
      </c>
      <c r="K11" s="2">
        <f>K9/G9</f>
        <v>0</v>
      </c>
    </row>
    <row r="12" spans="1:12" ht="15.75" customHeight="1">
      <c r="E12" s="1" t="s">
        <v>50</v>
      </c>
      <c r="F12" s="2"/>
      <c r="G12" s="2">
        <f>E9/C9</f>
        <v>7.6923076923076927E-2</v>
      </c>
      <c r="H12" s="2">
        <f>E9/D9</f>
        <v>0.4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2"/>
  <sheetViews>
    <sheetView workbookViewId="0">
      <selection activeCell="G18" sqref="G1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98</v>
      </c>
      <c r="B3" s="1"/>
      <c r="C3" s="1">
        <v>6</v>
      </c>
      <c r="D3" s="1">
        <v>1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99</v>
      </c>
      <c r="B4" s="1"/>
      <c r="C4" s="1">
        <v>7</v>
      </c>
      <c r="D4" s="1">
        <v>2</v>
      </c>
      <c r="E4" s="1">
        <v>0</v>
      </c>
      <c r="F4" s="1">
        <v>0</v>
      </c>
      <c r="G4" s="1" t="b">
        <f t="shared" ref="G4:G8" si="0">(D4&gt;0)</f>
        <v>1</v>
      </c>
      <c r="H4" s="1" t="b">
        <f t="shared" ref="H4:H8" si="1">(E4&gt;0)</f>
        <v>0</v>
      </c>
      <c r="I4" s="1" t="b">
        <f t="shared" ref="I4:I8" si="2">AND(G4,(D4=E4))</f>
        <v>0</v>
      </c>
      <c r="J4" s="1" t="b">
        <f t="shared" ref="J4:J8" si="3">(F4&gt;0)</f>
        <v>0</v>
      </c>
      <c r="K4" s="1" t="b">
        <f t="shared" ref="K4:K8" si="4">AND(I4,(E4=F4))</f>
        <v>0</v>
      </c>
    </row>
    <row r="5" spans="1:12" ht="15.75" customHeight="1">
      <c r="A5" s="1" t="s">
        <v>100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101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2" ht="15.75" customHeight="1">
      <c r="A7" s="1" t="s">
        <v>102</v>
      </c>
      <c r="B7" s="1"/>
      <c r="C7" s="1">
        <v>7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103</v>
      </c>
      <c r="B8" s="1"/>
      <c r="C8" s="1">
        <v>8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B9" s="1" t="s">
        <v>48</v>
      </c>
      <c r="C9" s="1">
        <f t="shared" ref="C9:F9" si="5">SUM(C2:C8)</f>
        <v>36</v>
      </c>
      <c r="D9" s="1">
        <f t="shared" si="5"/>
        <v>5</v>
      </c>
      <c r="E9" s="1">
        <f t="shared" si="5"/>
        <v>2</v>
      </c>
      <c r="F9" s="1">
        <f t="shared" si="5"/>
        <v>2</v>
      </c>
      <c r="G9" s="1">
        <f t="shared" ref="G9:K9" si="6">COUNTIF(G3:G8,"TRUE")</f>
        <v>4</v>
      </c>
      <c r="H9" s="1">
        <f t="shared" si="6"/>
        <v>2</v>
      </c>
      <c r="I9" s="1">
        <f t="shared" si="6"/>
        <v>2</v>
      </c>
      <c r="J9" s="1">
        <f t="shared" si="6"/>
        <v>2</v>
      </c>
      <c r="K9" s="1">
        <f t="shared" si="6"/>
        <v>2</v>
      </c>
      <c r="L9" s="5">
        <f>COUNTA(E3:E8)</f>
        <v>6</v>
      </c>
    </row>
    <row r="10" spans="1:12" ht="15.75" customHeight="1">
      <c r="E10" s="1" t="s">
        <v>3</v>
      </c>
      <c r="F10" s="2"/>
      <c r="G10" s="2">
        <f>G9/L9</f>
        <v>0.66666666666666663</v>
      </c>
      <c r="H10" s="2">
        <f>H9/L9</f>
        <v>0.33333333333333331</v>
      </c>
      <c r="I10" s="2">
        <f>I9/L9</f>
        <v>0.33333333333333331</v>
      </c>
      <c r="J10" s="2">
        <f>J9/L9</f>
        <v>0.33333333333333331</v>
      </c>
      <c r="K10" s="2">
        <f>K9/L9</f>
        <v>0.33333333333333331</v>
      </c>
    </row>
    <row r="11" spans="1:12" ht="15.75" customHeight="1">
      <c r="E11" s="1" t="s">
        <v>49</v>
      </c>
      <c r="F11" s="2"/>
      <c r="G11" s="2"/>
      <c r="H11" s="2">
        <f>H9/G9</f>
        <v>0.5</v>
      </c>
      <c r="I11" s="2">
        <f>I9/G9</f>
        <v>0.5</v>
      </c>
      <c r="J11" s="2">
        <f>J9/G9</f>
        <v>0.5</v>
      </c>
      <c r="K11" s="2">
        <f>K9/G9</f>
        <v>0.5</v>
      </c>
    </row>
    <row r="12" spans="1:12" ht="15.75" customHeight="1">
      <c r="E12" s="1" t="s">
        <v>50</v>
      </c>
      <c r="F12" s="2"/>
      <c r="G12" s="2">
        <f>E9/C9</f>
        <v>5.5555555555555552E-2</v>
      </c>
      <c r="H12" s="2">
        <f>E9/D9</f>
        <v>0.4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11"/>
  <sheetViews>
    <sheetView workbookViewId="0">
      <selection activeCell="J13" sqref="J1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4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6" t="s">
        <v>104</v>
      </c>
      <c r="B3" s="6"/>
      <c r="C3" s="7">
        <v>5</v>
      </c>
      <c r="D3" s="7">
        <v>0</v>
      </c>
      <c r="E3" s="7">
        <v>0</v>
      </c>
      <c r="F3" s="7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6" t="s">
        <v>105</v>
      </c>
      <c r="B4" s="6"/>
      <c r="C4" s="7">
        <v>3</v>
      </c>
      <c r="D4" s="7">
        <v>1</v>
      </c>
      <c r="E4" s="7">
        <v>0</v>
      </c>
      <c r="F4" s="7">
        <v>0</v>
      </c>
      <c r="G4" s="1" t="b">
        <f t="shared" ref="G4:G7" si="0">(D4&gt;0)</f>
        <v>1</v>
      </c>
      <c r="H4" s="1" t="b">
        <f t="shared" ref="H4:H7" si="1">(E4&gt;0)</f>
        <v>0</v>
      </c>
      <c r="I4" s="1" t="b">
        <f t="shared" ref="I4:I7" si="2">AND(G4,(D4=E4))</f>
        <v>0</v>
      </c>
      <c r="J4" s="1" t="b">
        <f t="shared" ref="J4:J7" si="3">(F4&gt;0)</f>
        <v>0</v>
      </c>
      <c r="K4" s="1" t="b">
        <f t="shared" ref="K4:K7" si="4">AND(I4,(E4=F4))</f>
        <v>0</v>
      </c>
    </row>
    <row r="5" spans="1:12" ht="15.75" customHeight="1">
      <c r="A5" s="6" t="s">
        <v>106</v>
      </c>
      <c r="B5" s="6"/>
      <c r="C5" s="7">
        <v>6</v>
      </c>
      <c r="D5" s="7">
        <v>1</v>
      </c>
      <c r="E5" s="7">
        <v>0</v>
      </c>
      <c r="F5" s="7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6" t="s">
        <v>107</v>
      </c>
      <c r="B6" s="6"/>
      <c r="C6" s="7">
        <v>6</v>
      </c>
      <c r="D6" s="7">
        <v>4</v>
      </c>
      <c r="E6" s="7">
        <v>0</v>
      </c>
      <c r="F6" s="7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6" t="s">
        <v>108</v>
      </c>
      <c r="B7" s="6"/>
      <c r="C7" s="7">
        <v>4</v>
      </c>
      <c r="D7" s="7">
        <v>4</v>
      </c>
      <c r="E7" s="7">
        <v>2</v>
      </c>
      <c r="F7" s="7">
        <v>1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1</v>
      </c>
      <c r="K7" s="1" t="b">
        <f t="shared" si="4"/>
        <v>0</v>
      </c>
    </row>
    <row r="8" spans="1:12" ht="15.75" customHeight="1">
      <c r="B8" s="1" t="s">
        <v>48</v>
      </c>
      <c r="C8" s="1">
        <f t="shared" ref="C8:F8" si="5">SUM(C2:C7)</f>
        <v>24</v>
      </c>
      <c r="D8" s="1">
        <f t="shared" si="5"/>
        <v>10</v>
      </c>
      <c r="E8" s="1">
        <f t="shared" si="5"/>
        <v>2</v>
      </c>
      <c r="F8" s="1">
        <f t="shared" si="5"/>
        <v>1</v>
      </c>
      <c r="G8" s="1">
        <f t="shared" ref="G8:K8" si="6">COUNTIF(G3:G7,"TRUE")</f>
        <v>4</v>
      </c>
      <c r="H8" s="1">
        <f t="shared" si="6"/>
        <v>1</v>
      </c>
      <c r="I8" s="1">
        <f t="shared" si="6"/>
        <v>0</v>
      </c>
      <c r="J8" s="1">
        <f t="shared" si="6"/>
        <v>1</v>
      </c>
      <c r="K8" s="1">
        <f t="shared" si="6"/>
        <v>0</v>
      </c>
      <c r="L8" s="5">
        <f>COUNTA(E3:E7)</f>
        <v>5</v>
      </c>
    </row>
    <row r="9" spans="1:12" ht="15.75" customHeight="1">
      <c r="E9" s="1" t="s">
        <v>3</v>
      </c>
      <c r="F9" s="2"/>
      <c r="G9" s="2">
        <f>G8/L8</f>
        <v>0.8</v>
      </c>
      <c r="H9" s="2">
        <f>H8/L8</f>
        <v>0.2</v>
      </c>
      <c r="I9" s="2">
        <f>I8/L8</f>
        <v>0</v>
      </c>
      <c r="J9" s="2">
        <f>J8/L8</f>
        <v>0.2</v>
      </c>
      <c r="K9" s="2">
        <f>K8/L8</f>
        <v>0</v>
      </c>
    </row>
    <row r="10" spans="1:12" ht="15.75" customHeight="1">
      <c r="E10" s="1" t="s">
        <v>49</v>
      </c>
      <c r="F10" s="2"/>
      <c r="G10" s="2"/>
      <c r="H10" s="2">
        <f>H8/G8</f>
        <v>0.25</v>
      </c>
      <c r="I10" s="2">
        <f>I8/G8</f>
        <v>0</v>
      </c>
      <c r="J10" s="2">
        <f>J8/G8</f>
        <v>0.25</v>
      </c>
      <c r="K10" s="2">
        <f>K8/G8</f>
        <v>0</v>
      </c>
    </row>
    <row r="11" spans="1:12" ht="15.75" customHeight="1">
      <c r="E11" s="1" t="s">
        <v>50</v>
      </c>
      <c r="F11" s="2"/>
      <c r="G11" s="2">
        <f>E8/C8</f>
        <v>8.3333333333333329E-2</v>
      </c>
      <c r="H11" s="2">
        <f>E8/D8</f>
        <v>0.2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2025-06-11T19:55:55Z</dcterms:modified>
</cp:coreProperties>
</file>