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rash/work_misc/acs_sbol10years/FinalSubmission/ACS Supplemental Information/"/>
    </mc:Choice>
  </mc:AlternateContent>
  <xr:revisionPtr revIDLastSave="0" documentId="13_ncr:1_{40B4993D-8EE4-3942-8074-339662836DB4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3" l="1"/>
  <c r="H27" i="13"/>
  <c r="I27" i="13"/>
  <c r="J27" i="13"/>
  <c r="K27" i="13"/>
  <c r="G4" i="13"/>
  <c r="H4" i="13"/>
  <c r="I4" i="13"/>
  <c r="J4" i="13"/>
  <c r="K4" i="13"/>
  <c r="G5" i="13"/>
  <c r="H5" i="13"/>
  <c r="I5" i="13"/>
  <c r="J5" i="13"/>
  <c r="K5" i="13"/>
  <c r="G6" i="13"/>
  <c r="H6" i="13"/>
  <c r="I6" i="13"/>
  <c r="J6" i="13"/>
  <c r="K6" i="13"/>
  <c r="G7" i="13"/>
  <c r="H7" i="13"/>
  <c r="I7" i="13"/>
  <c r="J7" i="13"/>
  <c r="K7" i="13"/>
  <c r="G8" i="13"/>
  <c r="H8" i="13"/>
  <c r="I8" i="13"/>
  <c r="J8" i="13"/>
  <c r="K8" i="13"/>
  <c r="G9" i="13"/>
  <c r="H9" i="13"/>
  <c r="I9" i="13"/>
  <c r="J9" i="13"/>
  <c r="K9" i="13"/>
  <c r="G10" i="13"/>
  <c r="H10" i="13"/>
  <c r="I10" i="13"/>
  <c r="J10" i="13"/>
  <c r="K10" i="13"/>
  <c r="G11" i="13"/>
  <c r="H11" i="13"/>
  <c r="I11" i="13"/>
  <c r="J11" i="13"/>
  <c r="K11" i="13"/>
  <c r="G12" i="13"/>
  <c r="H12" i="13"/>
  <c r="I12" i="13"/>
  <c r="J12" i="13"/>
  <c r="K12" i="13"/>
  <c r="G13" i="13"/>
  <c r="H13" i="13"/>
  <c r="I13" i="13"/>
  <c r="J13" i="13"/>
  <c r="K13" i="13"/>
  <c r="G14" i="13"/>
  <c r="H14" i="13"/>
  <c r="I14" i="13"/>
  <c r="J14" i="13"/>
  <c r="K14" i="13"/>
  <c r="G15" i="13"/>
  <c r="H15" i="13"/>
  <c r="I15" i="13"/>
  <c r="J15" i="13"/>
  <c r="K15" i="13"/>
  <c r="G16" i="13"/>
  <c r="H16" i="13"/>
  <c r="I16" i="13"/>
  <c r="J16" i="13"/>
  <c r="K16" i="13"/>
  <c r="G17" i="13"/>
  <c r="H17" i="13"/>
  <c r="I17" i="13"/>
  <c r="J17" i="13"/>
  <c r="K17" i="13"/>
  <c r="G18" i="13"/>
  <c r="H18" i="13"/>
  <c r="I18" i="13"/>
  <c r="J18" i="13"/>
  <c r="K18" i="13"/>
  <c r="G19" i="13"/>
  <c r="H19" i="13"/>
  <c r="I19" i="13"/>
  <c r="J19" i="13"/>
  <c r="K19" i="13"/>
  <c r="G20" i="13"/>
  <c r="H20" i="13"/>
  <c r="I20" i="13"/>
  <c r="J20" i="13"/>
  <c r="K20" i="13"/>
  <c r="G21" i="13"/>
  <c r="H21" i="13"/>
  <c r="I21" i="13"/>
  <c r="J21" i="13"/>
  <c r="K21" i="13"/>
  <c r="G22" i="13"/>
  <c r="H22" i="13"/>
  <c r="I22" i="13"/>
  <c r="J22" i="13"/>
  <c r="K22" i="13"/>
  <c r="G23" i="13"/>
  <c r="H23" i="13"/>
  <c r="I23" i="13"/>
  <c r="J23" i="13"/>
  <c r="K23" i="13"/>
  <c r="G24" i="13"/>
  <c r="H24" i="13"/>
  <c r="I24" i="13"/>
  <c r="J24" i="13"/>
  <c r="K24" i="13"/>
  <c r="G25" i="13"/>
  <c r="H25" i="13"/>
  <c r="I25" i="13"/>
  <c r="J25" i="13"/>
  <c r="K25" i="13"/>
  <c r="G26" i="13"/>
  <c r="H26" i="13"/>
  <c r="I26" i="13"/>
  <c r="J26" i="13"/>
  <c r="K26" i="13"/>
  <c r="G4" i="12"/>
  <c r="H4" i="12"/>
  <c r="I4" i="12"/>
  <c r="J4" i="12"/>
  <c r="K4" i="12"/>
  <c r="G5" i="12"/>
  <c r="H5" i="12"/>
  <c r="I5" i="12"/>
  <c r="K5" i="12" s="1"/>
  <c r="J5" i="12"/>
  <c r="G6" i="12"/>
  <c r="H6" i="12"/>
  <c r="I6" i="12"/>
  <c r="J6" i="12"/>
  <c r="K6" i="12"/>
  <c r="G7" i="12"/>
  <c r="H7" i="12"/>
  <c r="I7" i="12"/>
  <c r="J7" i="12"/>
  <c r="K7" i="12"/>
  <c r="G8" i="12"/>
  <c r="H8" i="12"/>
  <c r="I8" i="12"/>
  <c r="J8" i="12"/>
  <c r="K8" i="12"/>
  <c r="G9" i="12"/>
  <c r="H9" i="12"/>
  <c r="I9" i="12"/>
  <c r="J9" i="12"/>
  <c r="K9" i="12"/>
  <c r="G10" i="12"/>
  <c r="H10" i="12"/>
  <c r="I10" i="12"/>
  <c r="J10" i="12"/>
  <c r="K10" i="12"/>
  <c r="G11" i="12"/>
  <c r="H11" i="12"/>
  <c r="I11" i="12"/>
  <c r="J11" i="12"/>
  <c r="K11" i="12"/>
  <c r="G12" i="12"/>
  <c r="H12" i="12"/>
  <c r="I12" i="12"/>
  <c r="J12" i="12"/>
  <c r="K12" i="12"/>
  <c r="G13" i="12"/>
  <c r="H13" i="12"/>
  <c r="I13" i="12"/>
  <c r="K13" i="12" s="1"/>
  <c r="J13" i="12"/>
  <c r="G14" i="12"/>
  <c r="H14" i="12"/>
  <c r="I14" i="12"/>
  <c r="J14" i="12"/>
  <c r="K14" i="12"/>
  <c r="G15" i="12"/>
  <c r="H15" i="12"/>
  <c r="I15" i="12"/>
  <c r="K15" i="12" s="1"/>
  <c r="J15" i="12"/>
  <c r="G16" i="12"/>
  <c r="H16" i="12"/>
  <c r="I16" i="12"/>
  <c r="J16" i="12"/>
  <c r="K16" i="12"/>
  <c r="G17" i="12"/>
  <c r="H17" i="12"/>
  <c r="I17" i="12"/>
  <c r="J17" i="12"/>
  <c r="K17" i="12"/>
  <c r="G18" i="12"/>
  <c r="H18" i="12"/>
  <c r="I18" i="12"/>
  <c r="J18" i="12"/>
  <c r="K18" i="12"/>
  <c r="G19" i="12"/>
  <c r="H19" i="12"/>
  <c r="I19" i="12"/>
  <c r="J19" i="12"/>
  <c r="K19" i="12"/>
  <c r="G20" i="12"/>
  <c r="H20" i="12"/>
  <c r="I20" i="12"/>
  <c r="J20" i="12"/>
  <c r="K20" i="12"/>
  <c r="G21" i="12"/>
  <c r="H21" i="12"/>
  <c r="I21" i="12"/>
  <c r="J21" i="12"/>
  <c r="K21" i="12"/>
  <c r="G22" i="12"/>
  <c r="H22" i="12"/>
  <c r="I22" i="12"/>
  <c r="J22" i="12"/>
  <c r="K22" i="12"/>
  <c r="G23" i="12"/>
  <c r="H23" i="12"/>
  <c r="I23" i="12"/>
  <c r="J23" i="12"/>
  <c r="K23" i="12"/>
  <c r="G24" i="12"/>
  <c r="H24" i="12"/>
  <c r="I24" i="12"/>
  <c r="J24" i="12"/>
  <c r="K24" i="12"/>
  <c r="G25" i="12"/>
  <c r="H25" i="12"/>
  <c r="I25" i="12"/>
  <c r="J25" i="12"/>
  <c r="K25" i="12"/>
  <c r="G26" i="12"/>
  <c r="H26" i="12"/>
  <c r="I26" i="12"/>
  <c r="J26" i="12"/>
  <c r="K26" i="12"/>
  <c r="G4" i="11"/>
  <c r="H4" i="11"/>
  <c r="I4" i="11"/>
  <c r="K4" i="11" s="1"/>
  <c r="J4" i="11"/>
  <c r="G5" i="11"/>
  <c r="H5" i="11"/>
  <c r="I5" i="11"/>
  <c r="J5" i="11"/>
  <c r="K5" i="11"/>
  <c r="G6" i="11"/>
  <c r="H6" i="11"/>
  <c r="I6" i="11"/>
  <c r="K6" i="11" s="1"/>
  <c r="J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H14" i="11"/>
  <c r="I14" i="11"/>
  <c r="J14" i="11"/>
  <c r="K14" i="11"/>
  <c r="G15" i="11"/>
  <c r="H15" i="11"/>
  <c r="I15" i="11"/>
  <c r="J15" i="11"/>
  <c r="K15" i="11"/>
  <c r="G16" i="11"/>
  <c r="H16" i="11"/>
  <c r="I16" i="11"/>
  <c r="J16" i="11"/>
  <c r="K16" i="11"/>
  <c r="G17" i="11"/>
  <c r="H17" i="11"/>
  <c r="I17" i="11"/>
  <c r="J17" i="11"/>
  <c r="K17" i="11"/>
  <c r="G18" i="11"/>
  <c r="H18" i="11"/>
  <c r="I18" i="11"/>
  <c r="J18" i="11"/>
  <c r="K18" i="11"/>
  <c r="G4" i="10"/>
  <c r="H4" i="10"/>
  <c r="I4" i="10"/>
  <c r="J4" i="10"/>
  <c r="K4" i="10"/>
  <c r="G5" i="10"/>
  <c r="H5" i="10"/>
  <c r="I5" i="10"/>
  <c r="J5" i="10"/>
  <c r="K5" i="10"/>
  <c r="G6" i="10"/>
  <c r="H6" i="10"/>
  <c r="I6" i="10"/>
  <c r="J6" i="10"/>
  <c r="K6" i="10"/>
  <c r="G7" i="10"/>
  <c r="H7" i="10"/>
  <c r="I7" i="10"/>
  <c r="J7" i="10"/>
  <c r="K7" i="10"/>
  <c r="G8" i="10"/>
  <c r="H8" i="10"/>
  <c r="I8" i="10"/>
  <c r="J8" i="10"/>
  <c r="K8" i="10"/>
  <c r="G9" i="10"/>
  <c r="H9" i="10"/>
  <c r="I9" i="10"/>
  <c r="J9" i="10"/>
  <c r="K9" i="10"/>
  <c r="G10" i="10"/>
  <c r="H10" i="10"/>
  <c r="I10" i="10"/>
  <c r="J10" i="10"/>
  <c r="K10" i="10"/>
  <c r="G11" i="10"/>
  <c r="H11" i="10"/>
  <c r="I11" i="10"/>
  <c r="J11" i="10"/>
  <c r="K11" i="10"/>
  <c r="G12" i="10"/>
  <c r="H12" i="10"/>
  <c r="I12" i="10"/>
  <c r="J12" i="10"/>
  <c r="K12" i="10"/>
  <c r="G13" i="10"/>
  <c r="H13" i="10"/>
  <c r="I13" i="10"/>
  <c r="J13" i="10"/>
  <c r="K13" i="10"/>
  <c r="G14" i="10"/>
  <c r="H14" i="10"/>
  <c r="I14" i="10"/>
  <c r="J14" i="10"/>
  <c r="K14" i="10"/>
  <c r="G15" i="10"/>
  <c r="H15" i="10"/>
  <c r="I15" i="10"/>
  <c r="J15" i="10"/>
  <c r="K15" i="10"/>
  <c r="G16" i="10"/>
  <c r="H16" i="10"/>
  <c r="I16" i="10"/>
  <c r="J16" i="10"/>
  <c r="K16" i="10"/>
  <c r="G17" i="10"/>
  <c r="H17" i="10"/>
  <c r="I17" i="10"/>
  <c r="J17" i="10"/>
  <c r="K17" i="10"/>
  <c r="G18" i="10"/>
  <c r="H18" i="10"/>
  <c r="I18" i="10"/>
  <c r="J18" i="10"/>
  <c r="K18" i="10"/>
  <c r="G19" i="10"/>
  <c r="H19" i="10"/>
  <c r="I19" i="10"/>
  <c r="J19" i="10"/>
  <c r="K19" i="10"/>
  <c r="G20" i="10"/>
  <c r="H20" i="10"/>
  <c r="I20" i="10"/>
  <c r="J20" i="10"/>
  <c r="K20" i="10"/>
  <c r="G21" i="10"/>
  <c r="H21" i="10"/>
  <c r="I21" i="10"/>
  <c r="J21" i="10"/>
  <c r="K21" i="10"/>
  <c r="G22" i="10"/>
  <c r="H22" i="10"/>
  <c r="I22" i="10"/>
  <c r="J22" i="10"/>
  <c r="K22" i="10"/>
  <c r="G23" i="10"/>
  <c r="H23" i="10"/>
  <c r="I23" i="10"/>
  <c r="J23" i="10"/>
  <c r="K23" i="10"/>
  <c r="G24" i="10"/>
  <c r="H24" i="10"/>
  <c r="I24" i="10"/>
  <c r="J24" i="10"/>
  <c r="K24" i="10"/>
  <c r="G25" i="10"/>
  <c r="H25" i="10"/>
  <c r="I25" i="10"/>
  <c r="J25" i="10"/>
  <c r="K25" i="10"/>
  <c r="G26" i="10"/>
  <c r="H26" i="10"/>
  <c r="I26" i="10"/>
  <c r="J26" i="10"/>
  <c r="K26" i="10"/>
  <c r="G27" i="10"/>
  <c r="H27" i="10"/>
  <c r="I27" i="10"/>
  <c r="J27" i="10"/>
  <c r="K27" i="10"/>
  <c r="G28" i="10"/>
  <c r="H28" i="10"/>
  <c r="I28" i="10"/>
  <c r="J28" i="10"/>
  <c r="K28" i="10"/>
  <c r="G29" i="10"/>
  <c r="H29" i="10"/>
  <c r="I29" i="10"/>
  <c r="J29" i="10"/>
  <c r="K29" i="10"/>
  <c r="G30" i="10"/>
  <c r="H30" i="10"/>
  <c r="I30" i="10"/>
  <c r="J30" i="10"/>
  <c r="K30" i="10"/>
  <c r="G31" i="10"/>
  <c r="H31" i="10"/>
  <c r="I31" i="10"/>
  <c r="J31" i="10"/>
  <c r="K31" i="10"/>
  <c r="G32" i="10"/>
  <c r="H32" i="10"/>
  <c r="I32" i="10"/>
  <c r="J32" i="10"/>
  <c r="K32" i="10"/>
  <c r="G33" i="10"/>
  <c r="H33" i="10"/>
  <c r="I33" i="10"/>
  <c r="J33" i="10"/>
  <c r="K33" i="10"/>
  <c r="G34" i="10"/>
  <c r="H34" i="10"/>
  <c r="I34" i="10"/>
  <c r="J34" i="10"/>
  <c r="K34" i="10"/>
  <c r="G35" i="10"/>
  <c r="H35" i="10"/>
  <c r="I35" i="10"/>
  <c r="J35" i="10"/>
  <c r="K35" i="10"/>
  <c r="G36" i="10"/>
  <c r="H36" i="10"/>
  <c r="I36" i="10"/>
  <c r="J36" i="10"/>
  <c r="K36" i="10"/>
  <c r="G37" i="10"/>
  <c r="H37" i="10"/>
  <c r="I37" i="10"/>
  <c r="J37" i="10"/>
  <c r="K37" i="10"/>
  <c r="G4" i="9"/>
  <c r="H4" i="9"/>
  <c r="I4" i="9"/>
  <c r="J4" i="9"/>
  <c r="K4" i="9"/>
  <c r="G5" i="9"/>
  <c r="H5" i="9"/>
  <c r="I5" i="9"/>
  <c r="J5" i="9"/>
  <c r="K5" i="9"/>
  <c r="G6" i="9"/>
  <c r="H6" i="9"/>
  <c r="I6" i="9"/>
  <c r="J6" i="9"/>
  <c r="K6" i="9"/>
  <c r="G7" i="9"/>
  <c r="H7" i="9"/>
  <c r="I7" i="9"/>
  <c r="J7" i="9"/>
  <c r="K7" i="9"/>
  <c r="G8" i="9"/>
  <c r="H8" i="9"/>
  <c r="I8" i="9"/>
  <c r="J8" i="9"/>
  <c r="K8" i="9"/>
  <c r="G9" i="9"/>
  <c r="I9" i="9" s="1"/>
  <c r="K9" i="9" s="1"/>
  <c r="H9" i="9"/>
  <c r="J9" i="9"/>
  <c r="G10" i="9"/>
  <c r="H10" i="9"/>
  <c r="I10" i="9"/>
  <c r="J10" i="9"/>
  <c r="K10" i="9"/>
  <c r="G11" i="9"/>
  <c r="I11" i="9" s="1"/>
  <c r="K11" i="9" s="1"/>
  <c r="H11" i="9"/>
  <c r="J11" i="9"/>
  <c r="G12" i="9"/>
  <c r="H12" i="9"/>
  <c r="I12" i="9"/>
  <c r="J12" i="9"/>
  <c r="K12" i="9"/>
  <c r="G13" i="9"/>
  <c r="H13" i="9"/>
  <c r="I13" i="9"/>
  <c r="J13" i="9"/>
  <c r="K13" i="9"/>
  <c r="G14" i="9"/>
  <c r="H14" i="9"/>
  <c r="I14" i="9"/>
  <c r="J14" i="9"/>
  <c r="K14" i="9"/>
  <c r="G15" i="9"/>
  <c r="H15" i="9"/>
  <c r="I15" i="9"/>
  <c r="J15" i="9"/>
  <c r="K15" i="9"/>
  <c r="G16" i="9"/>
  <c r="H16" i="9"/>
  <c r="I16" i="9"/>
  <c r="J16" i="9"/>
  <c r="K16" i="9"/>
  <c r="G4" i="8"/>
  <c r="H4" i="8"/>
  <c r="I4" i="8"/>
  <c r="J4" i="8"/>
  <c r="K4" i="8"/>
  <c r="G5" i="8"/>
  <c r="H5" i="8"/>
  <c r="I5" i="8"/>
  <c r="J5" i="8"/>
  <c r="K5" i="8"/>
  <c r="G6" i="8"/>
  <c r="H6" i="8"/>
  <c r="I6" i="8"/>
  <c r="J6" i="8"/>
  <c r="K6" i="8"/>
  <c r="G7" i="8"/>
  <c r="H7" i="8"/>
  <c r="I7" i="8"/>
  <c r="J7" i="8"/>
  <c r="K7" i="8"/>
  <c r="G8" i="8"/>
  <c r="H8" i="8"/>
  <c r="I8" i="8"/>
  <c r="J8" i="8"/>
  <c r="K8" i="8"/>
  <c r="G9" i="8"/>
  <c r="H9" i="8"/>
  <c r="I9" i="8"/>
  <c r="J9" i="8"/>
  <c r="K9" i="8"/>
  <c r="G10" i="8"/>
  <c r="H10" i="8"/>
  <c r="I10" i="8"/>
  <c r="J10" i="8"/>
  <c r="K10" i="8"/>
  <c r="G11" i="8"/>
  <c r="H11" i="8"/>
  <c r="I11" i="8"/>
  <c r="J11" i="8"/>
  <c r="K11" i="8"/>
  <c r="G12" i="8"/>
  <c r="H12" i="8"/>
  <c r="I12" i="8"/>
  <c r="J12" i="8"/>
  <c r="K12" i="8"/>
  <c r="G13" i="8"/>
  <c r="H13" i="8"/>
  <c r="I13" i="8"/>
  <c r="J13" i="8"/>
  <c r="K13" i="8"/>
  <c r="G14" i="8"/>
  <c r="H14" i="8"/>
  <c r="I14" i="8"/>
  <c r="J14" i="8"/>
  <c r="K14" i="8"/>
  <c r="G15" i="8"/>
  <c r="H15" i="8"/>
  <c r="I15" i="8"/>
  <c r="J15" i="8"/>
  <c r="K15" i="8"/>
  <c r="G16" i="8"/>
  <c r="H16" i="8"/>
  <c r="I16" i="8"/>
  <c r="J16" i="8"/>
  <c r="K16" i="8"/>
  <c r="G17" i="8"/>
  <c r="H17" i="8"/>
  <c r="I17" i="8"/>
  <c r="J17" i="8"/>
  <c r="K17" i="8"/>
  <c r="G18" i="8"/>
  <c r="H18" i="8"/>
  <c r="I18" i="8"/>
  <c r="J18" i="8"/>
  <c r="K18" i="8"/>
  <c r="G19" i="8"/>
  <c r="H19" i="8"/>
  <c r="I19" i="8"/>
  <c r="J19" i="8"/>
  <c r="K19" i="8"/>
  <c r="G20" i="8"/>
  <c r="H20" i="8"/>
  <c r="I20" i="8"/>
  <c r="J20" i="8"/>
  <c r="K20" i="8"/>
  <c r="G21" i="8"/>
  <c r="H21" i="8"/>
  <c r="I21" i="8"/>
  <c r="J21" i="8"/>
  <c r="K21" i="8"/>
  <c r="G22" i="8"/>
  <c r="H22" i="8"/>
  <c r="I22" i="8"/>
  <c r="J22" i="8"/>
  <c r="K22" i="8"/>
  <c r="G4" i="7"/>
  <c r="H4" i="7"/>
  <c r="I4" i="7"/>
  <c r="J4" i="7"/>
  <c r="K4" i="7"/>
  <c r="G5" i="7"/>
  <c r="I5" i="7" s="1"/>
  <c r="K5" i="7" s="1"/>
  <c r="H5" i="7"/>
  <c r="J5" i="7"/>
  <c r="G6" i="7"/>
  <c r="H6" i="7"/>
  <c r="I6" i="7"/>
  <c r="J6" i="7"/>
  <c r="K6" i="7"/>
  <c r="G7" i="7"/>
  <c r="I7" i="7" s="1"/>
  <c r="K7" i="7" s="1"/>
  <c r="H7" i="7"/>
  <c r="J7" i="7"/>
  <c r="G8" i="7"/>
  <c r="H8" i="7"/>
  <c r="I8" i="7"/>
  <c r="J8" i="7"/>
  <c r="K8" i="7"/>
  <c r="G9" i="7"/>
  <c r="H9" i="7"/>
  <c r="I9" i="7"/>
  <c r="J9" i="7"/>
  <c r="K9" i="7"/>
  <c r="G10" i="7"/>
  <c r="H10" i="7"/>
  <c r="I10" i="7"/>
  <c r="J10" i="7"/>
  <c r="K10" i="7"/>
  <c r="G11" i="7"/>
  <c r="H11" i="7"/>
  <c r="I11" i="7"/>
  <c r="J11" i="7"/>
  <c r="K11" i="7"/>
  <c r="G12" i="7"/>
  <c r="H12" i="7"/>
  <c r="I12" i="7"/>
  <c r="J12" i="7"/>
  <c r="K12" i="7"/>
  <c r="G13" i="7"/>
  <c r="H13" i="7"/>
  <c r="I13" i="7"/>
  <c r="J13" i="7"/>
  <c r="K13" i="7"/>
  <c r="G14" i="7"/>
  <c r="H14" i="7"/>
  <c r="I14" i="7"/>
  <c r="J14" i="7"/>
  <c r="K14" i="7"/>
  <c r="G15" i="7"/>
  <c r="H15" i="7"/>
  <c r="I15" i="7"/>
  <c r="J15" i="7"/>
  <c r="K15" i="7"/>
  <c r="G16" i="7"/>
  <c r="H16" i="7"/>
  <c r="I16" i="7"/>
  <c r="J16" i="7"/>
  <c r="K16" i="7"/>
  <c r="G17" i="7"/>
  <c r="H17" i="7"/>
  <c r="I17" i="7"/>
  <c r="J17" i="7"/>
  <c r="K17" i="7"/>
  <c r="G18" i="7"/>
  <c r="H18" i="7"/>
  <c r="I18" i="7"/>
  <c r="J18" i="7"/>
  <c r="K18" i="7"/>
  <c r="G4" i="6"/>
  <c r="H4" i="6"/>
  <c r="I4" i="6"/>
  <c r="J4" i="6"/>
  <c r="K4" i="6"/>
  <c r="G5" i="6"/>
  <c r="H5" i="6"/>
  <c r="I5" i="6"/>
  <c r="J5" i="6"/>
  <c r="K5" i="6"/>
  <c r="G6" i="6"/>
  <c r="H6" i="6"/>
  <c r="I6" i="6"/>
  <c r="J6" i="6"/>
  <c r="K6" i="6"/>
  <c r="G7" i="6"/>
  <c r="H7" i="6"/>
  <c r="I7" i="6"/>
  <c r="J7" i="6"/>
  <c r="K7" i="6"/>
  <c r="G8" i="6"/>
  <c r="H8" i="6"/>
  <c r="I8" i="6"/>
  <c r="J8" i="6"/>
  <c r="K8" i="6"/>
  <c r="G9" i="6"/>
  <c r="H9" i="6"/>
  <c r="I9" i="6"/>
  <c r="J9" i="6"/>
  <c r="K9" i="6"/>
  <c r="G10" i="6"/>
  <c r="H10" i="6"/>
  <c r="I10" i="6"/>
  <c r="J10" i="6"/>
  <c r="K10" i="6"/>
  <c r="G11" i="6"/>
  <c r="H11" i="6"/>
  <c r="I11" i="6"/>
  <c r="J11" i="6"/>
  <c r="K11" i="6"/>
  <c r="G12" i="6"/>
  <c r="H12" i="6"/>
  <c r="I12" i="6"/>
  <c r="J12" i="6"/>
  <c r="K12" i="6"/>
  <c r="G13" i="6"/>
  <c r="H13" i="6"/>
  <c r="I13" i="6"/>
  <c r="J13" i="6"/>
  <c r="K13" i="6"/>
  <c r="G14" i="6"/>
  <c r="H14" i="6"/>
  <c r="I14" i="6"/>
  <c r="J14" i="6"/>
  <c r="K14" i="6"/>
  <c r="G15" i="6"/>
  <c r="H15" i="6"/>
  <c r="I15" i="6"/>
  <c r="J15" i="6"/>
  <c r="K15" i="6"/>
  <c r="G16" i="6"/>
  <c r="H16" i="6"/>
  <c r="I16" i="6"/>
  <c r="J16" i="6"/>
  <c r="K16" i="6"/>
  <c r="G17" i="6"/>
  <c r="H17" i="6"/>
  <c r="I17" i="6"/>
  <c r="J17" i="6"/>
  <c r="K17" i="6"/>
  <c r="G18" i="6"/>
  <c r="H18" i="6"/>
  <c r="I18" i="6"/>
  <c r="J18" i="6"/>
  <c r="K18" i="6"/>
  <c r="G19" i="6"/>
  <c r="H19" i="6"/>
  <c r="I19" i="6"/>
  <c r="J19" i="6"/>
  <c r="K19" i="6"/>
  <c r="G20" i="6"/>
  <c r="H20" i="6"/>
  <c r="I20" i="6"/>
  <c r="J20" i="6"/>
  <c r="K20" i="6"/>
  <c r="G21" i="6"/>
  <c r="H21" i="6"/>
  <c r="I21" i="6"/>
  <c r="J21" i="6"/>
  <c r="K21" i="6"/>
  <c r="G22" i="6"/>
  <c r="H22" i="6"/>
  <c r="I22" i="6"/>
  <c r="J22" i="6"/>
  <c r="K22" i="6"/>
  <c r="G23" i="6"/>
  <c r="H23" i="6"/>
  <c r="I23" i="6"/>
  <c r="J23" i="6"/>
  <c r="K23" i="6"/>
  <c r="G24" i="6"/>
  <c r="H24" i="6"/>
  <c r="I24" i="6"/>
  <c r="J24" i="6"/>
  <c r="K24" i="6"/>
  <c r="G25" i="6"/>
  <c r="H25" i="6"/>
  <c r="I25" i="6"/>
  <c r="J25" i="6"/>
  <c r="K25" i="6"/>
  <c r="G26" i="6"/>
  <c r="H26" i="6"/>
  <c r="I26" i="6"/>
  <c r="J26" i="6"/>
  <c r="K26" i="6"/>
  <c r="G27" i="6"/>
  <c r="H27" i="6"/>
  <c r="I27" i="6"/>
  <c r="J27" i="6"/>
  <c r="K27" i="6"/>
  <c r="G28" i="6"/>
  <c r="H28" i="6"/>
  <c r="I28" i="6"/>
  <c r="J28" i="6"/>
  <c r="K28" i="6"/>
  <c r="G29" i="6"/>
  <c r="H29" i="6"/>
  <c r="I29" i="6"/>
  <c r="J29" i="6"/>
  <c r="K29" i="6"/>
  <c r="G30" i="6"/>
  <c r="H30" i="6"/>
  <c r="I30" i="6"/>
  <c r="J30" i="6"/>
  <c r="K30" i="6"/>
  <c r="G31" i="6"/>
  <c r="H31" i="6"/>
  <c r="I31" i="6"/>
  <c r="J31" i="6"/>
  <c r="K31" i="6"/>
  <c r="G32" i="6"/>
  <c r="H32" i="6"/>
  <c r="I32" i="6"/>
  <c r="J32" i="6"/>
  <c r="K32" i="6"/>
  <c r="G33" i="6"/>
  <c r="H33" i="6"/>
  <c r="I33" i="6"/>
  <c r="J33" i="6"/>
  <c r="K33" i="6"/>
  <c r="G4" i="5"/>
  <c r="H4" i="5"/>
  <c r="I4" i="5"/>
  <c r="J4" i="5"/>
  <c r="K4" i="5"/>
  <c r="G5" i="5"/>
  <c r="I5" i="5" s="1"/>
  <c r="K5" i="5" s="1"/>
  <c r="H5" i="5"/>
  <c r="J5" i="5"/>
  <c r="G6" i="5"/>
  <c r="H6" i="5"/>
  <c r="I6" i="5"/>
  <c r="J6" i="5"/>
  <c r="K6" i="5"/>
  <c r="G7" i="5"/>
  <c r="I7" i="5" s="1"/>
  <c r="K7" i="5" s="1"/>
  <c r="H7" i="5"/>
  <c r="J7" i="5"/>
  <c r="G8" i="5"/>
  <c r="H8" i="5"/>
  <c r="I8" i="5"/>
  <c r="J8" i="5"/>
  <c r="K8" i="5"/>
  <c r="G9" i="5"/>
  <c r="I9" i="5" s="1"/>
  <c r="K9" i="5" s="1"/>
  <c r="H9" i="5"/>
  <c r="J9" i="5"/>
  <c r="G10" i="5"/>
  <c r="H10" i="5"/>
  <c r="I10" i="5"/>
  <c r="J10" i="5"/>
  <c r="K10" i="5"/>
  <c r="G11" i="5"/>
  <c r="I11" i="5" s="1"/>
  <c r="K11" i="5" s="1"/>
  <c r="H11" i="5"/>
  <c r="J11" i="5"/>
  <c r="G12" i="5"/>
  <c r="H12" i="5"/>
  <c r="I12" i="5"/>
  <c r="J12" i="5"/>
  <c r="K12" i="5"/>
  <c r="G13" i="5"/>
  <c r="I13" i="5" s="1"/>
  <c r="K13" i="5" s="1"/>
  <c r="H13" i="5"/>
  <c r="J13" i="5"/>
  <c r="G14" i="5"/>
  <c r="H14" i="5"/>
  <c r="I14" i="5"/>
  <c r="J14" i="5"/>
  <c r="K14" i="5"/>
  <c r="G15" i="5"/>
  <c r="I15" i="5" s="1"/>
  <c r="K15" i="5" s="1"/>
  <c r="H15" i="5"/>
  <c r="J15" i="5"/>
  <c r="G16" i="5"/>
  <c r="H16" i="5"/>
  <c r="I16" i="5"/>
  <c r="J16" i="5"/>
  <c r="K16" i="5"/>
  <c r="G17" i="5"/>
  <c r="I17" i="5" s="1"/>
  <c r="K17" i="5" s="1"/>
  <c r="H17" i="5"/>
  <c r="J17" i="5"/>
  <c r="G18" i="5"/>
  <c r="H18" i="5"/>
  <c r="I18" i="5"/>
  <c r="J18" i="5"/>
  <c r="K18" i="5"/>
  <c r="G19" i="5"/>
  <c r="I19" i="5" s="1"/>
  <c r="K19" i="5" s="1"/>
  <c r="H19" i="5"/>
  <c r="J19" i="5"/>
  <c r="G20" i="5"/>
  <c r="H20" i="5"/>
  <c r="I20" i="5"/>
  <c r="K20" i="5" s="1"/>
  <c r="J20" i="5"/>
  <c r="G21" i="5"/>
  <c r="I21" i="5" s="1"/>
  <c r="K21" i="5" s="1"/>
  <c r="H21" i="5"/>
  <c r="J21" i="5"/>
  <c r="G22" i="5"/>
  <c r="H22" i="5"/>
  <c r="I22" i="5"/>
  <c r="J22" i="5"/>
  <c r="K22" i="5"/>
  <c r="G23" i="5"/>
  <c r="I23" i="5" s="1"/>
  <c r="K23" i="5" s="1"/>
  <c r="H23" i="5"/>
  <c r="J23" i="5"/>
  <c r="G24" i="5"/>
  <c r="H24" i="5"/>
  <c r="I24" i="5"/>
  <c r="K24" i="5" s="1"/>
  <c r="J24" i="5"/>
  <c r="G25" i="5"/>
  <c r="I25" i="5" s="1"/>
  <c r="K25" i="5" s="1"/>
  <c r="H25" i="5"/>
  <c r="J25" i="5"/>
  <c r="G26" i="5"/>
  <c r="H26" i="5"/>
  <c r="I26" i="5"/>
  <c r="K26" i="5" s="1"/>
  <c r="J26" i="5"/>
  <c r="G24" i="4"/>
  <c r="H24" i="4"/>
  <c r="I24" i="4"/>
  <c r="J24" i="4"/>
  <c r="K24" i="4"/>
  <c r="G4" i="4"/>
  <c r="H4" i="4"/>
  <c r="I4" i="4"/>
  <c r="J4" i="4"/>
  <c r="K4" i="4"/>
  <c r="G5" i="4"/>
  <c r="I5" i="4" s="1"/>
  <c r="K5" i="4" s="1"/>
  <c r="H5" i="4"/>
  <c r="J5" i="4"/>
  <c r="G6" i="4"/>
  <c r="H6" i="4"/>
  <c r="I6" i="4"/>
  <c r="J6" i="4"/>
  <c r="K6" i="4"/>
  <c r="G7" i="4"/>
  <c r="I7" i="4" s="1"/>
  <c r="K7" i="4" s="1"/>
  <c r="H7" i="4"/>
  <c r="J7" i="4"/>
  <c r="G8" i="4"/>
  <c r="H8" i="4"/>
  <c r="I8" i="4"/>
  <c r="J8" i="4"/>
  <c r="K8" i="4"/>
  <c r="G9" i="4"/>
  <c r="I9" i="4" s="1"/>
  <c r="K9" i="4" s="1"/>
  <c r="H9" i="4"/>
  <c r="J9" i="4"/>
  <c r="G10" i="4"/>
  <c r="H10" i="4"/>
  <c r="I10" i="4"/>
  <c r="J10" i="4"/>
  <c r="K10" i="4"/>
  <c r="G11" i="4"/>
  <c r="I11" i="4" s="1"/>
  <c r="K11" i="4" s="1"/>
  <c r="H11" i="4"/>
  <c r="J11" i="4"/>
  <c r="G12" i="4"/>
  <c r="H12" i="4"/>
  <c r="I12" i="4"/>
  <c r="J12" i="4"/>
  <c r="K12" i="4"/>
  <c r="G13" i="4"/>
  <c r="I13" i="4" s="1"/>
  <c r="K13" i="4" s="1"/>
  <c r="H13" i="4"/>
  <c r="J13" i="4"/>
  <c r="G14" i="4"/>
  <c r="H14" i="4"/>
  <c r="I14" i="4"/>
  <c r="J14" i="4"/>
  <c r="K14" i="4"/>
  <c r="G15" i="4"/>
  <c r="I15" i="4" s="1"/>
  <c r="K15" i="4" s="1"/>
  <c r="H15" i="4"/>
  <c r="J15" i="4"/>
  <c r="G16" i="4"/>
  <c r="H16" i="4"/>
  <c r="I16" i="4"/>
  <c r="J16" i="4"/>
  <c r="K16" i="4"/>
  <c r="G17" i="4"/>
  <c r="I17" i="4" s="1"/>
  <c r="K17" i="4" s="1"/>
  <c r="H17" i="4"/>
  <c r="J17" i="4"/>
  <c r="G18" i="4"/>
  <c r="H18" i="4"/>
  <c r="I18" i="4"/>
  <c r="J18" i="4"/>
  <c r="K18" i="4"/>
  <c r="G19" i="4"/>
  <c r="I19" i="4" s="1"/>
  <c r="K19" i="4" s="1"/>
  <c r="H19" i="4"/>
  <c r="J19" i="4"/>
  <c r="G20" i="4"/>
  <c r="H20" i="4"/>
  <c r="I20" i="4"/>
  <c r="J20" i="4"/>
  <c r="K20" i="4"/>
  <c r="G21" i="4"/>
  <c r="I21" i="4" s="1"/>
  <c r="K21" i="4" s="1"/>
  <c r="H21" i="4"/>
  <c r="J21" i="4"/>
  <c r="G22" i="4"/>
  <c r="H22" i="4"/>
  <c r="I22" i="4"/>
  <c r="J22" i="4"/>
  <c r="K22" i="4"/>
  <c r="G23" i="4"/>
  <c r="I23" i="4" s="1"/>
  <c r="K23" i="4" s="1"/>
  <c r="H23" i="4"/>
  <c r="J23" i="4"/>
  <c r="G4" i="3"/>
  <c r="H4" i="3"/>
  <c r="I4" i="3"/>
  <c r="J4" i="3"/>
  <c r="K4" i="3"/>
  <c r="G5" i="3"/>
  <c r="H5" i="3"/>
  <c r="I5" i="3"/>
  <c r="K5" i="3" s="1"/>
  <c r="J5" i="3"/>
  <c r="G6" i="3"/>
  <c r="H6" i="3"/>
  <c r="I6" i="3"/>
  <c r="J6" i="3"/>
  <c r="K6" i="3"/>
  <c r="G7" i="3"/>
  <c r="H7" i="3"/>
  <c r="I7" i="3"/>
  <c r="K7" i="3" s="1"/>
  <c r="J7" i="3"/>
  <c r="G8" i="3"/>
  <c r="H8" i="3"/>
  <c r="I8" i="3"/>
  <c r="J8" i="3"/>
  <c r="K8" i="3"/>
  <c r="G9" i="3"/>
  <c r="H9" i="3"/>
  <c r="I9" i="3"/>
  <c r="K9" i="3" s="1"/>
  <c r="J9" i="3"/>
  <c r="G10" i="3"/>
  <c r="H10" i="3"/>
  <c r="I10" i="3"/>
  <c r="J10" i="3"/>
  <c r="K10" i="3"/>
  <c r="G11" i="3"/>
  <c r="H11" i="3"/>
  <c r="I11" i="3"/>
  <c r="K11" i="3" s="1"/>
  <c r="J11" i="3"/>
  <c r="G12" i="3"/>
  <c r="H12" i="3"/>
  <c r="I12" i="3"/>
  <c r="J12" i="3"/>
  <c r="K12" i="3"/>
  <c r="G13" i="3"/>
  <c r="H13" i="3"/>
  <c r="I13" i="3"/>
  <c r="K13" i="3" s="1"/>
  <c r="J13" i="3"/>
  <c r="G14" i="3"/>
  <c r="H14" i="3"/>
  <c r="I14" i="3"/>
  <c r="J14" i="3"/>
  <c r="K14" i="3"/>
  <c r="G15" i="3"/>
  <c r="H15" i="3"/>
  <c r="I15" i="3"/>
  <c r="K15" i="3" s="1"/>
  <c r="J15" i="3"/>
  <c r="G16" i="3"/>
  <c r="H16" i="3"/>
  <c r="I16" i="3"/>
  <c r="J16" i="3"/>
  <c r="K16" i="3"/>
  <c r="G17" i="3"/>
  <c r="H17" i="3"/>
  <c r="I17" i="3"/>
  <c r="K17" i="3" s="1"/>
  <c r="J17" i="3"/>
  <c r="G18" i="3"/>
  <c r="H18" i="3"/>
  <c r="I18" i="3"/>
  <c r="J18" i="3"/>
  <c r="K18" i="3"/>
  <c r="G19" i="3"/>
  <c r="H19" i="3"/>
  <c r="I19" i="3"/>
  <c r="K19" i="3" s="1"/>
  <c r="J19" i="3"/>
  <c r="G20" i="3"/>
  <c r="H20" i="3"/>
  <c r="I20" i="3"/>
  <c r="J20" i="3"/>
  <c r="K20" i="3"/>
  <c r="G21" i="3"/>
  <c r="H21" i="3"/>
  <c r="I21" i="3"/>
  <c r="K21" i="3" s="1"/>
  <c r="J21" i="3"/>
  <c r="G22" i="3"/>
  <c r="H22" i="3"/>
  <c r="I22" i="3"/>
  <c r="J22" i="3"/>
  <c r="K22" i="3"/>
  <c r="G23" i="3"/>
  <c r="H23" i="3"/>
  <c r="I23" i="3"/>
  <c r="K23" i="3" s="1"/>
  <c r="J23" i="3"/>
  <c r="G24" i="3"/>
  <c r="H24" i="3"/>
  <c r="I24" i="3"/>
  <c r="J24" i="3"/>
  <c r="K24" i="3"/>
  <c r="G25" i="3"/>
  <c r="H25" i="3"/>
  <c r="I25" i="3"/>
  <c r="K25" i="3" s="1"/>
  <c r="J25" i="3"/>
  <c r="G26" i="3"/>
  <c r="H26" i="3"/>
  <c r="I26" i="3"/>
  <c r="J26" i="3"/>
  <c r="K26" i="3"/>
  <c r="G27" i="3"/>
  <c r="H27" i="3"/>
  <c r="I27" i="3"/>
  <c r="K27" i="3" s="1"/>
  <c r="J27" i="3"/>
  <c r="G28" i="3"/>
  <c r="H28" i="3"/>
  <c r="I28" i="3"/>
  <c r="J28" i="3"/>
  <c r="K28" i="3"/>
  <c r="G29" i="3"/>
  <c r="H29" i="3"/>
  <c r="I29" i="3"/>
  <c r="K29" i="3" s="1"/>
  <c r="J29" i="3"/>
  <c r="G30" i="3"/>
  <c r="H30" i="3"/>
  <c r="I30" i="3"/>
  <c r="J30" i="3"/>
  <c r="K30" i="3"/>
  <c r="G31" i="3"/>
  <c r="H31" i="3"/>
  <c r="I31" i="3"/>
  <c r="K31" i="3" s="1"/>
  <c r="J31" i="3"/>
  <c r="G32" i="3"/>
  <c r="H32" i="3"/>
  <c r="I32" i="3"/>
  <c r="J32" i="3"/>
  <c r="K32" i="3"/>
  <c r="G33" i="3"/>
  <c r="H33" i="3"/>
  <c r="I33" i="3"/>
  <c r="K33" i="3" s="1"/>
  <c r="J33" i="3"/>
  <c r="G34" i="3"/>
  <c r="H34" i="3"/>
  <c r="I34" i="3"/>
  <c r="J34" i="3"/>
  <c r="K34" i="3"/>
  <c r="G35" i="3"/>
  <c r="H35" i="3"/>
  <c r="I35" i="3"/>
  <c r="K35" i="3" s="1"/>
  <c r="J35" i="3"/>
  <c r="G36" i="3"/>
  <c r="H36" i="3"/>
  <c r="I36" i="3"/>
  <c r="J36" i="3"/>
  <c r="K36" i="3"/>
  <c r="G37" i="3"/>
  <c r="H37" i="3"/>
  <c r="I37" i="3"/>
  <c r="K37" i="3" s="1"/>
  <c r="J37" i="3"/>
  <c r="G38" i="3"/>
  <c r="H38" i="3"/>
  <c r="I38" i="3"/>
  <c r="J38" i="3"/>
  <c r="K38" i="3"/>
  <c r="G39" i="3"/>
  <c r="H39" i="3"/>
  <c r="I39" i="3"/>
  <c r="K39" i="3" s="1"/>
  <c r="J39" i="3"/>
  <c r="G40" i="3"/>
  <c r="H40" i="3"/>
  <c r="I40" i="3"/>
  <c r="J40" i="3"/>
  <c r="K40" i="3"/>
  <c r="G41" i="3"/>
  <c r="H41" i="3"/>
  <c r="I41" i="3"/>
  <c r="K41" i="3" s="1"/>
  <c r="J41" i="3"/>
  <c r="G42" i="3"/>
  <c r="H42" i="3"/>
  <c r="I42" i="3"/>
  <c r="J42" i="3"/>
  <c r="K42" i="3"/>
  <c r="G43" i="3"/>
  <c r="H43" i="3"/>
  <c r="I43" i="3"/>
  <c r="K43" i="3" s="1"/>
  <c r="J43" i="3"/>
  <c r="G44" i="3"/>
  <c r="H44" i="3"/>
  <c r="I44" i="3"/>
  <c r="J44" i="3"/>
  <c r="K44" i="3"/>
  <c r="G45" i="3"/>
  <c r="H45" i="3"/>
  <c r="I45" i="3"/>
  <c r="K45" i="3" s="1"/>
  <c r="J45" i="3"/>
  <c r="G46" i="3"/>
  <c r="H46" i="3"/>
  <c r="I46" i="3"/>
  <c r="J46" i="3"/>
  <c r="K46" i="3"/>
  <c r="G47" i="3"/>
  <c r="H47" i="3"/>
  <c r="I47" i="3"/>
  <c r="K47" i="3" s="1"/>
  <c r="J47" i="3"/>
  <c r="G48" i="3"/>
  <c r="H48" i="3"/>
  <c r="I48" i="3"/>
  <c r="J48" i="3"/>
  <c r="K48" i="3"/>
  <c r="G49" i="3"/>
  <c r="H49" i="3"/>
  <c r="I49" i="3"/>
  <c r="K49" i="3" s="1"/>
  <c r="J49" i="3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6" i="2"/>
  <c r="H16" i="2"/>
  <c r="I16" i="2"/>
  <c r="J16" i="2"/>
  <c r="K16" i="2"/>
  <c r="G17" i="2"/>
  <c r="H17" i="2"/>
  <c r="I17" i="2"/>
  <c r="J17" i="2"/>
  <c r="K17" i="2"/>
  <c r="G18" i="2"/>
  <c r="H18" i="2"/>
  <c r="I18" i="2"/>
  <c r="J18" i="2"/>
  <c r="K18" i="2"/>
  <c r="G19" i="2"/>
  <c r="H19" i="2"/>
  <c r="I19" i="2"/>
  <c r="J19" i="2"/>
  <c r="K19" i="2"/>
  <c r="G20" i="2"/>
  <c r="H20" i="2"/>
  <c r="I20" i="2"/>
  <c r="J20" i="2"/>
  <c r="K20" i="2"/>
  <c r="G21" i="2"/>
  <c r="H21" i="2"/>
  <c r="I21" i="2"/>
  <c r="J21" i="2"/>
  <c r="K21" i="2"/>
  <c r="G22" i="2"/>
  <c r="H22" i="2"/>
  <c r="I22" i="2"/>
  <c r="J22" i="2"/>
  <c r="K22" i="2"/>
  <c r="G23" i="2"/>
  <c r="H23" i="2"/>
  <c r="I23" i="2"/>
  <c r="J23" i="2"/>
  <c r="K23" i="2"/>
  <c r="G24" i="2"/>
  <c r="H24" i="2"/>
  <c r="I24" i="2"/>
  <c r="J24" i="2"/>
  <c r="K24" i="2"/>
  <c r="G25" i="2"/>
  <c r="H25" i="2"/>
  <c r="I25" i="2"/>
  <c r="J25" i="2"/>
  <c r="K25" i="2"/>
  <c r="G26" i="2"/>
  <c r="H26" i="2"/>
  <c r="I26" i="2"/>
  <c r="J26" i="2"/>
  <c r="K26" i="2"/>
  <c r="G27" i="2"/>
  <c r="H27" i="2"/>
  <c r="I27" i="2"/>
  <c r="J27" i="2"/>
  <c r="K27" i="2"/>
  <c r="G28" i="2"/>
  <c r="H28" i="2"/>
  <c r="I28" i="2"/>
  <c r="J28" i="2"/>
  <c r="K28" i="2"/>
  <c r="G29" i="2"/>
  <c r="H29" i="2"/>
  <c r="I29" i="2"/>
  <c r="J29" i="2"/>
  <c r="K29" i="2"/>
  <c r="G30" i="2"/>
  <c r="H30" i="2"/>
  <c r="I30" i="2"/>
  <c r="J30" i="2"/>
  <c r="K30" i="2"/>
  <c r="G31" i="2"/>
  <c r="H31" i="2"/>
  <c r="I31" i="2"/>
  <c r="J31" i="2"/>
  <c r="K31" i="2"/>
  <c r="G32" i="2"/>
  <c r="H32" i="2"/>
  <c r="I32" i="2"/>
  <c r="J32" i="2"/>
  <c r="K32" i="2"/>
  <c r="G33" i="2"/>
  <c r="H33" i="2"/>
  <c r="I33" i="2"/>
  <c r="J33" i="2"/>
  <c r="K33" i="2"/>
  <c r="J3" i="13"/>
  <c r="H3" i="13"/>
  <c r="G3" i="13"/>
  <c r="I3" i="13" s="1"/>
  <c r="K3" i="13" s="1"/>
  <c r="J3" i="12"/>
  <c r="H3" i="12"/>
  <c r="G3" i="12"/>
  <c r="I3" i="12" s="1"/>
  <c r="K3" i="12" s="1"/>
  <c r="J3" i="11"/>
  <c r="H3" i="11"/>
  <c r="G3" i="11"/>
  <c r="I3" i="11" s="1"/>
  <c r="K3" i="11" s="1"/>
  <c r="J3" i="10"/>
  <c r="H3" i="10"/>
  <c r="G3" i="10"/>
  <c r="I3" i="10" s="1"/>
  <c r="K3" i="10" s="1"/>
  <c r="J3" i="9"/>
  <c r="H3" i="9"/>
  <c r="G3" i="9"/>
  <c r="I3" i="9" s="1"/>
  <c r="K3" i="9" s="1"/>
  <c r="J3" i="8"/>
  <c r="H3" i="8"/>
  <c r="G3" i="8"/>
  <c r="I3" i="8" s="1"/>
  <c r="K3" i="8" s="1"/>
  <c r="J3" i="7"/>
  <c r="I3" i="7"/>
  <c r="K3" i="7" s="1"/>
  <c r="H3" i="7"/>
  <c r="G3" i="7"/>
  <c r="J3" i="6"/>
  <c r="H3" i="6"/>
  <c r="G3" i="6"/>
  <c r="I3" i="6" s="1"/>
  <c r="K3" i="6" s="1"/>
  <c r="J3" i="5"/>
  <c r="H3" i="5"/>
  <c r="G3" i="5"/>
  <c r="I3" i="5" s="1"/>
  <c r="K3" i="5" s="1"/>
  <c r="J3" i="4"/>
  <c r="H3" i="4"/>
  <c r="G3" i="4"/>
  <c r="I3" i="4" s="1"/>
  <c r="K3" i="4" s="1"/>
  <c r="J3" i="3"/>
  <c r="H3" i="3"/>
  <c r="G3" i="3"/>
  <c r="I3" i="3" s="1"/>
  <c r="K3" i="3" s="1"/>
  <c r="K3" i="2"/>
  <c r="J3" i="2"/>
  <c r="I3" i="2"/>
  <c r="H3" i="2"/>
  <c r="G3" i="2"/>
  <c r="L28" i="13"/>
  <c r="F28" i="13"/>
  <c r="E28" i="13"/>
  <c r="H31" i="13" s="1"/>
  <c r="D28" i="13"/>
  <c r="C28" i="13"/>
  <c r="H30" i="12"/>
  <c r="G30" i="12"/>
  <c r="L27" i="12"/>
  <c r="F27" i="12"/>
  <c r="E27" i="12"/>
  <c r="D27" i="12"/>
  <c r="C27" i="12"/>
  <c r="H22" i="11"/>
  <c r="G22" i="11"/>
  <c r="L19" i="11"/>
  <c r="F19" i="11"/>
  <c r="E19" i="11"/>
  <c r="D19" i="11"/>
  <c r="C19" i="11"/>
  <c r="H41" i="10"/>
  <c r="G41" i="10"/>
  <c r="L38" i="10"/>
  <c r="F38" i="10"/>
  <c r="E38" i="10"/>
  <c r="D38" i="10"/>
  <c r="C38" i="10"/>
  <c r="H20" i="9"/>
  <c r="G20" i="9"/>
  <c r="L17" i="9"/>
  <c r="F17" i="9"/>
  <c r="E17" i="9"/>
  <c r="D17" i="9"/>
  <c r="C17" i="9"/>
  <c r="H26" i="8"/>
  <c r="L23" i="8"/>
  <c r="F23" i="8"/>
  <c r="E23" i="8"/>
  <c r="D23" i="8"/>
  <c r="C23" i="8"/>
  <c r="G26" i="8" s="1"/>
  <c r="L19" i="7"/>
  <c r="F19" i="7"/>
  <c r="E19" i="7"/>
  <c r="D19" i="7"/>
  <c r="H22" i="7" s="1"/>
  <c r="C19" i="7"/>
  <c r="G22" i="7" s="1"/>
  <c r="G37" i="6"/>
  <c r="L34" i="6"/>
  <c r="F34" i="6"/>
  <c r="E34" i="6"/>
  <c r="H37" i="6" s="1"/>
  <c r="D34" i="6"/>
  <c r="C34" i="6"/>
  <c r="G30" i="5"/>
  <c r="L27" i="5"/>
  <c r="F27" i="5"/>
  <c r="E27" i="5"/>
  <c r="H30" i="5" s="1"/>
  <c r="D27" i="5"/>
  <c r="C27" i="5"/>
  <c r="H28" i="4"/>
  <c r="G28" i="4"/>
  <c r="L25" i="4"/>
  <c r="F25" i="4"/>
  <c r="E25" i="4"/>
  <c r="D25" i="4"/>
  <c r="C25" i="4"/>
  <c r="B5" i="1" s="1"/>
  <c r="H53" i="3"/>
  <c r="L50" i="3"/>
  <c r="F50" i="3"/>
  <c r="E50" i="3"/>
  <c r="D50" i="3"/>
  <c r="C50" i="3"/>
  <c r="G53" i="3" s="1"/>
  <c r="L34" i="2"/>
  <c r="F34" i="2"/>
  <c r="E3" i="1" s="1"/>
  <c r="E34" i="2"/>
  <c r="H37" i="2" s="1"/>
  <c r="D34" i="2"/>
  <c r="C34" i="2"/>
  <c r="B3" i="1" s="1"/>
  <c r="V14" i="1"/>
  <c r="U14" i="1"/>
  <c r="K14" i="1"/>
  <c r="E14" i="1"/>
  <c r="D14" i="1"/>
  <c r="T14" i="1" s="1"/>
  <c r="C14" i="1"/>
  <c r="B14" i="1"/>
  <c r="V13" i="1"/>
  <c r="U13" i="1"/>
  <c r="K13" i="1"/>
  <c r="E13" i="1"/>
  <c r="D13" i="1"/>
  <c r="T13" i="1" s="1"/>
  <c r="C13" i="1"/>
  <c r="B13" i="1"/>
  <c r="V12" i="1"/>
  <c r="U12" i="1"/>
  <c r="K12" i="1"/>
  <c r="E12" i="1"/>
  <c r="D12" i="1"/>
  <c r="T12" i="1" s="1"/>
  <c r="C12" i="1"/>
  <c r="B12" i="1"/>
  <c r="V11" i="1"/>
  <c r="U11" i="1"/>
  <c r="K11" i="1"/>
  <c r="E11" i="1"/>
  <c r="D11" i="1"/>
  <c r="T11" i="1" s="1"/>
  <c r="C11" i="1"/>
  <c r="B11" i="1"/>
  <c r="V10" i="1"/>
  <c r="U10" i="1"/>
  <c r="K10" i="1"/>
  <c r="E10" i="1"/>
  <c r="D10" i="1"/>
  <c r="T10" i="1" s="1"/>
  <c r="C10" i="1"/>
  <c r="B10" i="1"/>
  <c r="V9" i="1"/>
  <c r="U9" i="1"/>
  <c r="K9" i="1"/>
  <c r="E9" i="1"/>
  <c r="D9" i="1"/>
  <c r="C9" i="1"/>
  <c r="V8" i="1"/>
  <c r="U8" i="1"/>
  <c r="K8" i="1"/>
  <c r="E8" i="1"/>
  <c r="D8" i="1"/>
  <c r="T8" i="1" s="1"/>
  <c r="C8" i="1"/>
  <c r="B8" i="1"/>
  <c r="V7" i="1"/>
  <c r="U7" i="1"/>
  <c r="K7" i="1"/>
  <c r="E7" i="1"/>
  <c r="D7" i="1"/>
  <c r="T7" i="1" s="1"/>
  <c r="C7" i="1"/>
  <c r="B7" i="1"/>
  <c r="V6" i="1"/>
  <c r="U6" i="1"/>
  <c r="K6" i="1"/>
  <c r="E6" i="1"/>
  <c r="D6" i="1"/>
  <c r="T6" i="1" s="1"/>
  <c r="C6" i="1"/>
  <c r="B6" i="1"/>
  <c r="V5" i="1"/>
  <c r="U5" i="1"/>
  <c r="K5" i="1"/>
  <c r="E5" i="1"/>
  <c r="D5" i="1"/>
  <c r="C5" i="1"/>
  <c r="V4" i="1"/>
  <c r="U4" i="1"/>
  <c r="K4" i="1"/>
  <c r="E4" i="1"/>
  <c r="D4" i="1"/>
  <c r="C4" i="1"/>
  <c r="K3" i="1"/>
  <c r="K15" i="1" s="1"/>
  <c r="C3" i="1"/>
  <c r="C15" i="1" s="1"/>
  <c r="K28" i="13" l="1"/>
  <c r="J28" i="13"/>
  <c r="J29" i="13" s="1"/>
  <c r="G28" i="13"/>
  <c r="G29" i="13" s="1"/>
  <c r="H27" i="12"/>
  <c r="G13" i="1" s="1"/>
  <c r="G27" i="12"/>
  <c r="J27" i="12"/>
  <c r="J28" i="12" s="1"/>
  <c r="I23" i="8"/>
  <c r="I24" i="8" s="1"/>
  <c r="J23" i="8"/>
  <c r="I9" i="1" s="1"/>
  <c r="J19" i="7"/>
  <c r="I8" i="1" s="1"/>
  <c r="I25" i="4"/>
  <c r="H5" i="1" s="1"/>
  <c r="O5" i="1" s="1"/>
  <c r="J34" i="6"/>
  <c r="I7" i="1" s="1"/>
  <c r="K19" i="7"/>
  <c r="K20" i="7" s="1"/>
  <c r="J25" i="4"/>
  <c r="J26" i="4" s="1"/>
  <c r="G27" i="5"/>
  <c r="F6" i="1" s="1"/>
  <c r="M6" i="1" s="1"/>
  <c r="K34" i="6"/>
  <c r="K35" i="6" s="1"/>
  <c r="J17" i="9"/>
  <c r="I10" i="1" s="1"/>
  <c r="H38" i="10"/>
  <c r="H39" i="10" s="1"/>
  <c r="K19" i="11"/>
  <c r="J12" i="1" s="1"/>
  <c r="I27" i="12"/>
  <c r="I28" i="12" s="1"/>
  <c r="G50" i="3"/>
  <c r="G51" i="3" s="1"/>
  <c r="I50" i="3"/>
  <c r="H4" i="1" s="1"/>
  <c r="O4" i="1" s="1"/>
  <c r="H27" i="5"/>
  <c r="H28" i="5" s="1"/>
  <c r="G34" i="6"/>
  <c r="F7" i="1" s="1"/>
  <c r="M7" i="1" s="1"/>
  <c r="K17" i="9"/>
  <c r="K18" i="9" s="1"/>
  <c r="G25" i="4"/>
  <c r="G17" i="9"/>
  <c r="F10" i="1" s="1"/>
  <c r="M10" i="1" s="1"/>
  <c r="K27" i="12"/>
  <c r="K28" i="12" s="1"/>
  <c r="H25" i="4"/>
  <c r="G5" i="1" s="1"/>
  <c r="N5" i="1" s="1"/>
  <c r="H17" i="9"/>
  <c r="G10" i="1" s="1"/>
  <c r="N10" i="1" s="1"/>
  <c r="J50" i="3"/>
  <c r="I4" i="1" s="1"/>
  <c r="K27" i="5"/>
  <c r="I17" i="9"/>
  <c r="I18" i="9" s="1"/>
  <c r="K23" i="8"/>
  <c r="K24" i="8" s="1"/>
  <c r="I27" i="5"/>
  <c r="H6" i="1" s="1"/>
  <c r="H19" i="7"/>
  <c r="G8" i="1" s="1"/>
  <c r="K50" i="3"/>
  <c r="K51" i="3" s="1"/>
  <c r="J38" i="10"/>
  <c r="I11" i="1" s="1"/>
  <c r="I34" i="6"/>
  <c r="J34" i="2"/>
  <c r="I3" i="1" s="1"/>
  <c r="I38" i="10"/>
  <c r="H11" i="1" s="1"/>
  <c r="G19" i="11"/>
  <c r="F12" i="1" s="1"/>
  <c r="M12" i="1" s="1"/>
  <c r="K34" i="2"/>
  <c r="K35" i="2" s="1"/>
  <c r="G23" i="8"/>
  <c r="G24" i="8" s="1"/>
  <c r="H19" i="11"/>
  <c r="G12" i="1" s="1"/>
  <c r="H28" i="13"/>
  <c r="G14" i="1" s="1"/>
  <c r="K38" i="10"/>
  <c r="I19" i="11"/>
  <c r="I20" i="11" s="1"/>
  <c r="I28" i="13"/>
  <c r="I29" i="13" s="1"/>
  <c r="G34" i="2"/>
  <c r="J27" i="5"/>
  <c r="J28" i="5" s="1"/>
  <c r="H23" i="8"/>
  <c r="H24" i="8" s="1"/>
  <c r="H34" i="2"/>
  <c r="G3" i="1" s="1"/>
  <c r="H50" i="3"/>
  <c r="G4" i="1" s="1"/>
  <c r="H34" i="6"/>
  <c r="G7" i="1" s="1"/>
  <c r="G38" i="10"/>
  <c r="G39" i="10" s="1"/>
  <c r="J19" i="11"/>
  <c r="J20" i="11" s="1"/>
  <c r="I19" i="7"/>
  <c r="I20" i="7" s="1"/>
  <c r="I34" i="2"/>
  <c r="H3" i="1" s="1"/>
  <c r="K25" i="4"/>
  <c r="J5" i="1" s="1"/>
  <c r="G19" i="7"/>
  <c r="E15" i="1"/>
  <c r="V15" i="1" s="1"/>
  <c r="V3" i="1"/>
  <c r="T5" i="1"/>
  <c r="B4" i="1"/>
  <c r="T4" i="1" s="1"/>
  <c r="B9" i="1"/>
  <c r="T9" i="1" s="1"/>
  <c r="D3" i="1"/>
  <c r="G37" i="2"/>
  <c r="G31" i="13"/>
  <c r="J30" i="13" l="1"/>
  <c r="I14" i="1"/>
  <c r="K30" i="13"/>
  <c r="J14" i="1"/>
  <c r="K29" i="13"/>
  <c r="F14" i="1"/>
  <c r="M14" i="1" s="1"/>
  <c r="I5" i="1"/>
  <c r="H28" i="12"/>
  <c r="I13" i="1"/>
  <c r="G18" i="9"/>
  <c r="J19" i="9"/>
  <c r="J18" i="9"/>
  <c r="H36" i="6"/>
  <c r="J29" i="12"/>
  <c r="J35" i="6"/>
  <c r="K29" i="12"/>
  <c r="H29" i="12"/>
  <c r="J20" i="7"/>
  <c r="G28" i="12"/>
  <c r="F13" i="1"/>
  <c r="M13" i="1" s="1"/>
  <c r="K21" i="7"/>
  <c r="H35" i="2"/>
  <c r="G6" i="1"/>
  <c r="N6" i="1" s="1"/>
  <c r="I51" i="3"/>
  <c r="J51" i="3"/>
  <c r="J25" i="8"/>
  <c r="F4" i="1"/>
  <c r="M4" i="1" s="1"/>
  <c r="J24" i="8"/>
  <c r="J52" i="3"/>
  <c r="I26" i="4"/>
  <c r="I19" i="9"/>
  <c r="K20" i="11"/>
  <c r="G35" i="6"/>
  <c r="I36" i="6"/>
  <c r="I28" i="5"/>
  <c r="H12" i="1"/>
  <c r="Q12" i="1" s="1"/>
  <c r="J8" i="1"/>
  <c r="I29" i="5"/>
  <c r="H20" i="11"/>
  <c r="I35" i="2"/>
  <c r="J36" i="6"/>
  <c r="J27" i="4"/>
  <c r="G11" i="1"/>
  <c r="N11" i="1" s="1"/>
  <c r="J4" i="1"/>
  <c r="I25" i="8"/>
  <c r="J13" i="1"/>
  <c r="I35" i="6"/>
  <c r="H9" i="1"/>
  <c r="O9" i="1" s="1"/>
  <c r="H7" i="1"/>
  <c r="Q7" i="1" s="1"/>
  <c r="G28" i="5"/>
  <c r="I52" i="3"/>
  <c r="F11" i="1"/>
  <c r="M11" i="1" s="1"/>
  <c r="H19" i="9"/>
  <c r="I12" i="1"/>
  <c r="R12" i="1" s="1"/>
  <c r="J10" i="1"/>
  <c r="S10" i="1" s="1"/>
  <c r="I39" i="10"/>
  <c r="K21" i="11"/>
  <c r="H51" i="3"/>
  <c r="H40" i="10"/>
  <c r="K40" i="10"/>
  <c r="H13" i="1"/>
  <c r="O13" i="1" s="1"/>
  <c r="H18" i="9"/>
  <c r="I29" i="12"/>
  <c r="K36" i="6"/>
  <c r="I21" i="11"/>
  <c r="H25" i="8"/>
  <c r="K25" i="8"/>
  <c r="G26" i="4"/>
  <c r="H36" i="2"/>
  <c r="J39" i="10"/>
  <c r="J11" i="1"/>
  <c r="J40" i="10"/>
  <c r="K39" i="10"/>
  <c r="I27" i="4"/>
  <c r="F9" i="1"/>
  <c r="M9" i="1" s="1"/>
  <c r="J3" i="1"/>
  <c r="G20" i="7"/>
  <c r="F8" i="1"/>
  <c r="M8" i="1" s="1"/>
  <c r="I30" i="13"/>
  <c r="H14" i="1"/>
  <c r="K19" i="9"/>
  <c r="P10" i="1"/>
  <c r="I6" i="1"/>
  <c r="R6" i="1" s="1"/>
  <c r="F5" i="1"/>
  <c r="M5" i="1" s="1"/>
  <c r="J9" i="1"/>
  <c r="K29" i="5"/>
  <c r="R10" i="1"/>
  <c r="J21" i="11"/>
  <c r="H27" i="4"/>
  <c r="F3" i="1"/>
  <c r="R3" i="1" s="1"/>
  <c r="H29" i="5"/>
  <c r="G20" i="11"/>
  <c r="H52" i="3"/>
  <c r="H21" i="11"/>
  <c r="K36" i="2"/>
  <c r="J6" i="1"/>
  <c r="S6" i="1" s="1"/>
  <c r="I40" i="10"/>
  <c r="J7" i="1"/>
  <c r="S7" i="1" s="1"/>
  <c r="K26" i="4"/>
  <c r="G9" i="1"/>
  <c r="N9" i="1" s="1"/>
  <c r="K28" i="5"/>
  <c r="H21" i="7"/>
  <c r="J21" i="7"/>
  <c r="G35" i="2"/>
  <c r="J29" i="5"/>
  <c r="H10" i="1"/>
  <c r="I36" i="2"/>
  <c r="I21" i="7"/>
  <c r="K27" i="4"/>
  <c r="H26" i="4"/>
  <c r="J35" i="2"/>
  <c r="J36" i="2"/>
  <c r="H29" i="13"/>
  <c r="H35" i="6"/>
  <c r="H30" i="13"/>
  <c r="K52" i="3"/>
  <c r="H8" i="1"/>
  <c r="H20" i="7"/>
  <c r="P7" i="1"/>
  <c r="N7" i="1"/>
  <c r="B15" i="1"/>
  <c r="T3" i="1"/>
  <c r="D15" i="1"/>
  <c r="U3" i="1"/>
  <c r="N4" i="1"/>
  <c r="N8" i="1"/>
  <c r="N14" i="1"/>
  <c r="P12" i="1"/>
  <c r="N12" i="1"/>
  <c r="N13" i="1"/>
  <c r="Q6" i="1"/>
  <c r="O6" i="1"/>
  <c r="R7" i="1"/>
  <c r="N3" i="1"/>
  <c r="O3" i="1"/>
  <c r="O11" i="1"/>
  <c r="S12" i="1"/>
  <c r="S14" i="1" l="1"/>
  <c r="R14" i="1"/>
  <c r="Q14" i="1"/>
  <c r="P14" i="1"/>
  <c r="S13" i="1"/>
  <c r="R13" i="1"/>
  <c r="P6" i="1"/>
  <c r="R4" i="1"/>
  <c r="Q4" i="1"/>
  <c r="P13" i="1"/>
  <c r="S4" i="1"/>
  <c r="O12" i="1"/>
  <c r="P4" i="1"/>
  <c r="O7" i="1"/>
  <c r="Q11" i="1"/>
  <c r="R11" i="1"/>
  <c r="P11" i="1"/>
  <c r="S9" i="1"/>
  <c r="S11" i="1"/>
  <c r="P8" i="1"/>
  <c r="S3" i="1"/>
  <c r="Q8" i="1"/>
  <c r="Q13" i="1"/>
  <c r="O14" i="1"/>
  <c r="Q3" i="1"/>
  <c r="P9" i="1"/>
  <c r="S8" i="1"/>
  <c r="R8" i="1"/>
  <c r="Q9" i="1"/>
  <c r="R9" i="1"/>
  <c r="F15" i="1"/>
  <c r="M15" i="1" s="1"/>
  <c r="R5" i="1"/>
  <c r="P3" i="1"/>
  <c r="Q5" i="1"/>
  <c r="M3" i="1"/>
  <c r="S5" i="1"/>
  <c r="I15" i="1"/>
  <c r="G15" i="1"/>
  <c r="N15" i="1" s="1"/>
  <c r="P5" i="1"/>
  <c r="J15" i="1"/>
  <c r="O10" i="1"/>
  <c r="Q10" i="1"/>
  <c r="H15" i="1"/>
  <c r="O8" i="1"/>
  <c r="T15" i="1"/>
  <c r="U15" i="1"/>
  <c r="Q15" i="1" l="1"/>
  <c r="S15" i="1"/>
  <c r="P15" i="1"/>
  <c r="R15" i="1"/>
  <c r="O15" i="1"/>
</calcChain>
</file>

<file path=xl/sharedStrings.xml><?xml version="1.0" encoding="utf-8"?>
<sst xmlns="http://schemas.openxmlformats.org/spreadsheetml/2006/main" count="539" uniqueCount="352">
  <si>
    <t>Year: 2018</t>
  </si>
  <si>
    <t>Figures</t>
  </si>
  <si>
    <t>Papers</t>
  </si>
  <si>
    <t>% of all papers</t>
  </si>
  <si>
    <t>% of SBOL possible papers</t>
  </si>
  <si>
    <t>Year</t>
  </si>
  <si>
    <t>Total</t>
  </si>
  <si>
    <t>SBOL possible</t>
  </si>
  <si>
    <t>SBOL compliant</t>
  </si>
  <si>
    <t>Best Practices</t>
  </si>
  <si>
    <t>Partial Compliant</t>
  </si>
  <si>
    <t>Fully Compliant</t>
  </si>
  <si>
    <t>Partial Best</t>
  </si>
  <si>
    <t>Fully Best</t>
  </si>
  <si>
    <t>Part Best</t>
  </si>
  <si>
    <t>Full Best</t>
  </si>
  <si>
    <t>% of Figures</t>
  </si>
  <si>
    <t>% Possible Figures</t>
  </si>
  <si>
    <t>% Best Practices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</si>
  <si>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</si>
  <si>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</si>
  <si>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</si>
  <si>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</si>
  <si>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</si>
  <si>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</si>
  <si>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</si>
  <si>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</si>
  <si>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</si>
  <si>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</si>
  <si>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</si>
  <si>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</si>
  <si>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Analyzed</t>
  </si>
  <si>
    <t xml:space="preserve">Compliance rubric: </t>
  </si>
  <si>
    <t>https://docs.google.com/document/d/1vK8DdeN5QbFqKy0h2uLIuuB89hU_Zlj_o41NX1BVtAY/edit?usp=sharing</t>
  </si>
  <si>
    <t>Article</t>
  </si>
  <si>
    <t># Figures</t>
  </si>
  <si>
    <t># Appropriate for SBOL Visual</t>
  </si>
  <si>
    <t># Compliant with SBOL Visual</t>
  </si>
  <si>
    <t>SBOL Possible</t>
  </si>
  <si>
    <t>SBOL Used</t>
  </si>
  <si>
    <t>SBOL Uniformly Used</t>
  </si>
  <si>
    <t>Best Practices Used</t>
  </si>
  <si>
    <t>Best Practices Uniformly Used</t>
  </si>
  <si>
    <t>Optogenetic Control of Endoplasmic Reticulum–Mitochondria Tethering</t>
  </si>
  <si>
    <t>Multiplexed CRISPR/Cas9 Genome Editing and Gene Regulation Using Csy4 in Saccharomyces cerevisiae</t>
  </si>
  <si>
    <t>Design and Selection of a Synthetic Feedback Loop for Optimizing Biofuel Tolerance</t>
  </si>
  <si>
    <t>Investigation of the Synergetic Effect of Xylose Metabolic Pathways on the Production of Glutaric Acid</t>
  </si>
  <si>
    <t>Dynamic Control of Aptamer–Ligand Activity Using Strand Displacement Reactions</t>
  </si>
  <si>
    <t>Targeted Gene Repression Using Novel Bifunctional Molecules to Harness Endogenous Histone Deacetylation Activity</t>
  </si>
  <si>
    <t>Design and Analysis of Compact DNA Strand Displacement Circuits for Analog Computation Using Autocatalytic Amplifiers</t>
  </si>
  <si>
    <t>Crosstalk between Diverse Synthetic Protein Degradation Tags in Escherichia coli</t>
  </si>
  <si>
    <t>Method to Assemble Genomic DNA Fragments or Genes on Human Artificial Chromosome with Regulated Kinetochore Using a Multi-Integrase System</t>
  </si>
  <si>
    <t>A Robust Molecular Network Motif for Period-Doubling Devices</t>
  </si>
  <si>
    <t>Replacing the Ethylmalonyl-CoA Pathway with the Glyoxylate Shunt Provides Metabolic Flexibility in the Central Carbon Metabolism of Methylobacterium extorquens AM1</t>
  </si>
  <si>
    <t>A Novel Tool for Microbial Genome Editing Using the Restriction-Modification System</t>
  </si>
  <si>
    <t>Reconfigurable Analog Signal Processing by Living Cells</t>
  </si>
  <si>
    <t>Reconstructing Biosynthetic Pathway of the Plant-Derived Cancer Chemopreventive-Precursor Glucoraphanin in Escherichia coli</t>
  </si>
  <si>
    <t>Corynebacterium glutamicum Chassis C1*: Building and Testing a Novel Platform Host for Synthetic Biology and Industrial Biotechnology</t>
  </si>
  <si>
    <t>Versatility of Prolyl Oligopeptidase B in Peptide Macrocyclization</t>
  </si>
  <si>
    <t>Growing Membranes In Vitro by Continuous Phospholipid Biosynthesis from Free Fatty Acids</t>
  </si>
  <si>
    <t>A Modular Receptor Platform To Expand the Sensing Repertoire of Bacteria</t>
  </si>
  <si>
    <t>Multiplexed sgRNA Expression Allows Versatile Single Nonrepetitive DNA Labeling and Endogenous Gene Regulation</t>
  </si>
  <si>
    <t>A Prototype for Modular Cell Engineering</t>
  </si>
  <si>
    <t>Optogenetics Manipulation Enables Prevention of Biofilm Formation of Engineered Pseudomonas aeruginosa on Surfaces</t>
  </si>
  <si>
    <t>Cloning and Transplantation of the Mesoplasma florum Genome</t>
  </si>
  <si>
    <t>Cell-Free Protein Synthesis Enhancement from Real-Time NMR Metabolite Kinetics: Redirecting Energy Fluxes in Hybrid RRL Systems</t>
  </si>
  <si>
    <t>Development of Transcription Factor-Based Designer Macrolide Biosensors for Metabolic Engineering and Synthetic Biology</t>
  </si>
  <si>
    <t>Engineering an E. coli Near-Infrared Light Sensor</t>
  </si>
  <si>
    <t>Efficient Expression of Glutathione Peroxidase with Chimeric tRNA in Amber-less Escherichia coli</t>
  </si>
  <si>
    <t>Yield Improvement of the Anti-MRSA Antibiotics WAP-8294A by CRISPR/dCas9 Combined with Refactoring Self-Protection Genes in Lysobacter enzymogenes OH11</t>
  </si>
  <si>
    <t>Development of a Pigment-Based Whole-Cell Zinc Biosensor for Human Serum</t>
  </si>
  <si>
    <t>A Genetic Toolbox for Modulating the Expression of Heterologous Genes in the Cyanobacterium Synechocystis sp. PCC 6803</t>
  </si>
  <si>
    <t>Construction and Characterization of Broad-Spectrum Promoters for Synthetic Biology</t>
  </si>
  <si>
    <t>RNA Thermometers for the PURExpress System</t>
  </si>
  <si>
    <t># Papers</t>
  </si>
  <si>
    <t>Totals:</t>
  </si>
  <si>
    <t>% of SBOL-possible papers</t>
  </si>
  <si>
    <t>% of all / possible figures</t>
  </si>
  <si>
    <t>Serine Integrases: Advancing Synthetic Biology</t>
  </si>
  <si>
    <t>Part by Part: Synthetic Biology Parts Used in Solventogenic Clostridia</t>
  </si>
  <si>
    <t>An Expanded Plasmid-Based Genetic Toolbox Enables Cas9 Genome Editing and Stable Maintenance of Synthetic Pathways in Phaeodactylum tricornutum</t>
  </si>
  <si>
    <t>Gene-Mediated Chemical Communication in Synthetic Protocell Communities</t>
  </si>
  <si>
    <t>Metabolic Feedback Circuits Provide Rapid Control of Metabolite Dynamics</t>
  </si>
  <si>
    <t>Native and Engineered Clifednamide Biosynthesis in Multiple Streptomyces spp.</t>
  </si>
  <si>
    <t>Artificial Cell Fermentation as a Platform for Highly Efficient Cascade Conversion</t>
  </si>
  <si>
    <t>Analyzing and Tuning Ribozyme Activity by Deep Sequencing To Modulate Gene Expression Level in Mammalian Cells</t>
  </si>
  <si>
    <t>Huntingtin Polyglutamine-Dependent Protein Aggregation in Reconstituted Cells</t>
  </si>
  <si>
    <t>High-CO2 Requirement as a Mechanism for the Containment of Genetically Modified Cyanobacteria</t>
  </si>
  <si>
    <t>An Improved Whole-Cell Biosensor for the Discovery of Lignin-Transforming Enzymes in Functional Metagenomic Screens</t>
  </si>
  <si>
    <t>Engineering Bifunctional Enzymes Capable of Adenylating and Selectively Methylating the Side Chain or Core of Amino Acids</t>
  </si>
  <si>
    <t>Cotranslational Incorporation into Proteins of a Fluorophore Suitable for smFRET Studies</t>
  </si>
  <si>
    <t>Functional Characterization of Insulation Effect for Synthetic Gene Circuits in Mammalian Cells</t>
  </si>
  <si>
    <t>Perfect Adaptation and Optimal Equilibrium Productivity in a Simple Microbial Biofuel Metabolic Pathway Using Dynamic Integral Control</t>
  </si>
  <si>
    <t>TARSyn: Tunable Antibiotic Resistance Devices Enabling Bacterial Synthetic Evolution and Protein Production</t>
  </si>
  <si>
    <t>Spatiotemporal Control of TGF-β Signaling with Light</t>
  </si>
  <si>
    <t>Sporobeads: The Utilization of the Bacillus subtilis Endospore Crust as a Protein Display Platform</t>
  </si>
  <si>
    <t>MinGenome: An In Silico Top-Down Approach for the Synthesis of Minimized Genomes</t>
  </si>
  <si>
    <t>A Workflow for In Vivo Evaluation of Candidate Inputs and Outputs for Cell Classifier Gene Circuits</t>
  </si>
  <si>
    <t>Toward Synthetic Biology Strategies for Adipic Acid Production: An in Silico Tool for Combined Thermodynamics and Stoichiometric Analysis of Metabolic Networks</t>
  </si>
  <si>
    <t>The Locational Impact of Site-Specific PEGylation: Streamlined Screening with Cell-Free Protein Expression and Coarse-Grain Simulation</t>
  </si>
  <si>
    <t>An Autoregulated Fine-Tuning Strategy for Titer Improvement of Secondary Metabolites Using Native Promoters in Streptomyces</t>
  </si>
  <si>
    <t>Antibody-Based Fusion Proteins Allow Ca2+ Rewiring to Most Extracellular Ligands</t>
  </si>
  <si>
    <t>Quantitatively Predictable Control of Cellular Protein Levels through Proteasomal Degradation</t>
  </si>
  <si>
    <t>Orthogonality and Burdens of Heterologous AND Gate Gene Circuits in E. coli</t>
  </si>
  <si>
    <t>Muconic Acid Production via Alternative Pathways and a Synthetic “Metabolic Funnel”</t>
  </si>
  <si>
    <t>In Vitro Evolution of Unmodified 16S rRNA for Simple Ribosome Reconstitution</t>
  </si>
  <si>
    <t>Engineering 1-Alkene Biosynthesis and Secretion by Dynamic Regulation in YeastYongjin J. Zhou*, Yating Hu</t>
  </si>
  <si>
    <t>New Intracellular Shikimic Acid Biosensor for Monitoring Shikimate Synthesis in Corynebacterium glutamicum</t>
  </si>
  <si>
    <t>Emergent Properties in Complex Synthetic Bacterial Promoters</t>
  </si>
  <si>
    <t>Design of a Temperature-Responsive Transcription Terminator</t>
  </si>
  <si>
    <t>Toward Predictable 5′UTRs in Saccharomyces cerevisiae: Development of a yUTR Calculator</t>
  </si>
  <si>
    <t>Reprogramming One-Carbon Metabolic Pathways To Decouple l-Serine Catabolism from Cell Growth in Corynebacterium glutamicum</t>
  </si>
  <si>
    <t>Establishing an Artificial Pathway for Efficient Biosynthesis of Hydroxytyrosol</t>
  </si>
  <si>
    <t>Discovering Putative Peptides Encoded from Noncoding RNAs in Ribosome Profiling Data of Arabidopsis thaliana</t>
  </si>
  <si>
    <t>Photosynthetic Production of Sunscreen Shinorine Using an Engineered Cyanobacterium</t>
  </si>
  <si>
    <t>Stringency of Synthetic Promoter Sequences in Clostridium Revealed and Circumvented by Tuning Promoter Library Mutation Rates</t>
  </si>
  <si>
    <t>SynBioHub: A Standards-Enabled Design Repository for Synthetic Biology</t>
  </si>
  <si>
    <t>Genetically Incorporating Two Distinct Post-translational Modifications into One Protein Simultaneously</t>
  </si>
  <si>
    <t>Detection of a Peptide Biomarker by Engineered Yeast Receptors</t>
  </si>
  <si>
    <t>Biosynthesis of Orthogonal Molecules Using Ferredoxin and Ferredoxin-NADP+ Reductase Systems Enables Genetically Encoded PhyB Optogenetics</t>
  </si>
  <si>
    <t>Genetically Encoded Circuit for Remote Regulation of Cell Migration by Magnetic Fields</t>
  </si>
  <si>
    <t>Molecular Toolkit for Gene Expression Control and Genome Modification in Rhodococcus opacus PD630</t>
  </si>
  <si>
    <t>Deformation Modes of Giant Unilamellar Vesicles Encapsulating Biopolymers</t>
  </si>
  <si>
    <t>An Expanded Heterologous GAL Promoter Collection for Diauxie-Inducible Expression in Saccharomyces cerevisiae</t>
  </si>
  <si>
    <t>Cell-Free and In Vivo Characterization of Lux, Las, and Rpa Quorum Activation Systems in E. coli</t>
  </si>
  <si>
    <t>Labeling RNAs in Live Cells Using Malachite Green Aptamer Scaffolds as Fluorescent Probes</t>
  </si>
  <si>
    <t>DNA Origami Inside-Out Viruses</t>
  </si>
  <si>
    <t>Co-Compartmentation of Terpene Biosynthesis and Storage via Synthetic Droplet</t>
  </si>
  <si>
    <t>Wicket: A Versatile Tool for the Integration and Optimization of Exogenous Pathways in Saccharomyces cerevisiae</t>
  </si>
  <si>
    <t>Directed Evolution of Membrane Transport Using Synthetic Selections</t>
  </si>
  <si>
    <t>Rearrangement of Coenzyme A-Acylated Carbon Chain Enables Synthesis of Isobutanol via a Novel Pathway in Ralstonia eutropha</t>
  </si>
  <si>
    <t>Genetic Code Expansion of the Silkworm Bombyx mori to Functionalize Silk Fiber</t>
  </si>
  <si>
    <t>Highly Effective and Low-Cost MicroRNA Detection with CRISPR-Cas9</t>
  </si>
  <si>
    <t>Rewiring Calcium Signaling for Precise Transcriptional Reprogramming</t>
  </si>
  <si>
    <t>Bacterial Genome Editing via a Designed Toxin–Antitoxin Cassette</t>
  </si>
  <si>
    <t>Reconstructing Dynamic Promoter Activity Profiles from Reporter Gene Data</t>
  </si>
  <si>
    <t>Tandem Histone-Binding Domains Enhance the Activity of a Synthetic Chromatin Effector</t>
  </si>
  <si>
    <t>Multilevel Regulation of Bacterial Gene Expression with the Combined STAR and Antisense RNA System</t>
  </si>
  <si>
    <t>Orthogonal Information Encoding in Living Cells with High Error-Tolerance, Safety, and Fidelity</t>
  </si>
  <si>
    <t>Expanding One-Pot Cell-Free Protein Synthesis and Immobilization for On-Demand Manufacturing of Biomaterials</t>
  </si>
  <si>
    <t>Modular Engineering Intracellular NADH Regeneration Boosts Extracellular Electron Transfer of Shewanella oneidensis MR-1</t>
  </si>
  <si>
    <t>Yeast-Based Synthetic Biology Platform for Antimicrobial Peptide Production</t>
  </si>
  <si>
    <t>Ratiometric Gas Reporting: A Nondisruptive Approach To Monitor Gene Expression in Soils</t>
  </si>
  <si>
    <t>Heterologous Leader Sequences in Fusion Constructs Enhance Expression of Geranyl Diphosphate Synthase and Yield of β-Phellandrene Production in Cyanobacteria (Synechocystis)</t>
  </si>
  <si>
    <t>Automated Planning Enables Complex Protocols on Liquid-Handling Robots</t>
  </si>
  <si>
    <t>An Automated Induction Microfluidics System for Synthetic Biology</t>
  </si>
  <si>
    <t>Thylakoid Containing Artificial Cells for the Inhibition Investigation of Light-Driven Electron Transfer during Photosynthesis</t>
  </si>
  <si>
    <t>De Novo Synthesis of Basal Bacterial Cell Division Proteins FtsZ, FtsA, and ZipA Inside Giant Vesicles</t>
  </si>
  <si>
    <t>Nontransgenic Marker-Free Gene Disruption by an Episomal CRISPR System in the Oleaginous Microalga, Nannochloropsis oceanica CCMP1779</t>
  </si>
  <si>
    <t>Engineering a Dual Small Molecule Gated ZAP70 Switch in T Cells</t>
  </si>
  <si>
    <t>Rational Design of Mini-Cas9 for Transcriptional Activation</t>
  </si>
  <si>
    <t>Cell-Free Optogenetic Gene Expression System</t>
  </si>
  <si>
    <t>An Orthogonal and pH-Tunable Sensor-Selector for Muconic Acid Biosynthesis in Yeast</t>
  </si>
  <si>
    <t>Concurrent In Vitro Synthesis and Functional Detection of Nascent Activity of the KcsA Channel under a Membrane Potential</t>
  </si>
  <si>
    <t>Establishment of Novel Biosynthetic Pathways for the Production of Salicyl Alcohol and Gentisyl Alcohol in Engineered Escherichia coli</t>
  </si>
  <si>
    <t>MIDAS: A Modular DNA Assembly System for Synthetic Biology</t>
  </si>
  <si>
    <t>Quantitative Investigation of the Role of Intra-/Intercellular Dynamics in Bacterial Quorum Sensing</t>
  </si>
  <si>
    <t>Orthogonal Regulatory Circuits for Escherichia coli Based on the γ-Butyrolactone System of Streptomyces coelicolor</t>
  </si>
  <si>
    <t>A Rhamnose-Inducible System for Precise and Temporal Control of Gene Expression in Cyanobacteria</t>
  </si>
  <si>
    <t>Programmed Protein Self-Assembly Driven by Genetically Encoded Intein-Mediated Native Chemical Ligation</t>
  </si>
  <si>
    <t>T7 Polymerase Expression of Guide RNAs in vivo Allows Exportable CRISPR-Cas9 Editing in Multiple Yeast Hosts</t>
  </si>
  <si>
    <t>High-Level dCas9 Expression Induces Abnormal Cell Morphology in Escherichia coli</t>
  </si>
  <si>
    <t>Plug-and-Play Multicellular Circuits with Time-Dependent Dynamic Responses</t>
  </si>
  <si>
    <t>Engineered Production of Short-Chain Acyl-Coenzyme A Esters in Saccharomyces cerevisiae</t>
  </si>
  <si>
    <t>Generation of a Synthetic Human Chromosome with Two Centromeric Domains for Advanced Epigenetic Engineering Studies</t>
  </si>
  <si>
    <t>Development of a Plasmid-Free Biosynthetic Pathway for Enhanced Muconic Acid Production in Pseudomonas chlororaphis HT66</t>
  </si>
  <si>
    <t>An In Vitro and In Vivo Study of Broad-Range Phosphopantetheinyl Transferases for Heterologous Expression of Cyanobacterial Natural Products</t>
  </si>
  <si>
    <t>Modulating Antibody Structure and Function through Directed Mutations and Chemical Rescue</t>
  </si>
  <si>
    <t>Cameo: A Python Library for Computer Aided Metabolic Engineering and Optimization of Cell Factories</t>
  </si>
  <si>
    <t>Remote Control of Mammalian Cells with Heat-Triggered Gene Switches and Photothermal Pulse Trains</t>
  </si>
  <si>
    <t>CADS: CRISPR/Cas12a-Assisted DNA Steganography for Securing the Storage and Transfer of DNA-Encoded Information</t>
  </si>
  <si>
    <t>Matching Protein Interfaces for Improved Medium-Chain Fatty Acid Production</t>
  </si>
  <si>
    <t>Engineering the Ultrasensitive Transcription Factors by Fusing a Modular Oligomerization Domain</t>
  </si>
  <si>
    <t>Bioprinting Living Biofilms through Optogenetic Manipulation</t>
  </si>
  <si>
    <t>A Dynamic Model of Resource Allocation in Response to the Presence of a Synthetic Construct</t>
  </si>
  <si>
    <t>Rapid and Robust Yeast-Mediated Pathway Refactoring Generates Multiple New Bottromycin-Related Metabolites</t>
  </si>
  <si>
    <t>Mathematical Modeling of RNA-Based Architectures for Closed Loop Control of Gene Expression</t>
  </si>
  <si>
    <t>Reprogramming Probiotic Lactobacillus reuteri as a Biosensor for Staphylococcus aureus Derived AIP-I Detection</t>
  </si>
  <si>
    <t>Exploring the Promiscuity of Phenol Hydroxylase from Pseudomonas stutzeri OX1 for the Biosynthesis of Phenolic Compounds</t>
  </si>
  <si>
    <t>Manufacturing Multienzymatic Complex Reactors In Vivo by Self-Assembly To Improve the Biosynthesis of Itaconic Acid in Escherichia coli</t>
  </si>
  <si>
    <t>Macromolecular Crowding Induces Spatial Correlations That Control Gene Expression Bursting Patterns</t>
  </si>
  <si>
    <t>Enhanced Biosynthesis Performance of Heterologous Proteins in CHO-K1 Cells Using CRISPR-Cas9</t>
  </si>
  <si>
    <t>Quantitative Characterization of Translational Riboregulators Using an in Vitro Transcription–Translation System</t>
  </si>
  <si>
    <t>Genetic Engineering of Bee Gut Microbiome Bacteria with a Toolkit for Modular Assembly of Broad-Host-Range Plasmids</t>
  </si>
  <si>
    <t>Engineering Extracellular Expression Systems in Escherichia coli Based on Transcriptome Analysis and Cell Growth State</t>
  </si>
  <si>
    <t>Modularization and Response Curve Engineering of a Naringenin-Responsive Transcriptional Biosensor</t>
  </si>
  <si>
    <t>Directed Evolution of Heterologous tRNAs Leads to Reduced Dependence on Post-transcriptional Modifications</t>
  </si>
  <si>
    <t>Printing of Patterned, Engineered E. coli Biofilms with a Low-Cost 3D Printer</t>
  </si>
  <si>
    <t>High GC Content Cas9-Mediated Genome-Editing and Biosynthetic Gene Cluster Activation in Saccharopolyspora erythraea</t>
  </si>
  <si>
    <t>A Green-Light-Responsive System for the Control of Transgene Expression in Mammalian and Plant Cells</t>
  </si>
  <si>
    <t>Engineered Reciprocal Chromosome Translocations Drive High Threshold, Reversible Population Replacement in Drosophila</t>
  </si>
  <si>
    <t>Overproduction of Fatty Acid Ethyl Esters by the Oleaginous Yeast Yarrowia lipolytica through Metabolic Engineering and Process Optimization</t>
  </si>
  <si>
    <t>Self-Assembling Supramolecular Nanostructures Constructed from de Novo Extender Protein Nanobuilding Blocks</t>
  </si>
  <si>
    <t>Synthetic Gene Network with Positive Feedback Loop Amplifies Cellulase Gene Expression in Neurospora crassa</t>
  </si>
  <si>
    <t>An Automated Design Framework for Multicellular Recombinase Logic</t>
  </si>
  <si>
    <t>Artificial Mating-Type Conversion and Repetitive Mating for Polyploid Generation</t>
  </si>
  <si>
    <t>Integrating T7 RNA Polymerase and Its Cognate Transcriptional Units for a Host-Independent and Stable Expression System in Single Plasmid</t>
  </si>
  <si>
    <t>A Transcription Factor-Based Biosensor for Detection of Itaconic Acid</t>
  </si>
  <si>
    <t>Reconstitution of an Ultradian Oscillator in Mammalian Cells by a Synthetic Biology Approach</t>
  </si>
  <si>
    <t>Enzyme-Regulated DNA-Based Logic Device</t>
  </si>
  <si>
    <t>Rerouting of Metabolism into Desired Cellular Products by Nutrient Stress: Fluxes Reveal the Selected Pathways in Cyanobacterial Photosynthesis</t>
  </si>
  <si>
    <t>Single Day Construction of Multigene Circuits with 3G Assembly</t>
  </si>
  <si>
    <t>Homogeneous Time Constants Promote Oscillations in Negative Feedback Loops</t>
  </si>
  <si>
    <t>Optogenetic Inhibition of Gαq Protein Signaling Reduces Calcium Oscillation Stochasticity</t>
  </si>
  <si>
    <t>Drug-Inducible Control of Lethality Genes: A Low Background Destabilizing Domain Architecture Applied to the Gal4-UAS System in Drosophila</t>
  </si>
  <si>
    <t>Engineering a Functional Small RNA Negative Autoregulation Network with Model-Guided Design</t>
  </si>
  <si>
    <t>An Engineered Device for Indoleacetic Acid Production under Quorum Sensing Signals Enables Cupriavidus pinatubonensis JMP134 To Stimulate Plant Growth</t>
  </si>
  <si>
    <t>Probing Intercell Variability Using Bulk Measurements</t>
  </si>
  <si>
    <t>Tuning Gene Activity by Inducible and Targeted Regulation of Gene Expression in Minimal Bacterial Cells</t>
  </si>
  <si>
    <t>A Framework for Engineering Stress Resilient Plants Using Genetic Feedback Control and Regulatory Network Rewiring</t>
  </si>
  <si>
    <t>Metabolic Recruitment and Directed Evolution of Nucleoside Triphosphate Uptake in Escherichia coli</t>
  </si>
  <si>
    <t>Synthetic Toolkit for Complex Genetic Circuit Engineering in Saccharomyces cerevisiae</t>
  </si>
  <si>
    <t>Multiplexed CRISPR-Cpf1-Mediated Genome Editing in Clostridium difficile toward the Understanding of Pathogenesis of C. difficile Infection</t>
  </si>
  <si>
    <t>Ribulose Monophosphate Shunt Provides Nearly All Biomass and Energy Required for Growth of E. coli</t>
  </si>
  <si>
    <t>Controlling the Replication of a Genomically Recoded HIV-1 with a Functional Quadruplet Codon in Mammalian Cells</t>
  </si>
  <si>
    <t>Genetic Code Expansion in Rhodobacter sphaeroides to Incorporate Noncanonical Amino Acids into Photosynthetic Reaction Centers</t>
  </si>
  <si>
    <t>Protein-Scaffold Directed Nanoscale Assembly of T Cell Ligands: Artificial Antigen Presentation with Defined Valency, Density, and Ratio</t>
  </si>
  <si>
    <t>Tracking of Engineered Bacteria In Vivo Using Nonstandard Amino Acid Incorporation</t>
  </si>
  <si>
    <t>Straightforward Delivery of Linearized Double-Stranded DNA Encoding sgRNA and Donor DNA for the Generation of Single Nucleotide Variants Based on the CRISPR/Cas9 System</t>
  </si>
  <si>
    <t>Rationalizing Context-Dependent Performance of Dynamic RNA Regulatory Devices</t>
  </si>
  <si>
    <t>Targeted Repression of Essential Genes To Arrest Growth and Increase Carbon Partitioning and Biofuel Titers in Cyanobacteria</t>
  </si>
  <si>
    <t>Design of Experiments Methodology to Build a Multifactorial Statistical Model Describing the Metabolic Interactions of Alcohol Dehydrogenase Isozymes in the Ethanol Biosynthetic Pathway of the Yeast Saccharomyces cerevisiae</t>
  </si>
  <si>
    <t>Optical Activation of TrkA Signaling</t>
  </si>
  <si>
    <t>Development of Cell-Based Sentinels for Nitric Oxide: Ensuring Marker Expression and Unimodality</t>
  </si>
  <si>
    <t>Direct Pathway Cloning Combined with Sequence- and Ligation-Independent Cloning for Fast Biosynthetic Gene Cluster Refactoring and Heterologous Expression</t>
  </si>
  <si>
    <t>Designing Motif-Engineered Receptors To Elucidate Signaling Molecules Important for Proliferation of Hematopoietic Stem Cells</t>
  </si>
  <si>
    <t>Development of a High-Throughput, In Vivo Selection Platform for NADPH-Dependent Reactions Based on Redox Balance Principles</t>
  </si>
  <si>
    <t>Mutually Orthogonal DNA Replication Systems In Vivo</t>
  </si>
  <si>
    <t>“Site and Mutation”-Specific Predictions Enable Minimal Directed Evolution Libraries</t>
  </si>
  <si>
    <t>Modulation of Intracellular O2 Concentration in Escherichia coli Strains Using Oxygen Consuming Devices</t>
  </si>
  <si>
    <t>Developing a Synthetic Biology Toolkit for Comamonas testosteroni, an Emerging Cellular Chassis for Bioremediation</t>
  </si>
  <si>
    <t>Tuning Vector Stability and Integration Frequency Elevates Functional GPCR Production and Homogeneity in Saccharomyces cerevisiae</t>
  </si>
  <si>
    <t>Exploring the Nonconserved Sequence Space of Synthetic Expression Modules in Bacillus subtilis</t>
  </si>
  <si>
    <t>Construction, Model-Based Analysis, and Characterization of a Promoter Library for Fine-Tuned Gene Expression in Bacillus subtilis</t>
  </si>
  <si>
    <t>Synthesizing a Genetic Sensor Based on CRISPR-Cas9 for Specifically Killing p53-Deficient Cancer Cells</t>
  </si>
  <si>
    <t>De Novo-Designed α-Helical Barrels as Receptors for Small Molecules</t>
  </si>
  <si>
    <t>Reversible Social Self-Sorting of Colloidal Cell-Mimics with Blue Light Switchable Proteins</t>
  </si>
  <si>
    <t>OptoBase: A Web Platform for Molecular Optogenetics</t>
  </si>
  <si>
    <t>Electric-Field Manipulation of a Compartmentalized Cell-Free Gene Expression Reaction</t>
  </si>
  <si>
    <t>Predicting Transcriptional Output of Synthetic Multi-input Promoters</t>
  </si>
  <si>
    <t>Sequence Specific Modeling of E. coli Cell-Free Protein Synthesis</t>
  </si>
  <si>
    <t>Discovery and Evaluation of Biosynthetic Pathways for the Production of Five Methyl Ethyl Ketone Precursors</t>
  </si>
  <si>
    <t>Fine-Tuned Protein Production in Methanosarcina acetivorans C2A</t>
  </si>
  <si>
    <t>Synthetic Pathway for the Production of Olivetolic Acid in Escherichia coli</t>
  </si>
  <si>
    <t>Promoter Engineering for Enhanced P(3HB-co-4HB) Production by Halomonas bluephagenesis</t>
  </si>
  <si>
    <t>An Artificial Yeast Genetic Circuit Enables Deep Mutational Scanning of an Antimicrobial Resistance Protein</t>
  </si>
  <si>
    <t>An Engineered Constitutive Promoter Set with Broad Activity Range for Cupriavidus necator H16</t>
  </si>
  <si>
    <t>Fluorescent Guide RNAs Facilitate Development of Layered Pol II-Driven CRISPR Circuits</t>
  </si>
  <si>
    <t>In Vitro Transcription Networks Based on Hairpin Promoter Switches</t>
  </si>
  <si>
    <t>Library of Synthetic Streptomyces Regulatory Sequences for Use in Promoter Engineering of Natural Product Biosynthetic Gene Clusters</t>
  </si>
  <si>
    <t>Tight Translational Control Using Site-Specific Unnatural Amino Acid Incorporation with Positive Feedback Gene Circuits</t>
  </si>
  <si>
    <t>Robustness of a Reconstituted Escherichia coli Protein Translation System Analyzed by Computational Modeling</t>
  </si>
  <si>
    <t>Human Artificial Chromosome with Regulated Centromere: A Tool for Genome and Cancer Studies</t>
  </si>
  <si>
    <t>A Biosensor Strategy for E. coli Based on Ligand-Dependent Stabilization</t>
  </si>
  <si>
    <t>Engineering Riboswitches in Vivo Using Dual Genetic Selection and Fluorescence-Activated Cell Sorting</t>
  </si>
  <si>
    <t>A Synthetic Microbial Operational Amplifier</t>
  </si>
  <si>
    <t>Machine-Learning-Guided Mutagenesis for Directed Evolution of Fluorescent Proteins</t>
  </si>
  <si>
    <t>In Vivo Assimilation of One-Carbon via a Synthetic Reductive Glycine Pathway in Escherichia coli</t>
  </si>
  <si>
    <t>Implementation of a Reductive Route of One-Carbon Assimilation in Escherichia coli through Directed Evolution</t>
  </si>
  <si>
    <t>Mitochondrial H2O2 Generation Using a Tunable Chemogenetic Tool To Perturb Redox Homeostasis in Human Cells and Induce Cell Death</t>
  </si>
  <si>
    <t>A Single-Component Optogenetic System Allows Stringent Switch of Gene Expression in Yeast Cells</t>
  </si>
  <si>
    <t>Optimization of Artificial Curcumin Biosynthesis in E. coli by Randomized 5′-UTR Sequences To Control the Multienzyme Pathway</t>
  </si>
  <si>
    <t>Design of Large-Scale Reporter Construct Arrays for Dynamic, Live Cell Systems Biology</t>
  </si>
  <si>
    <t>Birth of a Photosynthetic Chassis: A MoClo Toolkit Enabling Synthetic Biology in the Microalga Chlamydomonas reinhardtii</t>
  </si>
  <si>
    <t>Modulation of the Aggregation of the Prion-like Protein RepA-WH1 by Chaperones in a Cell-Free Expression System and in Cytomimetic Lipid Vesicles</t>
  </si>
  <si>
    <t>Combinatory Biosynthesis of Prenylated 4-Hydroxybenzoate Derivatives by Overexpression of the Substrate-Promiscuous Prenyltransferase XimB in Engineered E. coli</t>
  </si>
  <si>
    <t>Identification of Novel Cryptic Multifunctional Antimicrobial Peptides from the Human Stomach Enabled by a Computational–Experimental Platform</t>
  </si>
  <si>
    <t>Live Follow-Up of Enzymatic Reactions Inside the Cavities of Synthetic Giant Unilamellar Vesicles Equipped with Membrane Proteins Mimicking Cell Architecture</t>
  </si>
  <si>
    <t>A Split Transcriptional Repressor That Links Protein Solubility to an Orthogonal Genetic Circuit</t>
  </si>
  <si>
    <t>Synergistic Rewiring of Carbon Metabolism and Redox Metabolism in Cytoplasm and Mitochondria of Aspergillus oryzae for Increased l-Malate Production</t>
  </si>
  <si>
    <t>Minimizing Clonal Variation during Mammalian Cell Line Engineering for Improved Systems Biology Data Generation</t>
  </si>
  <si>
    <t>Tamoxifen- and Mifepristone-Inducible Versions of CRISPR Effectors, Cas9 and Cpf1</t>
  </si>
  <si>
    <t>Engineering an Automaturing Transglutaminase with Enhanced Thermostability by Genetic Code Expansion with Two Codon Reassignments</t>
  </si>
  <si>
    <t>Modulating Heterologous Gene Expression with Portable mRNA-Stabilizing 5′-UTR Sequences</t>
  </si>
  <si>
    <t>Synthetic Phosphorus Metabolic Pathway for Biosafety and Contamination Management of Cyanobacterial Cultivation</t>
  </si>
  <si>
    <t>Novel Hybrid Input Part Using Riboswitch and Transcriptional Repressor for Signal Inverting Amplifier</t>
  </si>
  <si>
    <t>Highly Active C8-Acyl-ACP Thioesterase Variant Isolated by a Synthetic Selection Strategy</t>
  </si>
  <si>
    <t>Protease-Activatable Scaffold Proteins as Versatile Molecular Hubs in Synthetic Signaling Networks</t>
  </si>
  <si>
    <t>An Interface-Driven Design Strategy Yields a Novel, Corrugated Protein Architecture</t>
  </si>
  <si>
    <t>Rapid and Error-Free Site-Directed Mutagenesis by a PCR-Free In Vitro CRISPR/Cas9-Mediated Mutagenic System</t>
  </si>
  <si>
    <t>Establishing a High-Yielding Cell-Free Protein Synthesis Platform Derived from Vibrio natriegens</t>
  </si>
  <si>
    <t>A Robust and Quantitative Reporter System To Evaluate Noncanonical Amino Acid Incorporation in Yeast</t>
  </si>
  <si>
    <t>Quorum Sensing Can Be Repurposed To Promote Information Transfer between Bacteria in the Mammalian Gut</t>
  </si>
  <si>
    <t>A Synthetic Reaction Cascade Implemented by Colocalization of Two Proteins within Catalytically Active Inclusion Bodies</t>
  </si>
  <si>
    <t>Metabolic Engineering of Escherichia coli for Efficient Production of 2-Pyrone-4,6-dicarboxylic Acid from Glucose</t>
  </si>
  <si>
    <t>Enhanced Isoprene Production by Reconstruction of Metabolic Balance between Strengthened Precursor Supply and Improved Isoprene Synthase in Saccharomyces cerevisiae</t>
  </si>
  <si>
    <t>Large Scale Synthetic Site Saturation GPCR Libraries Reveal Novel Mutations That Alter Glucose Signaling</t>
  </si>
  <si>
    <t>Boolean Computation in Plants Using Post-translational Genetic Control and a Visual Output Signal</t>
  </si>
  <si>
    <t>A Genetically Encoded Protein Polymer for Uranyl Binding and Extraction Based on the SpyTag–SpyCatcher Chemistry</t>
  </si>
  <si>
    <t>Pathway Grafting for Polyunsaturated Fatty Acids Production in Ashbya gossypii through Golden Gate Rapid Assembly</t>
  </si>
  <si>
    <t>Reconstitution of Mammalian Enzymatic Deacylation Reactions in Live Bacteria Using Native Acylated Substrates</t>
  </si>
  <si>
    <t>Discovering Selective Binders for Photoswitchable Proteins Using Phage Display</t>
  </si>
  <si>
    <t>Creation and Characterization of a Genomically Hybrid Strain in the Nitrogen-Fixing Symbiotic Bacterium Sinorhizobium meliloti</t>
  </si>
  <si>
    <t>A Genetically Encoded Biosensor for Monitoring Isoprene Production in Engineered Escherichia coli</t>
  </si>
  <si>
    <t>Productive Amyrin Synthases for Efficient α-Amyrin Synthesis in Engineered Saccharomyces cerevisiae</t>
  </si>
  <si>
    <t>Artificial Repeat-Structured siRNA Precursors as Tunable Regulators for Saccharomyces cerevisiae</t>
  </si>
  <si>
    <t>Engineering Bacillus megaterium Strains To Secrete Cellulases for Synergistic Cellulose Degradation in a Microbial Community</t>
  </si>
  <si>
    <t>Engineering a Glucosamine-6-phosphate Responsive glmS Ribozyme Switch Enables Dynamic Control of Metabolic Flux in Bacillus subtilis for Overproduction of N-Acetylglucosamine</t>
  </si>
  <si>
    <t>Enhancing Light-Driven 1,3-Propanediol Production by Using Natural Compartmentalization of Differentiated Cells</t>
  </si>
  <si>
    <t>Assembly of Multicomponent Protein Filaments Using Engineered Subunit Interfaces</t>
  </si>
  <si>
    <t>Engineered Biosensors from Dimeric Ligand-Binding Domains</t>
  </si>
  <si>
    <t>Control of Lineage-Specific Gene Expression by Functionalized gRNA Barcodes</t>
  </si>
  <si>
    <t>Establishing a Cell-Free Vibrio natriegens Expression System</t>
  </si>
  <si>
    <t>Engineering Translational Resource Allocation Controllers: Mechanistic Models, Design Guidelines, and Potential Biological Implementations</t>
  </si>
  <si>
    <t>Rational Control of Calcium Carbonate Precipitation by Engineered Escherichia coli</t>
  </si>
  <si>
    <t>Transcription Driven by Reversible Photocontrol of Hyperstable G-Quadruplexes</t>
  </si>
  <si>
    <t>Pore Engineering for Enhanced Mass Transport in Encapsulin Nanocompartments</t>
  </si>
  <si>
    <t>Self-Adjusting Cytokine Neutralizer Cells as a Closed-Loop Delivery System of Anti-Inflammatory Biologicals</t>
  </si>
  <si>
    <t>Biosynthesis of a Functional Human Milk Oligosaccharide, 2′-Fucosyllactose, and l-Fucose Using Engineered Saccharomyces cerevisiae</t>
  </si>
  <si>
    <t>A Highly Bioactive Lys-Deficient IFN Leads to a Site-Specific Di-PEGylated IFN with Equivalent Bioactivity to That of Unmodified IFN-α2b</t>
  </si>
  <si>
    <t>Engineered Fusion Proteins for Efficient Protein Secretion and Purification of a Human Growth Factor from the Green Microalga Chlamydomonas reinhardtii</t>
  </si>
  <si>
    <t>Regulation of Gene Expression and Signaling Pathway Activity in Mammalian Cells by Automated Microfluidics Feedback Control</t>
  </si>
  <si>
    <t>Parallel Integration and Chromosomal Expansion of Metabolic Pathways</t>
  </si>
  <si>
    <t>Systematic Analysis of Bottlenecks in a Multibranched and Multilevel Regulated Pathway: The Molecular Fundamentals of l-Methionine Biosynthesis in Escherichia coli</t>
  </si>
  <si>
    <t>Functional Analyses of Cassette Chromosome Recombinase C2 (CcrC2) and Its Use in Eliminating Methicillin Resistance by Combining CRISPR–Cas9</t>
  </si>
  <si>
    <t>Retroelement-Based Genome Editing and Evolution</t>
  </si>
  <si>
    <t>Co-opting the Lap System of Pseudomonas fluorescens To Reversibly Customize Bacterial Cell Surfaces</t>
  </si>
  <si>
    <t>A System for Gene Expression Noise Control in Yeast</t>
  </si>
  <si>
    <t>Programming the Dynamic Control of Bacterial Gene Expression with a Chimeric Ligand- and Light-Based Promoter System</t>
  </si>
  <si>
    <t>A Yeast-Based Biosensor for Screening of Short- and Medium-Chain Fatty Acid Production</t>
  </si>
  <si>
    <t>Highly Multiplexed CRISPRi Repression of Respiratory Functions Enhances Mitochondrial Localized Ethyl Acetate Biosynthesis in Kluyveromyces marxianus</t>
  </si>
  <si>
    <t>Enhancing the Translational Capacity of E. coli by Resolving the Codon Bias</t>
  </si>
  <si>
    <t>Comprehensive Profiling of Four Base Overhang Ligation Fidelity by T4 DNA Ligase and Application to DNA Assembly</t>
  </si>
  <si>
    <t>A Highly Characterized Synthetic Landing Pad System for Precise Multicopy Gene Integration in Yeast</t>
  </si>
  <si>
    <t>A Post-translational Metabolic Switch Enables Complete Decoupling of Bacterial Growth from Biopolymer Production in Engineered Escherichia coli</t>
  </si>
  <si>
    <t>Muconic Acid Production Using Gene-Level Fusion Proteins in Escherichia coli</t>
  </si>
  <si>
    <t>CRISPR-Cas9 Facilitated Multiple-Chromosome Fusion in Saccharomyces cerevisiae</t>
  </si>
  <si>
    <t>Engineering the 5′ UTR-Mediated Regulation of Protein Abundance in Yeast Using Nucleotide Sequence Activity Relationships</t>
  </si>
  <si>
    <t>Delivery of an Artificial Transcription Regulator dCas9-VPR by Extracellular Vesicles for Therapeutic Gene Activation</t>
  </si>
  <si>
    <t>Extracellular Electron Transfer by Shewanella oneidensis Controls Palladium Nanoparticle Phenotype</t>
  </si>
  <si>
    <t>Nucleic Acid Strand Displacement with Synthetic mRNA Inputs in Living Mammalian Cells</t>
  </si>
  <si>
    <t>NADPH-Auxotrophic E. coli: A Sensor Strain for Testing in Vivo Regeneration of NADPH</t>
  </si>
  <si>
    <t>An Unnatural Pathway for Efficient 5-Aminolevulinic Acid Biosynthesis with Glycine from Glyoxylate Based on Retrobiosynthetic Design</t>
  </si>
  <si>
    <t>Engineering a Coenzyme A Detour To Expand the Product Scope and Enhance the Selectivity of the Ehrlich Pathway</t>
  </si>
  <si>
    <t>An in Vivo Binding Assay for RNA-Binding Proteins Based on Repression of a Reporter Gene</t>
  </si>
  <si>
    <t>Selective Enrichment of Slow-Growing Bacteria in a Metabolism-Wide CRISPRi Library with a TIMER Protein</t>
  </si>
  <si>
    <t>Biosynthesis of Novel Statins by Combining Heterologous Genes from Xylaria and Aspergillus</t>
  </si>
  <si>
    <t>Cell-Based Biosensor with Dual Signal Outputs for Simultaneous Quantification of Phenylacetic Acid and Phenylethylamine</t>
  </si>
  <si>
    <t>Signal Transduction in Human Cell Lysate via Dynamic RNA Nanotechnology</t>
  </si>
  <si>
    <t>Metabolic Engineering of Escherichia coli for High Yield Production of Succinic Acid Driven by Methanol</t>
  </si>
  <si>
    <t>A Genetic Circuit Compiler: Generating Combinatorial Genetic Circuits with Web Semantics and Inference</t>
  </si>
  <si>
    <t>Genomic Deoxyxylulose Phosphate Reductoisomerase (DXR) Mutations Conferring Resistance to the Antimalarial Drug Fosmidomycin in E. coli</t>
  </si>
  <si>
    <t>Engineering Mannitol Biosynthesis in Escherichia coli and Synechococcus sp. PCC 7002 Using a Green Algal Fusion Protein</t>
  </si>
  <si>
    <t>High-Throughput Optimization Cycle of a Cell-Free Ribosome Assembly and Protein Synthesis System</t>
  </si>
  <si>
    <t>An Optimized Bistable Metabolic Switch To Decouple Phenotypic States during Anaerobic Fermentation</t>
  </si>
  <si>
    <t>Revealing Key Determinants of Clonal Variation in Transgene Expression in Recombinant CHO Cells Using Targeted Genome Editing</t>
  </si>
  <si>
    <t>Sigma Factor-Mediated Tuning of Bacterial Cell-Free Synthetic Genetic Oscillators</t>
  </si>
  <si>
    <t>Structure-Based Design of Versatile Biosensors for Small Molecules Based on the PAS Domain of a Thermophilic Histidine Kinase</t>
  </si>
  <si>
    <t>Engineering Improved Photoswitches for the Control of Nucleocytoplasmic Distribution</t>
  </si>
  <si>
    <t>Phosphate Lock Residues of Acidothermus cellulolyticus Cas9 Are Critical to Its Substrate Specificity</t>
  </si>
  <si>
    <t>A Combinatorial Approach To Study Cytochrome P450 Enzymes for De Novo Production of Steviol Glucosides in Baker’s Yeast</t>
  </si>
  <si>
    <t>Tunable Expression Systems for Orthogonal DNA 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</si>
</sst>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9"/>
      <color rgb="FF000000"/>
      <name val="&quot;Google Sans Mono&quot;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0" fontId="3" fillId="2" borderId="0" xfId="0" applyFont="1" applyFill="1"/>
    <xf numFmtId="165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"/>
  <sheetViews>
    <sheetView tabSelected="1" topLeftCell="A2" workbookViewId="0">
      <selection activeCell="B17" sqref="B17"/>
    </sheetView>
  </sheetViews>
  <sheetFormatPr baseColWidth="10" defaultColWidth="12.6640625" defaultRowHeight="15.75" customHeight="1"/>
  <cols>
    <col min="2" max="2" width="8.83203125" customWidth="1"/>
    <col min="3" max="3" width="15" customWidth="1"/>
    <col min="4" max="4" width="12.6640625" customWidth="1"/>
    <col min="5" max="5" width="13" customWidth="1"/>
    <col min="6" max="6" width="14.6640625" customWidth="1"/>
    <col min="7" max="7" width="17.6640625" customWidth="1"/>
    <col min="8" max="8" width="17.1640625" customWidth="1"/>
    <col min="9" max="9" width="15.33203125" customWidth="1"/>
    <col min="10" max="10" width="14.83203125" customWidth="1"/>
    <col min="11" max="11" width="8.83203125" customWidth="1"/>
    <col min="12" max="12" width="5.6640625" customWidth="1"/>
    <col min="13" max="13" width="15.83203125" customWidth="1"/>
    <col min="14" max="14" width="15.6640625" customWidth="1"/>
    <col min="15" max="15" width="18.83203125" customWidth="1"/>
    <col min="16" max="16" width="15.83203125" customWidth="1"/>
    <col min="17" max="17" width="12.6640625" customWidth="1"/>
    <col min="18" max="18" width="13.1640625" customWidth="1"/>
    <col min="19" max="19" width="10.33203125" customWidth="1"/>
    <col min="20" max="20" width="10.6640625" customWidth="1"/>
    <col min="21" max="21" width="14.6640625" customWidth="1"/>
    <col min="22" max="22" width="9" customWidth="1"/>
  </cols>
  <sheetData>
    <row r="1" spans="1:22" ht="15.75" customHeight="1">
      <c r="A1" s="1" t="s">
        <v>0</v>
      </c>
      <c r="B1" s="9" t="s">
        <v>1</v>
      </c>
      <c r="C1" s="10"/>
      <c r="D1" s="10"/>
      <c r="E1" s="10"/>
      <c r="F1" s="9" t="s">
        <v>2</v>
      </c>
      <c r="G1" s="10"/>
      <c r="H1" s="10"/>
      <c r="I1" s="10"/>
      <c r="J1" s="10"/>
      <c r="K1" s="10"/>
      <c r="M1" s="9" t="s">
        <v>3</v>
      </c>
      <c r="N1" s="10"/>
      <c r="O1" s="10"/>
      <c r="P1" s="9" t="s">
        <v>4</v>
      </c>
      <c r="Q1" s="10"/>
    </row>
    <row r="2" spans="1:2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6</v>
      </c>
      <c r="M2" s="1" t="s">
        <v>7</v>
      </c>
      <c r="N2" s="1" t="s">
        <v>10</v>
      </c>
      <c r="O2" s="1" t="s">
        <v>11</v>
      </c>
      <c r="P2" s="1" t="s">
        <v>10</v>
      </c>
      <c r="Q2" s="1" t="s">
        <v>11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</row>
    <row r="3" spans="1:22" ht="15.75" customHeight="1">
      <c r="A3" s="1" t="s">
        <v>19</v>
      </c>
      <c r="B3" s="1">
        <f>January!C34</f>
        <v>156</v>
      </c>
      <c r="C3" s="1">
        <f>January!D34</f>
        <v>54</v>
      </c>
      <c r="D3" s="1">
        <f>January!E34</f>
        <v>21</v>
      </c>
      <c r="E3" s="1">
        <f>January!F34</f>
        <v>12</v>
      </c>
      <c r="F3" s="1">
        <f>January!G34</f>
        <v>23</v>
      </c>
      <c r="G3" s="1">
        <f>January!H34</f>
        <v>10</v>
      </c>
      <c r="H3" s="1">
        <f>January!I34</f>
        <v>9</v>
      </c>
      <c r="I3" s="1">
        <f>January!J34</f>
        <v>7</v>
      </c>
      <c r="J3" s="1">
        <f>January!K34</f>
        <v>5</v>
      </c>
      <c r="K3" s="1">
        <f>January!L34</f>
        <v>31</v>
      </c>
      <c r="M3" s="2">
        <f t="shared" ref="M3:O3" si="0">F3/$K3</f>
        <v>0.74193548387096775</v>
      </c>
      <c r="N3" s="2">
        <f t="shared" si="0"/>
        <v>0.32258064516129031</v>
      </c>
      <c r="O3" s="2">
        <f t="shared" si="0"/>
        <v>0.29032258064516131</v>
      </c>
      <c r="P3" s="2">
        <f t="shared" ref="P3:Q3" si="1">G3/$F3</f>
        <v>0.43478260869565216</v>
      </c>
      <c r="Q3" s="2">
        <f t="shared" si="1"/>
        <v>0.39130434782608697</v>
      </c>
      <c r="R3" s="2">
        <f t="shared" ref="R3:R15" si="2">I3/F3</f>
        <v>0.30434782608695654</v>
      </c>
      <c r="S3" s="2">
        <f t="shared" ref="S3:S15" si="3">J3/F3</f>
        <v>0.21739130434782608</v>
      </c>
      <c r="T3" s="3">
        <f t="shared" ref="T3:T15" si="4">D3/$B3</f>
        <v>0.13461538461538461</v>
      </c>
      <c r="U3" s="3">
        <f t="shared" ref="U3:U15" si="5">D3/C3</f>
        <v>0.3888888888888889</v>
      </c>
      <c r="V3" s="2">
        <f t="shared" ref="V3:V15" si="6">E3/C3</f>
        <v>0.22222222222222221</v>
      </c>
    </row>
    <row r="4" spans="1:22" ht="15.75" customHeight="1">
      <c r="A4" s="1" t="s">
        <v>20</v>
      </c>
      <c r="B4" s="1">
        <f>February!C50</f>
        <v>246</v>
      </c>
      <c r="C4" s="1">
        <f>February!D50</f>
        <v>65</v>
      </c>
      <c r="D4" s="1">
        <f>February!E50</f>
        <v>48</v>
      </c>
      <c r="E4" s="1">
        <f>February!F50</f>
        <v>21</v>
      </c>
      <c r="F4" s="1">
        <f>February!G50</f>
        <v>26</v>
      </c>
      <c r="G4" s="1">
        <f>February!H50</f>
        <v>22</v>
      </c>
      <c r="H4" s="1">
        <f>February!I50</f>
        <v>20</v>
      </c>
      <c r="I4" s="1">
        <f>February!J50</f>
        <v>15</v>
      </c>
      <c r="J4" s="1">
        <f>February!K50</f>
        <v>8</v>
      </c>
      <c r="K4" s="1">
        <f>February!L50</f>
        <v>47</v>
      </c>
      <c r="M4" s="2">
        <f t="shared" ref="M4:O4" si="7">F4/$K4</f>
        <v>0.55319148936170215</v>
      </c>
      <c r="N4" s="2">
        <f t="shared" si="7"/>
        <v>0.46808510638297873</v>
      </c>
      <c r="O4" s="2">
        <f t="shared" si="7"/>
        <v>0.42553191489361702</v>
      </c>
      <c r="P4" s="2">
        <f t="shared" ref="P4:Q4" si="8">G4/$F4</f>
        <v>0.84615384615384615</v>
      </c>
      <c r="Q4" s="2">
        <f t="shared" si="8"/>
        <v>0.76923076923076927</v>
      </c>
      <c r="R4" s="2">
        <f t="shared" si="2"/>
        <v>0.57692307692307687</v>
      </c>
      <c r="S4" s="2">
        <f t="shared" si="3"/>
        <v>0.30769230769230771</v>
      </c>
      <c r="T4" s="3">
        <f t="shared" si="4"/>
        <v>0.1951219512195122</v>
      </c>
      <c r="U4" s="3">
        <f t="shared" si="5"/>
        <v>0.7384615384615385</v>
      </c>
      <c r="V4" s="2">
        <f t="shared" si="6"/>
        <v>0.32307692307692309</v>
      </c>
    </row>
    <row r="5" spans="1:22" ht="15.75" customHeight="1">
      <c r="A5" s="1" t="s">
        <v>21</v>
      </c>
      <c r="B5" s="1">
        <f>March!C25</f>
        <v>116</v>
      </c>
      <c r="C5" s="1">
        <f>March!D25</f>
        <v>31</v>
      </c>
      <c r="D5" s="1">
        <f>March!E25</f>
        <v>19</v>
      </c>
      <c r="E5" s="1">
        <f>March!F25</f>
        <v>11</v>
      </c>
      <c r="F5" s="1">
        <f>March!G25</f>
        <v>15</v>
      </c>
      <c r="G5" s="1">
        <f>March!H25</f>
        <v>9</v>
      </c>
      <c r="H5" s="1">
        <f>March!I25</f>
        <v>9</v>
      </c>
      <c r="I5" s="1">
        <f>March!J25</f>
        <v>7</v>
      </c>
      <c r="J5" s="1">
        <f>March!K25</f>
        <v>4</v>
      </c>
      <c r="K5" s="1">
        <f>March!L25</f>
        <v>22</v>
      </c>
      <c r="M5" s="2">
        <f t="shared" ref="M5:O5" si="9">F5/$K5</f>
        <v>0.68181818181818177</v>
      </c>
      <c r="N5" s="2">
        <f t="shared" si="9"/>
        <v>0.40909090909090912</v>
      </c>
      <c r="O5" s="2">
        <f t="shared" si="9"/>
        <v>0.40909090909090912</v>
      </c>
      <c r="P5" s="2">
        <f t="shared" ref="P5:Q5" si="10">G5/$F5</f>
        <v>0.6</v>
      </c>
      <c r="Q5" s="2">
        <f t="shared" si="10"/>
        <v>0.6</v>
      </c>
      <c r="R5" s="2">
        <f t="shared" si="2"/>
        <v>0.46666666666666667</v>
      </c>
      <c r="S5" s="2">
        <f t="shared" si="3"/>
        <v>0.26666666666666666</v>
      </c>
      <c r="T5" s="3">
        <f t="shared" si="4"/>
        <v>0.16379310344827586</v>
      </c>
      <c r="U5" s="3">
        <f t="shared" si="5"/>
        <v>0.61290322580645162</v>
      </c>
      <c r="V5" s="2">
        <f t="shared" si="6"/>
        <v>0.35483870967741937</v>
      </c>
    </row>
    <row r="6" spans="1:22" ht="15.75" customHeight="1">
      <c r="A6" s="1" t="s">
        <v>22</v>
      </c>
      <c r="B6" s="1">
        <f>April!C27</f>
        <v>125</v>
      </c>
      <c r="C6" s="1">
        <f>April!D27</f>
        <v>32</v>
      </c>
      <c r="D6" s="1">
        <f>April!E27</f>
        <v>24</v>
      </c>
      <c r="E6" s="1">
        <f>April!F27</f>
        <v>9</v>
      </c>
      <c r="F6" s="1">
        <f>April!G27</f>
        <v>14</v>
      </c>
      <c r="G6" s="1">
        <f>April!H27</f>
        <v>11</v>
      </c>
      <c r="H6" s="1">
        <f>April!I27</f>
        <v>7</v>
      </c>
      <c r="I6" s="1">
        <f>April!J27</f>
        <v>8</v>
      </c>
      <c r="J6" s="1">
        <f>April!K27</f>
        <v>3</v>
      </c>
      <c r="K6" s="1">
        <f>April!L27</f>
        <v>24</v>
      </c>
      <c r="M6" s="2">
        <f t="shared" ref="M6:O6" si="11">F6/$K6</f>
        <v>0.58333333333333337</v>
      </c>
      <c r="N6" s="2">
        <f t="shared" si="11"/>
        <v>0.45833333333333331</v>
      </c>
      <c r="O6" s="2">
        <f t="shared" si="11"/>
        <v>0.29166666666666669</v>
      </c>
      <c r="P6" s="2">
        <f t="shared" ref="P6:Q6" si="12">G6/$F6</f>
        <v>0.7857142857142857</v>
      </c>
      <c r="Q6" s="2">
        <f t="shared" si="12"/>
        <v>0.5</v>
      </c>
      <c r="R6" s="2">
        <f t="shared" si="2"/>
        <v>0.5714285714285714</v>
      </c>
      <c r="S6" s="2">
        <f t="shared" si="3"/>
        <v>0.21428571428571427</v>
      </c>
      <c r="T6" s="3">
        <f t="shared" si="4"/>
        <v>0.192</v>
      </c>
      <c r="U6" s="3">
        <f t="shared" si="5"/>
        <v>0.75</v>
      </c>
      <c r="V6" s="2">
        <f t="shared" si="6"/>
        <v>0.28125</v>
      </c>
    </row>
    <row r="7" spans="1:22" ht="15.75" customHeight="1">
      <c r="A7" s="1" t="s">
        <v>23</v>
      </c>
      <c r="B7" s="1">
        <f>May!C34</f>
        <v>171</v>
      </c>
      <c r="C7" s="1">
        <f>May!D34</f>
        <v>42</v>
      </c>
      <c r="D7" s="1">
        <f>May!E34</f>
        <v>21</v>
      </c>
      <c r="E7" s="1">
        <f>May!F34</f>
        <v>11</v>
      </c>
      <c r="F7" s="1">
        <f>May!G34</f>
        <v>22</v>
      </c>
      <c r="G7" s="1">
        <f>May!H34</f>
        <v>13</v>
      </c>
      <c r="H7" s="1">
        <f>May!I34</f>
        <v>9</v>
      </c>
      <c r="I7" s="1">
        <f>May!J34</f>
        <v>9</v>
      </c>
      <c r="J7" s="1">
        <f>May!K34</f>
        <v>4</v>
      </c>
      <c r="K7" s="1">
        <f>May!L34</f>
        <v>31</v>
      </c>
      <c r="M7" s="2">
        <f t="shared" ref="M7:O7" si="13">F7/$K7</f>
        <v>0.70967741935483875</v>
      </c>
      <c r="N7" s="2">
        <f t="shared" si="13"/>
        <v>0.41935483870967744</v>
      </c>
      <c r="O7" s="2">
        <f t="shared" si="13"/>
        <v>0.29032258064516131</v>
      </c>
      <c r="P7" s="2">
        <f t="shared" ref="P7:Q7" si="14">G7/$F7</f>
        <v>0.59090909090909094</v>
      </c>
      <c r="Q7" s="2">
        <f t="shared" si="14"/>
        <v>0.40909090909090912</v>
      </c>
      <c r="R7" s="2">
        <f t="shared" si="2"/>
        <v>0.40909090909090912</v>
      </c>
      <c r="S7" s="2">
        <f t="shared" si="3"/>
        <v>0.18181818181818182</v>
      </c>
      <c r="T7" s="3">
        <f t="shared" si="4"/>
        <v>0.12280701754385964</v>
      </c>
      <c r="U7" s="3">
        <f t="shared" si="5"/>
        <v>0.5</v>
      </c>
      <c r="V7" s="2">
        <f t="shared" si="6"/>
        <v>0.26190476190476192</v>
      </c>
    </row>
    <row r="8" spans="1:22" ht="15.75" customHeight="1">
      <c r="A8" s="1" t="s">
        <v>24</v>
      </c>
      <c r="B8" s="1">
        <f>June!C19</f>
        <v>88</v>
      </c>
      <c r="C8" s="1">
        <f>June!D19</f>
        <v>17</v>
      </c>
      <c r="D8" s="1">
        <f>June!E19</f>
        <v>8</v>
      </c>
      <c r="E8" s="1">
        <f>June!F19</f>
        <v>3</v>
      </c>
      <c r="F8" s="1">
        <f>June!G19</f>
        <v>9</v>
      </c>
      <c r="G8" s="1">
        <f>June!H19</f>
        <v>6</v>
      </c>
      <c r="H8" s="1">
        <f>June!I19</f>
        <v>4</v>
      </c>
      <c r="I8" s="1">
        <f>June!J19</f>
        <v>3</v>
      </c>
      <c r="J8" s="1">
        <f>June!K19</f>
        <v>2</v>
      </c>
      <c r="K8" s="1">
        <f>June!L19</f>
        <v>16</v>
      </c>
      <c r="M8" s="2">
        <f t="shared" ref="M8:O8" si="15">F8/$K8</f>
        <v>0.5625</v>
      </c>
      <c r="N8" s="2">
        <f t="shared" si="15"/>
        <v>0.375</v>
      </c>
      <c r="O8" s="2">
        <f t="shared" si="15"/>
        <v>0.25</v>
      </c>
      <c r="P8" s="2">
        <f t="shared" ref="P8:Q8" si="16">G8/$F8</f>
        <v>0.66666666666666663</v>
      </c>
      <c r="Q8" s="2">
        <f t="shared" si="16"/>
        <v>0.44444444444444442</v>
      </c>
      <c r="R8" s="2">
        <f t="shared" si="2"/>
        <v>0.33333333333333331</v>
      </c>
      <c r="S8" s="2">
        <f t="shared" si="3"/>
        <v>0.22222222222222221</v>
      </c>
      <c r="T8" s="3">
        <f t="shared" si="4"/>
        <v>9.0909090909090912E-2</v>
      </c>
      <c r="U8" s="3">
        <f t="shared" si="5"/>
        <v>0.47058823529411764</v>
      </c>
      <c r="V8" s="2">
        <f t="shared" si="6"/>
        <v>0.17647058823529413</v>
      </c>
    </row>
    <row r="9" spans="1:22" ht="15.75" customHeight="1">
      <c r="A9" s="1" t="s">
        <v>25</v>
      </c>
      <c r="B9" s="1">
        <f>July!C23</f>
        <v>99</v>
      </c>
      <c r="C9" s="1">
        <f>July!D23</f>
        <v>22</v>
      </c>
      <c r="D9" s="1">
        <f>July!E23</f>
        <v>7</v>
      </c>
      <c r="E9" s="1">
        <f>July!F23</f>
        <v>3</v>
      </c>
      <c r="F9" s="1">
        <f>July!G23</f>
        <v>11</v>
      </c>
      <c r="G9" s="1">
        <f>July!H23</f>
        <v>4</v>
      </c>
      <c r="H9" s="1">
        <f>July!I23</f>
        <v>3</v>
      </c>
      <c r="I9" s="1">
        <f>July!J23</f>
        <v>2</v>
      </c>
      <c r="J9" s="1">
        <f>July!K23</f>
        <v>2</v>
      </c>
      <c r="K9" s="1">
        <f>July!L23</f>
        <v>20</v>
      </c>
      <c r="M9" s="2">
        <f t="shared" ref="M9:O9" si="17">F9/$K9</f>
        <v>0.55000000000000004</v>
      </c>
      <c r="N9" s="2">
        <f t="shared" si="17"/>
        <v>0.2</v>
      </c>
      <c r="O9" s="2">
        <f t="shared" si="17"/>
        <v>0.15</v>
      </c>
      <c r="P9" s="2">
        <f t="shared" ref="P9:Q9" si="18">G9/$F9</f>
        <v>0.36363636363636365</v>
      </c>
      <c r="Q9" s="2">
        <f t="shared" si="18"/>
        <v>0.27272727272727271</v>
      </c>
      <c r="R9" s="2">
        <f t="shared" si="2"/>
        <v>0.18181818181818182</v>
      </c>
      <c r="S9" s="2">
        <f t="shared" si="3"/>
        <v>0.18181818181818182</v>
      </c>
      <c r="T9" s="3">
        <f t="shared" si="4"/>
        <v>7.0707070707070704E-2</v>
      </c>
      <c r="U9" s="3">
        <f t="shared" si="5"/>
        <v>0.31818181818181818</v>
      </c>
      <c r="V9" s="2">
        <f t="shared" si="6"/>
        <v>0.13636363636363635</v>
      </c>
    </row>
    <row r="10" spans="1:22" ht="15.75" customHeight="1">
      <c r="A10" s="1" t="s">
        <v>26</v>
      </c>
      <c r="B10" s="1">
        <f>August!C17</f>
        <v>82</v>
      </c>
      <c r="C10" s="1">
        <f>August!D17</f>
        <v>25</v>
      </c>
      <c r="D10" s="1">
        <f>August!E17</f>
        <v>12</v>
      </c>
      <c r="E10" s="1">
        <f>August!F17</f>
        <v>2</v>
      </c>
      <c r="F10" s="1">
        <f>August!G17</f>
        <v>9</v>
      </c>
      <c r="G10" s="1">
        <f>August!H17</f>
        <v>4</v>
      </c>
      <c r="H10" s="1">
        <f>August!I17</f>
        <v>4</v>
      </c>
      <c r="I10" s="1">
        <f>August!J17</f>
        <v>1</v>
      </c>
      <c r="J10" s="1">
        <f>August!K17</f>
        <v>0</v>
      </c>
      <c r="K10" s="1">
        <f>August!L17</f>
        <v>14</v>
      </c>
      <c r="M10" s="2">
        <f t="shared" ref="M10:O10" si="19">F10/$K10</f>
        <v>0.6428571428571429</v>
      </c>
      <c r="N10" s="2">
        <f t="shared" si="19"/>
        <v>0.2857142857142857</v>
      </c>
      <c r="O10" s="2">
        <f t="shared" si="19"/>
        <v>0.2857142857142857</v>
      </c>
      <c r="P10" s="2">
        <f t="shared" ref="P10:Q10" si="20">G10/$F10</f>
        <v>0.44444444444444442</v>
      </c>
      <c r="Q10" s="2">
        <f t="shared" si="20"/>
        <v>0.44444444444444442</v>
      </c>
      <c r="R10" s="2">
        <f t="shared" si="2"/>
        <v>0.1111111111111111</v>
      </c>
      <c r="S10" s="2">
        <f t="shared" si="3"/>
        <v>0</v>
      </c>
      <c r="T10" s="3">
        <f t="shared" si="4"/>
        <v>0.14634146341463414</v>
      </c>
      <c r="U10" s="3">
        <f t="shared" si="5"/>
        <v>0.48</v>
      </c>
      <c r="V10" s="2">
        <f t="shared" si="6"/>
        <v>0.08</v>
      </c>
    </row>
    <row r="11" spans="1:22" ht="15.75" customHeight="1">
      <c r="A11" s="1" t="s">
        <v>27</v>
      </c>
      <c r="B11" s="1">
        <f>September!C38</f>
        <v>187</v>
      </c>
      <c r="C11" s="1">
        <f>September!D38</f>
        <v>53</v>
      </c>
      <c r="D11" s="1">
        <f>September!E38</f>
        <v>35</v>
      </c>
      <c r="E11" s="1">
        <f>September!F38</f>
        <v>5</v>
      </c>
      <c r="F11" s="1">
        <f>September!G38</f>
        <v>21</v>
      </c>
      <c r="G11" s="1">
        <f>September!H38</f>
        <v>15</v>
      </c>
      <c r="H11" s="1">
        <f>September!I38</f>
        <v>12</v>
      </c>
      <c r="I11" s="1">
        <f>September!J38</f>
        <v>4</v>
      </c>
      <c r="J11" s="1">
        <f>September!K38</f>
        <v>1</v>
      </c>
      <c r="K11" s="1">
        <f>September!L38</f>
        <v>35</v>
      </c>
      <c r="M11" s="2">
        <f t="shared" ref="M11:O11" si="21">F11/$K11</f>
        <v>0.6</v>
      </c>
      <c r="N11" s="2">
        <f t="shared" si="21"/>
        <v>0.42857142857142855</v>
      </c>
      <c r="O11" s="2">
        <f t="shared" si="21"/>
        <v>0.34285714285714286</v>
      </c>
      <c r="P11" s="2">
        <f t="shared" ref="P11:Q11" si="22">G11/$F11</f>
        <v>0.7142857142857143</v>
      </c>
      <c r="Q11" s="2">
        <f t="shared" si="22"/>
        <v>0.5714285714285714</v>
      </c>
      <c r="R11" s="2">
        <f t="shared" si="2"/>
        <v>0.19047619047619047</v>
      </c>
      <c r="S11" s="2">
        <f t="shared" si="3"/>
        <v>4.7619047619047616E-2</v>
      </c>
      <c r="T11" s="3">
        <f t="shared" si="4"/>
        <v>0.18716577540106952</v>
      </c>
      <c r="U11" s="3">
        <f t="shared" si="5"/>
        <v>0.660377358490566</v>
      </c>
      <c r="V11" s="2">
        <f t="shared" si="6"/>
        <v>9.4339622641509441E-2</v>
      </c>
    </row>
    <row r="12" spans="1:22" ht="15.75" customHeight="1">
      <c r="A12" s="1" t="s">
        <v>28</v>
      </c>
      <c r="B12" s="1">
        <f>October!C19</f>
        <v>82</v>
      </c>
      <c r="C12" s="1">
        <f>October!D19</f>
        <v>22</v>
      </c>
      <c r="D12" s="1">
        <f>October!E19</f>
        <v>14</v>
      </c>
      <c r="E12" s="1">
        <f>October!F19</f>
        <v>6</v>
      </c>
      <c r="F12" s="1">
        <f>October!G19</f>
        <v>9</v>
      </c>
      <c r="G12" s="1">
        <f>October!H19</f>
        <v>6</v>
      </c>
      <c r="H12" s="1">
        <f>October!I19</f>
        <v>4</v>
      </c>
      <c r="I12" s="1">
        <f>October!J19</f>
        <v>4</v>
      </c>
      <c r="J12" s="1">
        <f>October!K19</f>
        <v>1</v>
      </c>
      <c r="K12" s="1">
        <f>October!L19</f>
        <v>16</v>
      </c>
      <c r="M12" s="2">
        <f t="shared" ref="M12:O12" si="23">F12/$K12</f>
        <v>0.5625</v>
      </c>
      <c r="N12" s="2">
        <f t="shared" si="23"/>
        <v>0.375</v>
      </c>
      <c r="O12" s="2">
        <f t="shared" si="23"/>
        <v>0.25</v>
      </c>
      <c r="P12" s="2">
        <f t="shared" ref="P12:Q12" si="24">G12/$F12</f>
        <v>0.66666666666666663</v>
      </c>
      <c r="Q12" s="2">
        <f t="shared" si="24"/>
        <v>0.44444444444444442</v>
      </c>
      <c r="R12" s="2">
        <f t="shared" si="2"/>
        <v>0.44444444444444442</v>
      </c>
      <c r="S12" s="2">
        <f t="shared" si="3"/>
        <v>0.1111111111111111</v>
      </c>
      <c r="T12" s="3">
        <f t="shared" si="4"/>
        <v>0.17073170731707318</v>
      </c>
      <c r="U12" s="3">
        <f t="shared" si="5"/>
        <v>0.63636363636363635</v>
      </c>
      <c r="V12" s="2">
        <f t="shared" si="6"/>
        <v>0.27272727272727271</v>
      </c>
    </row>
    <row r="13" spans="1:22" ht="15.75" customHeight="1">
      <c r="A13" s="1" t="s">
        <v>29</v>
      </c>
      <c r="B13" s="1">
        <f>November!C27</f>
        <v>130</v>
      </c>
      <c r="C13" s="1">
        <f>November!D27</f>
        <v>40</v>
      </c>
      <c r="D13" s="1">
        <f>November!E27</f>
        <v>18</v>
      </c>
      <c r="E13" s="1">
        <f>November!F27</f>
        <v>6</v>
      </c>
      <c r="F13" s="1">
        <f>November!G27</f>
        <v>18</v>
      </c>
      <c r="G13" s="1">
        <f>November!H27</f>
        <v>12</v>
      </c>
      <c r="H13" s="1">
        <f>November!I27</f>
        <v>9</v>
      </c>
      <c r="I13" s="1">
        <f>November!J27</f>
        <v>6</v>
      </c>
      <c r="J13" s="1">
        <f>November!K27</f>
        <v>3</v>
      </c>
      <c r="K13" s="1">
        <f>November!L27</f>
        <v>24</v>
      </c>
      <c r="M13" s="2">
        <f t="shared" ref="M13:O13" si="25">F13/$K13</f>
        <v>0.75</v>
      </c>
      <c r="N13" s="2">
        <f t="shared" si="25"/>
        <v>0.5</v>
      </c>
      <c r="O13" s="2">
        <f t="shared" si="25"/>
        <v>0.375</v>
      </c>
      <c r="P13" s="2">
        <f t="shared" ref="P13:Q13" si="26">G13/$F13</f>
        <v>0.66666666666666663</v>
      </c>
      <c r="Q13" s="2">
        <f t="shared" si="26"/>
        <v>0.5</v>
      </c>
      <c r="R13" s="2">
        <f t="shared" si="2"/>
        <v>0.33333333333333331</v>
      </c>
      <c r="S13" s="2">
        <f t="shared" si="3"/>
        <v>0.16666666666666666</v>
      </c>
      <c r="T13" s="3">
        <f t="shared" si="4"/>
        <v>0.13846153846153847</v>
      </c>
      <c r="U13" s="3">
        <f t="shared" si="5"/>
        <v>0.45</v>
      </c>
      <c r="V13" s="2">
        <f t="shared" si="6"/>
        <v>0.15</v>
      </c>
    </row>
    <row r="14" spans="1:22" ht="15.75" customHeight="1">
      <c r="A14" s="1" t="s">
        <v>30</v>
      </c>
      <c r="B14" s="1">
        <f>December!C28</f>
        <v>133</v>
      </c>
      <c r="C14" s="1">
        <f>December!D28</f>
        <v>26</v>
      </c>
      <c r="D14" s="1">
        <f>December!E28</f>
        <v>15</v>
      </c>
      <c r="E14" s="1">
        <f>December!F28</f>
        <v>9</v>
      </c>
      <c r="F14" s="1">
        <f>December!G28</f>
        <v>13</v>
      </c>
      <c r="G14" s="1">
        <f>December!H28</f>
        <v>8</v>
      </c>
      <c r="H14" s="1">
        <f>December!I28</f>
        <v>7</v>
      </c>
      <c r="I14" s="1">
        <f>December!J28</f>
        <v>6</v>
      </c>
      <c r="J14" s="1">
        <f>December!K28</f>
        <v>3</v>
      </c>
      <c r="K14" s="1">
        <f>December!L28</f>
        <v>25</v>
      </c>
      <c r="M14" s="2">
        <f t="shared" ref="M14:O14" si="27">F14/$K14</f>
        <v>0.52</v>
      </c>
      <c r="N14" s="2">
        <f t="shared" si="27"/>
        <v>0.32</v>
      </c>
      <c r="O14" s="2">
        <f t="shared" si="27"/>
        <v>0.28000000000000003</v>
      </c>
      <c r="P14" s="2">
        <f t="shared" ref="P14:Q14" si="28">G14/$F14</f>
        <v>0.61538461538461542</v>
      </c>
      <c r="Q14" s="2">
        <f t="shared" si="28"/>
        <v>0.53846153846153844</v>
      </c>
      <c r="R14" s="2">
        <f t="shared" si="2"/>
        <v>0.46153846153846156</v>
      </c>
      <c r="S14" s="2">
        <f t="shared" si="3"/>
        <v>0.23076923076923078</v>
      </c>
      <c r="T14" s="3">
        <f t="shared" si="4"/>
        <v>0.11278195488721804</v>
      </c>
      <c r="U14" s="3">
        <f t="shared" si="5"/>
        <v>0.57692307692307687</v>
      </c>
      <c r="V14" s="2">
        <f t="shared" si="6"/>
        <v>0.34615384615384615</v>
      </c>
    </row>
    <row r="15" spans="1:22" ht="15.75" customHeight="1">
      <c r="A15" s="1" t="s">
        <v>31</v>
      </c>
      <c r="B15" s="1">
        <f t="shared" ref="B15:K15" si="29">SUM(B3:B14)</f>
        <v>1615</v>
      </c>
      <c r="C15" s="1">
        <f t="shared" si="29"/>
        <v>429</v>
      </c>
      <c r="D15" s="1">
        <f t="shared" si="29"/>
        <v>242</v>
      </c>
      <c r="E15" s="1">
        <f t="shared" si="29"/>
        <v>98</v>
      </c>
      <c r="F15" s="1">
        <f t="shared" si="29"/>
        <v>190</v>
      </c>
      <c r="G15" s="1">
        <f t="shared" si="29"/>
        <v>120</v>
      </c>
      <c r="H15" s="1">
        <f t="shared" si="29"/>
        <v>97</v>
      </c>
      <c r="I15" s="1">
        <f t="shared" si="29"/>
        <v>72</v>
      </c>
      <c r="J15" s="1">
        <f t="shared" si="29"/>
        <v>36</v>
      </c>
      <c r="K15" s="1">
        <f t="shared" si="29"/>
        <v>305</v>
      </c>
      <c r="M15" s="2">
        <f t="shared" ref="M15:O15" si="30">F15/$K15</f>
        <v>0.62295081967213117</v>
      </c>
      <c r="N15" s="2">
        <f t="shared" si="30"/>
        <v>0.39344262295081966</v>
      </c>
      <c r="O15" s="2">
        <f t="shared" si="30"/>
        <v>0.31803278688524589</v>
      </c>
      <c r="P15" s="2">
        <f t="shared" ref="P15:Q15" si="31">G15/$F15</f>
        <v>0.63157894736842102</v>
      </c>
      <c r="Q15" s="2">
        <f t="shared" si="31"/>
        <v>0.51052631578947372</v>
      </c>
      <c r="R15" s="2">
        <f t="shared" si="2"/>
        <v>0.37894736842105264</v>
      </c>
      <c r="S15" s="2">
        <f t="shared" si="3"/>
        <v>0.18947368421052632</v>
      </c>
      <c r="T15" s="3">
        <f t="shared" si="4"/>
        <v>0.1498452012383901</v>
      </c>
      <c r="U15" s="3">
        <f t="shared" si="5"/>
        <v>0.5641025641025641</v>
      </c>
      <c r="V15" s="2">
        <f t="shared" si="6"/>
        <v>0.22843822843822845</v>
      </c>
    </row>
    <row r="17" spans="2:2" ht="15.75" customHeight="1">
      <c r="B17" s="1"/>
    </row>
  </sheetData>
  <mergeCells count="4">
    <mergeCell ref="B1:E1"/>
    <mergeCell ref="F1:K1"/>
    <mergeCell ref="M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7"/>
  <sheetViews>
    <sheetView workbookViewId="0">
      <selection activeCell="G3" sqref="G3:K33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43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44</v>
      </c>
      <c r="B4" s="1"/>
      <c r="C4" s="1">
        <v>3</v>
      </c>
      <c r="D4" s="1">
        <v>3</v>
      </c>
      <c r="E4" s="1">
        <v>3</v>
      </c>
      <c r="F4" s="1">
        <v>0</v>
      </c>
      <c r="G4" s="1" t="b">
        <f t="shared" ref="G4:G33" si="0">(D4&gt;0)</f>
        <v>1</v>
      </c>
      <c r="H4" s="1" t="b">
        <f t="shared" ref="H4:H33" si="1">(E4&gt;0)</f>
        <v>1</v>
      </c>
      <c r="I4" s="1" t="b">
        <f t="shared" ref="I4:I33" si="2">AND(G4,(D4=E4))</f>
        <v>1</v>
      </c>
      <c r="J4" s="1" t="b">
        <f t="shared" ref="J4:J33" si="3">(F4&gt;0)</f>
        <v>0</v>
      </c>
      <c r="K4" s="1" t="b">
        <f t="shared" ref="K4:K33" si="4">AND(I4,(E4=F4))</f>
        <v>0</v>
      </c>
    </row>
    <row r="5" spans="1:11" ht="15.75" customHeight="1">
      <c r="A5" s="1" t="s">
        <v>45</v>
      </c>
      <c r="B5" s="1"/>
      <c r="C5" s="1">
        <v>3</v>
      </c>
      <c r="D5" s="1">
        <v>2</v>
      </c>
      <c r="E5" s="1">
        <v>2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46</v>
      </c>
      <c r="B6" s="1"/>
      <c r="C6" s="1">
        <v>4</v>
      </c>
      <c r="D6" s="1">
        <v>3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47</v>
      </c>
      <c r="B7" s="1"/>
      <c r="C7" s="1">
        <v>3</v>
      </c>
      <c r="D7" s="1">
        <v>2</v>
      </c>
      <c r="E7" s="1">
        <v>2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1" t="s">
        <v>48</v>
      </c>
      <c r="B8" s="1"/>
      <c r="C8" s="1">
        <v>4</v>
      </c>
      <c r="D8" s="1">
        <v>4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49</v>
      </c>
      <c r="B9" s="1"/>
      <c r="C9" s="1">
        <v>6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50</v>
      </c>
      <c r="B10" s="1"/>
      <c r="C10" s="1">
        <v>5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51</v>
      </c>
      <c r="B11" s="1"/>
      <c r="C11" s="1">
        <v>5</v>
      </c>
      <c r="D11" s="1">
        <v>5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52</v>
      </c>
      <c r="B12" s="1"/>
      <c r="C12" s="1">
        <v>5</v>
      </c>
      <c r="D12" s="1">
        <v>3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53</v>
      </c>
      <c r="B13" s="1"/>
      <c r="C13" s="1">
        <v>5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54</v>
      </c>
      <c r="B14" s="1"/>
      <c r="C14" s="1">
        <v>7</v>
      </c>
      <c r="D14" s="1">
        <v>5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55</v>
      </c>
      <c r="B15" s="1"/>
      <c r="C15" s="1">
        <v>6</v>
      </c>
      <c r="D15" s="1">
        <v>1</v>
      </c>
      <c r="E15" s="1">
        <v>1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56</v>
      </c>
      <c r="B16" s="1"/>
      <c r="C16" s="1">
        <v>6</v>
      </c>
      <c r="D16" s="1">
        <v>1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1" ht="15.75" customHeight="1">
      <c r="A17" s="1" t="s">
        <v>57</v>
      </c>
      <c r="B17" s="1"/>
      <c r="C17" s="1">
        <v>6</v>
      </c>
      <c r="D17" s="1">
        <v>1</v>
      </c>
      <c r="E17" s="1">
        <v>1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1" ht="15.75" customHeight="1">
      <c r="A18" s="1" t="s">
        <v>58</v>
      </c>
      <c r="B18" s="1"/>
      <c r="C18" s="1">
        <v>6</v>
      </c>
      <c r="D18" s="1">
        <v>1</v>
      </c>
      <c r="E18" s="1">
        <v>0</v>
      </c>
      <c r="F18" s="1">
        <v>0</v>
      </c>
      <c r="G18" s="1" t="b">
        <f t="shared" si="0"/>
        <v>1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1" ht="15.75" customHeight="1">
      <c r="A19" s="1" t="s">
        <v>59</v>
      </c>
      <c r="B19" s="1"/>
      <c r="C19" s="1">
        <v>7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1" ht="15.75" customHeight="1">
      <c r="A20" s="1" t="s">
        <v>60</v>
      </c>
      <c r="B20" s="1"/>
      <c r="C20" s="1">
        <v>6</v>
      </c>
      <c r="D20" s="1">
        <v>3</v>
      </c>
      <c r="E20" s="1">
        <v>3</v>
      </c>
      <c r="F20" s="1">
        <v>1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0</v>
      </c>
    </row>
    <row r="21" spans="1:11" ht="15.75" customHeight="1">
      <c r="A21" s="1" t="s">
        <v>61</v>
      </c>
      <c r="B21" s="1"/>
      <c r="C21" s="1">
        <v>5</v>
      </c>
      <c r="D21" s="1">
        <v>2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1" ht="15.75" customHeight="1">
      <c r="A22" s="1" t="s">
        <v>62</v>
      </c>
      <c r="B22" s="1"/>
      <c r="C22" s="1">
        <v>8</v>
      </c>
      <c r="D22" s="1">
        <v>4</v>
      </c>
      <c r="E22" s="1">
        <v>4</v>
      </c>
      <c r="F22" s="1">
        <v>4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1" ht="15.75" customHeight="1">
      <c r="A23" s="1" t="s">
        <v>63</v>
      </c>
      <c r="B23" s="1"/>
      <c r="C23" s="1">
        <v>5</v>
      </c>
      <c r="D23" s="1">
        <v>2</v>
      </c>
      <c r="E23" s="1">
        <v>0</v>
      </c>
      <c r="F23" s="1">
        <v>0</v>
      </c>
      <c r="G23" s="1" t="b">
        <f t="shared" si="0"/>
        <v>1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1" ht="15.75" customHeight="1">
      <c r="A24" s="1" t="s">
        <v>64</v>
      </c>
      <c r="B24" s="1"/>
      <c r="C24" s="1">
        <v>5</v>
      </c>
      <c r="D24" s="1">
        <v>1</v>
      </c>
      <c r="E24" s="1">
        <v>0</v>
      </c>
      <c r="F24" s="1">
        <v>0</v>
      </c>
      <c r="G24" s="1" t="b">
        <f t="shared" si="0"/>
        <v>1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1" ht="15.75" customHeight="1">
      <c r="A25" s="1" t="s">
        <v>65</v>
      </c>
      <c r="B25" s="1"/>
      <c r="C25" s="1">
        <v>4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1" ht="15.75" customHeight="1">
      <c r="A26" s="1" t="s">
        <v>66</v>
      </c>
      <c r="B26" s="1"/>
      <c r="C26" s="1">
        <v>6</v>
      </c>
      <c r="D26" s="1">
        <v>2</v>
      </c>
      <c r="E26" s="1">
        <v>0</v>
      </c>
      <c r="F26" s="1">
        <v>0</v>
      </c>
      <c r="G26" s="1" t="b">
        <f t="shared" si="0"/>
        <v>1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1" ht="15.75" customHeight="1">
      <c r="A27" s="1" t="s">
        <v>67</v>
      </c>
      <c r="B27" s="1"/>
      <c r="C27" s="1">
        <v>5</v>
      </c>
      <c r="D27" s="1">
        <v>2</v>
      </c>
      <c r="E27" s="1">
        <v>2</v>
      </c>
      <c r="F27" s="1">
        <v>2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1</v>
      </c>
      <c r="K27" s="1" t="b">
        <f t="shared" si="4"/>
        <v>1</v>
      </c>
    </row>
    <row r="28" spans="1:11" ht="15.75" customHeight="1">
      <c r="A28" s="1" t="s">
        <v>68</v>
      </c>
      <c r="B28" s="1"/>
      <c r="C28" s="1">
        <v>5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1" ht="15.75" customHeight="1">
      <c r="A29" s="1" t="s">
        <v>69</v>
      </c>
      <c r="B29" s="1"/>
      <c r="C29" s="1">
        <v>7</v>
      </c>
      <c r="D29" s="1">
        <v>3</v>
      </c>
      <c r="E29" s="1">
        <v>2</v>
      </c>
      <c r="F29" s="1">
        <v>1</v>
      </c>
      <c r="G29" s="1" t="b">
        <f t="shared" si="0"/>
        <v>1</v>
      </c>
      <c r="H29" s="1" t="b">
        <f t="shared" si="1"/>
        <v>1</v>
      </c>
      <c r="I29" s="1" t="b">
        <f t="shared" si="2"/>
        <v>0</v>
      </c>
      <c r="J29" s="1" t="b">
        <f t="shared" si="3"/>
        <v>1</v>
      </c>
      <c r="K29" s="1" t="b">
        <f t="shared" si="4"/>
        <v>0</v>
      </c>
    </row>
    <row r="30" spans="1:11" ht="15.75" customHeight="1">
      <c r="A30" s="1" t="s">
        <v>70</v>
      </c>
      <c r="B30" s="1"/>
      <c r="C30" s="1">
        <v>5</v>
      </c>
      <c r="D30" s="1">
        <v>1</v>
      </c>
      <c r="E30" s="1">
        <v>1</v>
      </c>
      <c r="F30" s="1">
        <v>1</v>
      </c>
      <c r="G30" s="1" t="b">
        <f t="shared" si="0"/>
        <v>1</v>
      </c>
      <c r="H30" s="1" t="b">
        <f t="shared" si="1"/>
        <v>1</v>
      </c>
      <c r="I30" s="1" t="b">
        <f t="shared" si="2"/>
        <v>1</v>
      </c>
      <c r="J30" s="1" t="b">
        <f t="shared" si="3"/>
        <v>1</v>
      </c>
      <c r="K30" s="1" t="b">
        <f t="shared" si="4"/>
        <v>1</v>
      </c>
    </row>
    <row r="31" spans="1:11" ht="15.75" customHeight="1">
      <c r="A31" s="1" t="s">
        <v>71</v>
      </c>
      <c r="B31" s="1"/>
      <c r="C31" s="1">
        <v>6</v>
      </c>
      <c r="D31" s="1">
        <v>2</v>
      </c>
      <c r="E31" s="1">
        <v>0</v>
      </c>
      <c r="F31" s="1">
        <v>0</v>
      </c>
      <c r="G31" s="1" t="b">
        <f t="shared" si="0"/>
        <v>1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1" ht="15.75" customHeight="1">
      <c r="A32" s="1" t="s">
        <v>72</v>
      </c>
      <c r="B32" s="1"/>
      <c r="C32" s="1">
        <v>2</v>
      </c>
      <c r="D32" s="1">
        <v>1</v>
      </c>
      <c r="E32" s="1">
        <v>0</v>
      </c>
      <c r="F32" s="1">
        <v>0</v>
      </c>
      <c r="G32" s="1" t="b">
        <f t="shared" si="0"/>
        <v>1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</row>
    <row r="33" spans="1:12" ht="15.75" customHeight="1">
      <c r="A33" s="1" t="s">
        <v>73</v>
      </c>
      <c r="B33" s="1"/>
      <c r="C33" s="1">
        <v>2</v>
      </c>
      <c r="D33" s="1">
        <v>0</v>
      </c>
      <c r="E33" s="1">
        <v>0</v>
      </c>
      <c r="F33" s="1">
        <v>0</v>
      </c>
      <c r="G33" s="1" t="b">
        <f t="shared" si="0"/>
        <v>0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  <c r="L33" s="1" t="s">
        <v>74</v>
      </c>
    </row>
    <row r="34" spans="1:12" ht="15.75" customHeight="1">
      <c r="B34" s="1" t="s">
        <v>75</v>
      </c>
      <c r="C34" s="1">
        <f t="shared" ref="C34:F34" si="5">SUM(C2:C33)</f>
        <v>156</v>
      </c>
      <c r="D34" s="1">
        <f t="shared" si="5"/>
        <v>54</v>
      </c>
      <c r="E34" s="1">
        <f t="shared" si="5"/>
        <v>21</v>
      </c>
      <c r="F34" s="1">
        <f t="shared" si="5"/>
        <v>12</v>
      </c>
      <c r="G34" s="1">
        <f t="shared" ref="G34:K34" si="6">COUNTIF(G3:G33,"TRUE")</f>
        <v>23</v>
      </c>
      <c r="H34" s="1">
        <f t="shared" si="6"/>
        <v>10</v>
      </c>
      <c r="I34" s="1">
        <f t="shared" si="6"/>
        <v>9</v>
      </c>
      <c r="J34" s="1">
        <f t="shared" si="6"/>
        <v>7</v>
      </c>
      <c r="K34" s="1">
        <f t="shared" si="6"/>
        <v>5</v>
      </c>
      <c r="L34" s="5">
        <f>COUNTA(E3:E33)</f>
        <v>31</v>
      </c>
    </row>
    <row r="35" spans="1:12" ht="15.75" customHeight="1">
      <c r="E35" s="1" t="s">
        <v>3</v>
      </c>
      <c r="F35" s="2"/>
      <c r="G35" s="2">
        <f>G34/L34</f>
        <v>0.74193548387096775</v>
      </c>
      <c r="H35" s="2">
        <f>H34/L34</f>
        <v>0.32258064516129031</v>
      </c>
      <c r="I35" s="2">
        <f>I34/L34</f>
        <v>0.29032258064516131</v>
      </c>
      <c r="J35" s="2">
        <f>J34/L34</f>
        <v>0.22580645161290322</v>
      </c>
      <c r="K35" s="2">
        <f>K34/L34</f>
        <v>0.16129032258064516</v>
      </c>
    </row>
    <row r="36" spans="1:12" ht="15.75" customHeight="1">
      <c r="E36" s="1" t="s">
        <v>76</v>
      </c>
      <c r="F36" s="2"/>
      <c r="G36" s="2"/>
      <c r="H36" s="2">
        <f>H34/G34</f>
        <v>0.43478260869565216</v>
      </c>
      <c r="I36" s="2">
        <f>I34/G34</f>
        <v>0.39130434782608697</v>
      </c>
      <c r="J36" s="2">
        <f>J34/G34</f>
        <v>0.30434782608695654</v>
      </c>
      <c r="K36" s="2">
        <f>K34/G34</f>
        <v>0.21739130434782608</v>
      </c>
    </row>
    <row r="37" spans="1:12" ht="15.75" customHeight="1">
      <c r="E37" s="1" t="s">
        <v>77</v>
      </c>
      <c r="F37" s="2"/>
      <c r="G37" s="2">
        <f>E34/C34</f>
        <v>0.13461538461538461</v>
      </c>
      <c r="H37" s="2">
        <f>E34/D34</f>
        <v>0.3888888888888889</v>
      </c>
    </row>
  </sheetData>
  <hyperlinks>
    <hyperlink ref="E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53"/>
  <sheetViews>
    <sheetView topLeftCell="A8" zoomScale="90" workbookViewId="0">
      <selection activeCell="G3" sqref="G3:K49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78</v>
      </c>
      <c r="B3" s="1"/>
      <c r="C3" s="1">
        <v>5</v>
      </c>
      <c r="D3" s="1">
        <v>4</v>
      </c>
      <c r="E3" s="1">
        <v>0</v>
      </c>
      <c r="F3" s="1">
        <v>0</v>
      </c>
      <c r="G3" s="1" t="b">
        <f>(D3&gt;0)</f>
        <v>1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79</v>
      </c>
      <c r="B4" s="1"/>
      <c r="C4" s="1">
        <v>3</v>
      </c>
      <c r="D4" s="1">
        <v>2</v>
      </c>
      <c r="E4" s="1">
        <v>2</v>
      </c>
      <c r="F4" s="1">
        <v>2</v>
      </c>
      <c r="G4" s="1" t="b">
        <f t="shared" ref="G4:G49" si="0">(D4&gt;0)</f>
        <v>1</v>
      </c>
      <c r="H4" s="1" t="b">
        <f t="shared" ref="H4:H49" si="1">(E4&gt;0)</f>
        <v>1</v>
      </c>
      <c r="I4" s="1" t="b">
        <f t="shared" ref="I4:I49" si="2">AND(G4,(D4=E4))</f>
        <v>1</v>
      </c>
      <c r="J4" s="1" t="b">
        <f t="shared" ref="J4:J49" si="3">(F4&gt;0)</f>
        <v>1</v>
      </c>
      <c r="K4" s="1" t="b">
        <f t="shared" ref="K4:K49" si="4">AND(I4,(E4=F4))</f>
        <v>1</v>
      </c>
    </row>
    <row r="5" spans="1:11" ht="15.75" customHeight="1">
      <c r="A5" s="1" t="s">
        <v>80</v>
      </c>
      <c r="B5" s="1"/>
      <c r="C5" s="1">
        <v>5</v>
      </c>
      <c r="D5" s="1">
        <v>4</v>
      </c>
      <c r="E5" s="1">
        <v>3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81</v>
      </c>
      <c r="B6" s="1"/>
      <c r="C6" s="1">
        <v>3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82</v>
      </c>
      <c r="B7" s="1"/>
      <c r="C7" s="1">
        <v>4</v>
      </c>
      <c r="D7" s="1">
        <v>3</v>
      </c>
      <c r="E7" s="1">
        <v>3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0</v>
      </c>
    </row>
    <row r="8" spans="1:11" ht="15.75" customHeight="1">
      <c r="A8" s="1" t="s">
        <v>83</v>
      </c>
      <c r="B8" s="1"/>
      <c r="C8" s="1">
        <v>3</v>
      </c>
      <c r="D8" s="1">
        <v>1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1" t="s">
        <v>84</v>
      </c>
      <c r="B9" s="1"/>
      <c r="C9" s="1">
        <v>5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85</v>
      </c>
      <c r="B10" s="1"/>
      <c r="C10" s="1">
        <v>3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86</v>
      </c>
      <c r="B11" s="1"/>
      <c r="C11" s="1">
        <v>6</v>
      </c>
      <c r="D11" s="1">
        <v>1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87</v>
      </c>
      <c r="B12" s="1"/>
      <c r="C12" s="1">
        <v>5</v>
      </c>
      <c r="D12" s="1">
        <v>1</v>
      </c>
      <c r="E12" s="1">
        <v>1</v>
      </c>
      <c r="F12" s="1">
        <v>1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1</v>
      </c>
    </row>
    <row r="13" spans="1:11" ht="15.75" customHeight="1">
      <c r="A13" s="1" t="s">
        <v>88</v>
      </c>
      <c r="B13" s="1"/>
      <c r="C13" s="1">
        <v>6</v>
      </c>
      <c r="D13" s="1">
        <v>1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89</v>
      </c>
      <c r="B14" s="1"/>
      <c r="C14" s="1">
        <v>4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90</v>
      </c>
      <c r="B15" s="1"/>
      <c r="C15" s="1">
        <v>3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91</v>
      </c>
      <c r="B16" s="1"/>
      <c r="C16" s="1">
        <v>4</v>
      </c>
      <c r="D16" s="1">
        <v>3</v>
      </c>
      <c r="E16" s="1">
        <v>3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1" ht="15.75" customHeight="1">
      <c r="A17" s="1" t="s">
        <v>92</v>
      </c>
      <c r="B17" s="1"/>
      <c r="C17" s="1">
        <v>8</v>
      </c>
      <c r="D17" s="1">
        <v>1</v>
      </c>
      <c r="E17" s="1">
        <v>1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1" ht="15.75" customHeight="1">
      <c r="A18" s="1" t="s">
        <v>93</v>
      </c>
      <c r="B18" s="1"/>
      <c r="C18" s="1">
        <v>5</v>
      </c>
      <c r="D18" s="1">
        <v>5</v>
      </c>
      <c r="E18" s="1">
        <v>5</v>
      </c>
      <c r="F18" s="1">
        <v>5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1" ht="15.75" customHeight="1">
      <c r="A19" s="1" t="s">
        <v>94</v>
      </c>
      <c r="B19" s="1"/>
      <c r="C19" s="1">
        <v>7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1" ht="15.75" customHeight="1">
      <c r="A20" s="1" t="s">
        <v>95</v>
      </c>
      <c r="B20" s="1"/>
      <c r="C20" s="1">
        <v>5</v>
      </c>
      <c r="D20" s="1">
        <v>2</v>
      </c>
      <c r="E20" s="1">
        <v>2</v>
      </c>
      <c r="F20" s="1">
        <v>1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0</v>
      </c>
    </row>
    <row r="21" spans="1:11" ht="15.75" customHeight="1">
      <c r="A21" s="1" t="s">
        <v>96</v>
      </c>
      <c r="B21" s="1"/>
      <c r="C21" s="1">
        <v>9</v>
      </c>
      <c r="D21" s="1">
        <v>4</v>
      </c>
      <c r="E21" s="1">
        <v>1</v>
      </c>
      <c r="F21" s="1">
        <v>1</v>
      </c>
      <c r="G21" s="1" t="b">
        <f t="shared" si="0"/>
        <v>1</v>
      </c>
      <c r="H21" s="1" t="b">
        <f t="shared" si="1"/>
        <v>1</v>
      </c>
      <c r="I21" s="1" t="b">
        <f t="shared" si="2"/>
        <v>0</v>
      </c>
      <c r="J21" s="1" t="b">
        <f t="shared" si="3"/>
        <v>1</v>
      </c>
      <c r="K21" s="1" t="b">
        <f t="shared" si="4"/>
        <v>0</v>
      </c>
    </row>
    <row r="22" spans="1:11" ht="15.75" customHeight="1">
      <c r="A22" s="1" t="s">
        <v>97</v>
      </c>
      <c r="B22" s="1"/>
      <c r="C22" s="1">
        <v>4</v>
      </c>
      <c r="D22" s="1">
        <v>3</v>
      </c>
      <c r="E22" s="1">
        <v>3</v>
      </c>
      <c r="F22" s="1">
        <v>1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0</v>
      </c>
    </row>
    <row r="23" spans="1:11" ht="15.75" customHeight="1">
      <c r="A23" s="1" t="s">
        <v>98</v>
      </c>
      <c r="B23" s="1"/>
      <c r="C23" s="1">
        <v>9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1" ht="15.75" customHeight="1">
      <c r="A24" s="1" t="s">
        <v>99</v>
      </c>
      <c r="B24" s="1"/>
      <c r="C24" s="1">
        <v>4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1" ht="15.75" customHeight="1">
      <c r="A25" s="1" t="s">
        <v>100</v>
      </c>
      <c r="B25" s="1"/>
      <c r="C25" s="1">
        <v>6</v>
      </c>
      <c r="D25" s="1">
        <v>2</v>
      </c>
      <c r="E25" s="1">
        <v>2</v>
      </c>
      <c r="F25" s="1">
        <v>0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0</v>
      </c>
      <c r="K25" s="1" t="b">
        <f t="shared" si="4"/>
        <v>0</v>
      </c>
    </row>
    <row r="26" spans="1:11" ht="15.75" customHeight="1">
      <c r="A26" s="1" t="s">
        <v>101</v>
      </c>
      <c r="B26" s="1"/>
      <c r="C26" s="1">
        <v>5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1" ht="15.75" customHeight="1">
      <c r="A27" s="1" t="s">
        <v>102</v>
      </c>
      <c r="B27" s="1"/>
      <c r="C27" s="1">
        <v>4</v>
      </c>
      <c r="D27" s="1">
        <v>2</v>
      </c>
      <c r="E27" s="1">
        <v>2</v>
      </c>
      <c r="F27" s="1">
        <v>0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0</v>
      </c>
      <c r="K27" s="1" t="b">
        <f t="shared" si="4"/>
        <v>0</v>
      </c>
    </row>
    <row r="28" spans="1:11" ht="15.75" customHeight="1">
      <c r="A28" s="1" t="s">
        <v>103</v>
      </c>
      <c r="B28" s="1"/>
      <c r="C28" s="1">
        <v>5</v>
      </c>
      <c r="D28" s="1">
        <v>2</v>
      </c>
      <c r="E28" s="1">
        <v>2</v>
      </c>
      <c r="F28" s="1">
        <v>0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0</v>
      </c>
      <c r="K28" s="1" t="b">
        <f t="shared" si="4"/>
        <v>0</v>
      </c>
    </row>
    <row r="29" spans="1:11" ht="15.75" customHeight="1">
      <c r="A29" s="1" t="s">
        <v>104</v>
      </c>
      <c r="B29" s="1"/>
      <c r="C29" s="1">
        <v>4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1" ht="15.75" customHeight="1">
      <c r="A30" s="1" t="s">
        <v>105</v>
      </c>
      <c r="B30" s="1"/>
      <c r="C30" s="1">
        <v>8</v>
      </c>
      <c r="D30" s="1">
        <v>0</v>
      </c>
      <c r="E30" s="1">
        <v>0</v>
      </c>
      <c r="F30" s="1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1" ht="15.75" customHeight="1">
      <c r="A31" s="1" t="s">
        <v>106</v>
      </c>
      <c r="B31" s="1"/>
      <c r="C31" s="1">
        <v>4</v>
      </c>
      <c r="D31" s="1">
        <v>0</v>
      </c>
      <c r="E31" s="1">
        <v>0</v>
      </c>
      <c r="F31" s="1">
        <v>0</v>
      </c>
      <c r="G31" s="1" t="b">
        <f t="shared" si="0"/>
        <v>0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1" ht="15.75" customHeight="1">
      <c r="A32" s="1" t="s">
        <v>107</v>
      </c>
      <c r="B32" s="1"/>
      <c r="C32" s="1">
        <v>8</v>
      </c>
      <c r="D32" s="1">
        <v>2</v>
      </c>
      <c r="E32" s="1">
        <v>2</v>
      </c>
      <c r="F32" s="1">
        <v>1</v>
      </c>
      <c r="G32" s="1" t="b">
        <f t="shared" si="0"/>
        <v>1</v>
      </c>
      <c r="H32" s="1" t="b">
        <f t="shared" si="1"/>
        <v>1</v>
      </c>
      <c r="I32" s="1" t="b">
        <f t="shared" si="2"/>
        <v>1</v>
      </c>
      <c r="J32" s="1" t="b">
        <f t="shared" si="3"/>
        <v>1</v>
      </c>
      <c r="K32" s="1" t="b">
        <f t="shared" si="4"/>
        <v>0</v>
      </c>
    </row>
    <row r="33" spans="1:11" ht="15.75" customHeight="1">
      <c r="A33" s="1" t="s">
        <v>108</v>
      </c>
      <c r="B33" s="1"/>
      <c r="C33" s="1">
        <v>7</v>
      </c>
      <c r="D33" s="1">
        <v>7</v>
      </c>
      <c r="E33" s="1">
        <v>0</v>
      </c>
      <c r="F33" s="1">
        <v>0</v>
      </c>
      <c r="G33" s="1" t="b">
        <f t="shared" si="0"/>
        <v>1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</row>
    <row r="34" spans="1:11" ht="15.75" customHeight="1">
      <c r="A34" s="1" t="s">
        <v>109</v>
      </c>
      <c r="B34" s="1"/>
      <c r="C34" s="1">
        <v>6</v>
      </c>
      <c r="D34" s="1">
        <v>0</v>
      </c>
      <c r="E34" s="1">
        <v>0</v>
      </c>
      <c r="F34" s="1">
        <v>0</v>
      </c>
      <c r="G34" s="1" t="b">
        <f t="shared" si="0"/>
        <v>0</v>
      </c>
      <c r="H34" s="1" t="b">
        <f t="shared" si="1"/>
        <v>0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</row>
    <row r="35" spans="1:11" ht="15.75" customHeight="1">
      <c r="A35" s="1" t="s">
        <v>110</v>
      </c>
      <c r="B35" s="1"/>
      <c r="C35" s="1">
        <v>5</v>
      </c>
      <c r="D35" s="1">
        <v>4</v>
      </c>
      <c r="E35" s="1">
        <v>4</v>
      </c>
      <c r="F35" s="1">
        <v>1</v>
      </c>
      <c r="G35" s="1" t="b">
        <f t="shared" si="0"/>
        <v>1</v>
      </c>
      <c r="H35" s="1" t="b">
        <f t="shared" si="1"/>
        <v>1</v>
      </c>
      <c r="I35" s="1" t="b">
        <f t="shared" si="2"/>
        <v>1</v>
      </c>
      <c r="J35" s="1" t="b">
        <f t="shared" si="3"/>
        <v>1</v>
      </c>
      <c r="K35" s="1" t="b">
        <f t="shared" si="4"/>
        <v>0</v>
      </c>
    </row>
    <row r="36" spans="1:11" ht="15.75" customHeight="1">
      <c r="A36" s="1" t="s">
        <v>111</v>
      </c>
      <c r="B36" s="1"/>
      <c r="C36" s="1">
        <v>7</v>
      </c>
      <c r="D36" s="1">
        <v>2</v>
      </c>
      <c r="E36" s="1">
        <v>2</v>
      </c>
      <c r="F36" s="1">
        <v>1</v>
      </c>
      <c r="G36" s="1" t="b">
        <f t="shared" si="0"/>
        <v>1</v>
      </c>
      <c r="H36" s="1" t="b">
        <f t="shared" si="1"/>
        <v>1</v>
      </c>
      <c r="I36" s="1" t="b">
        <f t="shared" si="2"/>
        <v>1</v>
      </c>
      <c r="J36" s="1" t="b">
        <f t="shared" si="3"/>
        <v>1</v>
      </c>
      <c r="K36" s="1" t="b">
        <f t="shared" si="4"/>
        <v>0</v>
      </c>
    </row>
    <row r="37" spans="1:11" ht="15.75" customHeight="1">
      <c r="A37" s="1" t="s">
        <v>112</v>
      </c>
      <c r="B37" s="1"/>
      <c r="C37" s="1">
        <v>7</v>
      </c>
      <c r="D37" s="1">
        <v>0</v>
      </c>
      <c r="E37" s="1">
        <v>0</v>
      </c>
      <c r="F37" s="1">
        <v>0</v>
      </c>
      <c r="G37" s="1" t="b">
        <f t="shared" si="0"/>
        <v>0</v>
      </c>
      <c r="H37" s="1" t="b">
        <f t="shared" si="1"/>
        <v>0</v>
      </c>
      <c r="I37" s="1" t="b">
        <f t="shared" si="2"/>
        <v>0</v>
      </c>
      <c r="J37" s="1" t="b">
        <f t="shared" si="3"/>
        <v>0</v>
      </c>
      <c r="K37" s="1" t="b">
        <f t="shared" si="4"/>
        <v>0</v>
      </c>
    </row>
    <row r="38" spans="1:11" ht="15.75" customHeight="1">
      <c r="A38" s="1" t="s">
        <v>113</v>
      </c>
      <c r="B38" s="1"/>
      <c r="C38" s="1">
        <v>6</v>
      </c>
      <c r="D38" s="1">
        <v>0</v>
      </c>
      <c r="E38" s="1">
        <v>0</v>
      </c>
      <c r="F38" s="1">
        <v>0</v>
      </c>
      <c r="G38" s="1" t="b">
        <f t="shared" si="0"/>
        <v>0</v>
      </c>
      <c r="H38" s="1" t="b">
        <f t="shared" si="1"/>
        <v>0</v>
      </c>
      <c r="I38" s="1" t="b">
        <f t="shared" si="2"/>
        <v>0</v>
      </c>
      <c r="J38" s="1" t="b">
        <f t="shared" si="3"/>
        <v>0</v>
      </c>
      <c r="K38" s="1" t="b">
        <f t="shared" si="4"/>
        <v>0</v>
      </c>
    </row>
    <row r="39" spans="1:11" ht="15.75" customHeight="1">
      <c r="A39" s="1" t="s">
        <v>114</v>
      </c>
      <c r="B39" s="1"/>
      <c r="C39" s="1">
        <v>6</v>
      </c>
      <c r="D39" s="1">
        <v>1</v>
      </c>
      <c r="E39" s="1">
        <v>1</v>
      </c>
      <c r="F39" s="1">
        <v>1</v>
      </c>
      <c r="G39" s="1" t="b">
        <f t="shared" si="0"/>
        <v>1</v>
      </c>
      <c r="H39" s="1" t="b">
        <f t="shared" si="1"/>
        <v>1</v>
      </c>
      <c r="I39" s="1" t="b">
        <f t="shared" si="2"/>
        <v>1</v>
      </c>
      <c r="J39" s="1" t="b">
        <f t="shared" si="3"/>
        <v>1</v>
      </c>
      <c r="K39" s="1" t="b">
        <f t="shared" si="4"/>
        <v>1</v>
      </c>
    </row>
    <row r="40" spans="1:11" ht="15.75" customHeight="1">
      <c r="A40" s="1" t="s">
        <v>115</v>
      </c>
      <c r="B40" s="1"/>
      <c r="C40" s="1">
        <v>6</v>
      </c>
      <c r="D40" s="1">
        <v>0</v>
      </c>
      <c r="E40" s="1">
        <v>0</v>
      </c>
      <c r="F40" s="1">
        <v>0</v>
      </c>
      <c r="G40" s="1" t="b">
        <f t="shared" si="0"/>
        <v>0</v>
      </c>
      <c r="H40" s="1" t="b">
        <f t="shared" si="1"/>
        <v>0</v>
      </c>
      <c r="I40" s="1" t="b">
        <f t="shared" si="2"/>
        <v>0</v>
      </c>
      <c r="J40" s="1" t="b">
        <f t="shared" si="3"/>
        <v>0</v>
      </c>
      <c r="K40" s="1" t="b">
        <f t="shared" si="4"/>
        <v>0</v>
      </c>
    </row>
    <row r="41" spans="1:11" ht="15.75" customHeight="1">
      <c r="A41" s="1" t="s">
        <v>116</v>
      </c>
      <c r="B41" s="1"/>
      <c r="C41" s="1">
        <v>6</v>
      </c>
      <c r="D41" s="1">
        <v>1</v>
      </c>
      <c r="E41" s="1">
        <v>1</v>
      </c>
      <c r="F41" s="1">
        <v>1</v>
      </c>
      <c r="G41" s="1" t="b">
        <f t="shared" si="0"/>
        <v>1</v>
      </c>
      <c r="H41" s="1" t="b">
        <f t="shared" si="1"/>
        <v>1</v>
      </c>
      <c r="I41" s="1" t="b">
        <f t="shared" si="2"/>
        <v>1</v>
      </c>
      <c r="J41" s="1" t="b">
        <f t="shared" si="3"/>
        <v>1</v>
      </c>
      <c r="K41" s="1" t="b">
        <f t="shared" si="4"/>
        <v>1</v>
      </c>
    </row>
    <row r="42" spans="1:11" ht="15.75" customHeight="1">
      <c r="A42" s="1" t="s">
        <v>117</v>
      </c>
      <c r="B42" s="1"/>
      <c r="C42" s="1">
        <v>5</v>
      </c>
      <c r="D42" s="1">
        <v>0</v>
      </c>
      <c r="E42" s="1">
        <v>0</v>
      </c>
      <c r="F42" s="1">
        <v>0</v>
      </c>
      <c r="G42" s="1" t="b">
        <f t="shared" si="0"/>
        <v>0</v>
      </c>
      <c r="H42" s="1" t="b">
        <f t="shared" si="1"/>
        <v>0</v>
      </c>
      <c r="I42" s="1" t="b">
        <f t="shared" si="2"/>
        <v>0</v>
      </c>
      <c r="J42" s="1" t="b">
        <f t="shared" si="3"/>
        <v>0</v>
      </c>
      <c r="K42" s="1" t="b">
        <f t="shared" si="4"/>
        <v>0</v>
      </c>
    </row>
    <row r="43" spans="1:11" ht="15.75" customHeight="1">
      <c r="A43" s="1" t="s">
        <v>118</v>
      </c>
      <c r="B43" s="1"/>
      <c r="C43" s="1">
        <v>5</v>
      </c>
      <c r="D43" s="1">
        <v>0</v>
      </c>
      <c r="E43" s="1">
        <v>0</v>
      </c>
      <c r="F43" s="1">
        <v>0</v>
      </c>
      <c r="G43" s="1" t="b">
        <f t="shared" si="0"/>
        <v>0</v>
      </c>
      <c r="H43" s="1" t="b">
        <f t="shared" si="1"/>
        <v>0</v>
      </c>
      <c r="I43" s="1" t="b">
        <f t="shared" si="2"/>
        <v>0</v>
      </c>
      <c r="J43" s="1" t="b">
        <f t="shared" si="3"/>
        <v>0</v>
      </c>
      <c r="K43" s="1" t="b">
        <f t="shared" si="4"/>
        <v>0</v>
      </c>
    </row>
    <row r="44" spans="1:11" ht="15.75" customHeight="1">
      <c r="A44" s="1" t="s">
        <v>119</v>
      </c>
      <c r="B44" s="1"/>
      <c r="C44" s="1">
        <v>5</v>
      </c>
      <c r="D44" s="1">
        <v>5</v>
      </c>
      <c r="E44" s="1">
        <v>5</v>
      </c>
      <c r="F44" s="1">
        <v>0</v>
      </c>
      <c r="G44" s="1" t="b">
        <f t="shared" si="0"/>
        <v>1</v>
      </c>
      <c r="H44" s="1" t="b">
        <f t="shared" si="1"/>
        <v>1</v>
      </c>
      <c r="I44" s="1" t="b">
        <f t="shared" si="2"/>
        <v>1</v>
      </c>
      <c r="J44" s="1" t="b">
        <f t="shared" si="3"/>
        <v>0</v>
      </c>
      <c r="K44" s="1" t="b">
        <f t="shared" si="4"/>
        <v>0</v>
      </c>
    </row>
    <row r="45" spans="1:11" ht="15.75" customHeight="1">
      <c r="A45" s="1" t="s">
        <v>120</v>
      </c>
      <c r="B45" s="1"/>
      <c r="C45" s="1">
        <v>4</v>
      </c>
      <c r="D45" s="1">
        <v>0</v>
      </c>
      <c r="E45" s="1">
        <v>0</v>
      </c>
      <c r="F45" s="1">
        <v>0</v>
      </c>
      <c r="G45" s="1" t="b">
        <f t="shared" si="0"/>
        <v>0</v>
      </c>
      <c r="H45" s="1" t="b">
        <f t="shared" si="1"/>
        <v>0</v>
      </c>
      <c r="I45" s="1" t="b">
        <f t="shared" si="2"/>
        <v>0</v>
      </c>
      <c r="J45" s="1" t="b">
        <f t="shared" si="3"/>
        <v>0</v>
      </c>
      <c r="K45" s="1" t="b">
        <f t="shared" si="4"/>
        <v>0</v>
      </c>
    </row>
    <row r="46" spans="1:11" ht="15.75" customHeight="1">
      <c r="A46" s="1" t="s">
        <v>121</v>
      </c>
      <c r="B46" s="1"/>
      <c r="C46" s="1">
        <v>6</v>
      </c>
      <c r="D46" s="1">
        <v>1</v>
      </c>
      <c r="E46" s="1">
        <v>1</v>
      </c>
      <c r="F46" s="1">
        <v>0</v>
      </c>
      <c r="G46" s="1" t="b">
        <f t="shared" si="0"/>
        <v>1</v>
      </c>
      <c r="H46" s="1" t="b">
        <f t="shared" si="1"/>
        <v>1</v>
      </c>
      <c r="I46" s="1" t="b">
        <f t="shared" si="2"/>
        <v>1</v>
      </c>
      <c r="J46" s="1" t="b">
        <f t="shared" si="3"/>
        <v>0</v>
      </c>
      <c r="K46" s="1" t="b">
        <f t="shared" si="4"/>
        <v>0</v>
      </c>
    </row>
    <row r="47" spans="1:11" ht="15.75" customHeight="1">
      <c r="A47" s="6" t="s">
        <v>122</v>
      </c>
      <c r="B47" s="1"/>
      <c r="C47" s="1">
        <v>6</v>
      </c>
      <c r="D47" s="1">
        <v>0</v>
      </c>
      <c r="E47" s="1">
        <v>0</v>
      </c>
      <c r="F47" s="1">
        <v>0</v>
      </c>
      <c r="G47" s="1" t="b">
        <f t="shared" si="0"/>
        <v>0</v>
      </c>
      <c r="H47" s="1" t="b">
        <f t="shared" si="1"/>
        <v>0</v>
      </c>
      <c r="I47" s="1" t="b">
        <f t="shared" si="2"/>
        <v>0</v>
      </c>
      <c r="J47" s="1" t="b">
        <f t="shared" si="3"/>
        <v>0</v>
      </c>
      <c r="K47" s="1" t="b">
        <f t="shared" si="4"/>
        <v>0</v>
      </c>
    </row>
    <row r="48" spans="1:11" ht="15.75" customHeight="1">
      <c r="A48" s="1" t="s">
        <v>123</v>
      </c>
      <c r="B48" s="1"/>
      <c r="C48" s="1">
        <v>3</v>
      </c>
      <c r="D48" s="1">
        <v>0</v>
      </c>
      <c r="E48" s="1">
        <v>0</v>
      </c>
      <c r="F48" s="1">
        <v>0</v>
      </c>
      <c r="G48" s="1" t="b">
        <f t="shared" si="0"/>
        <v>0</v>
      </c>
      <c r="H48" s="1" t="b">
        <f t="shared" si="1"/>
        <v>0</v>
      </c>
      <c r="I48" s="1" t="b">
        <f t="shared" si="2"/>
        <v>0</v>
      </c>
      <c r="J48" s="1" t="b">
        <f t="shared" si="3"/>
        <v>0</v>
      </c>
      <c r="K48" s="1" t="b">
        <f t="shared" si="4"/>
        <v>0</v>
      </c>
    </row>
    <row r="49" spans="1:12" ht="15.75" customHeight="1">
      <c r="A49" s="1" t="s">
        <v>124</v>
      </c>
      <c r="B49" s="1"/>
      <c r="C49" s="1">
        <v>2</v>
      </c>
      <c r="D49" s="1">
        <v>0</v>
      </c>
      <c r="E49" s="1">
        <v>0</v>
      </c>
      <c r="F49" s="1">
        <v>0</v>
      </c>
      <c r="G49" s="1" t="b">
        <f t="shared" si="0"/>
        <v>0</v>
      </c>
      <c r="H49" s="1" t="b">
        <f t="shared" si="1"/>
        <v>0</v>
      </c>
      <c r="I49" s="1" t="b">
        <f t="shared" si="2"/>
        <v>0</v>
      </c>
      <c r="J49" s="1" t="b">
        <f t="shared" si="3"/>
        <v>0</v>
      </c>
      <c r="K49" s="1" t="b">
        <f t="shared" si="4"/>
        <v>0</v>
      </c>
      <c r="L49" s="1" t="s">
        <v>74</v>
      </c>
    </row>
    <row r="50" spans="1:12" ht="15.75" customHeight="1">
      <c r="B50" s="1" t="s">
        <v>75</v>
      </c>
      <c r="C50" s="1">
        <f t="shared" ref="C50:F50" si="5">SUM(C2:C49)</f>
        <v>246</v>
      </c>
      <c r="D50" s="1">
        <f t="shared" si="5"/>
        <v>65</v>
      </c>
      <c r="E50" s="1">
        <f t="shared" si="5"/>
        <v>48</v>
      </c>
      <c r="F50" s="1">
        <f t="shared" si="5"/>
        <v>21</v>
      </c>
      <c r="G50" s="1">
        <f t="shared" ref="G50:K50" si="6">COUNTIF(G3:G49,"TRUE")</f>
        <v>26</v>
      </c>
      <c r="H50" s="1">
        <f t="shared" si="6"/>
        <v>22</v>
      </c>
      <c r="I50" s="1">
        <f t="shared" si="6"/>
        <v>20</v>
      </c>
      <c r="J50" s="1">
        <f t="shared" si="6"/>
        <v>15</v>
      </c>
      <c r="K50" s="1">
        <f t="shared" si="6"/>
        <v>8</v>
      </c>
      <c r="L50" s="5">
        <f>COUNTA(E3:E49)</f>
        <v>47</v>
      </c>
    </row>
    <row r="51" spans="1:12" ht="13">
      <c r="E51" s="1" t="s">
        <v>3</v>
      </c>
      <c r="F51" s="2"/>
      <c r="G51" s="2">
        <f>G50/L50</f>
        <v>0.55319148936170215</v>
      </c>
      <c r="H51" s="2">
        <f>H50/L50</f>
        <v>0.46808510638297873</v>
      </c>
      <c r="I51" s="2">
        <f>I50/L50</f>
        <v>0.42553191489361702</v>
      </c>
      <c r="J51" s="2">
        <f>J50/L50</f>
        <v>0.31914893617021278</v>
      </c>
      <c r="K51" s="2">
        <f>K50/L50</f>
        <v>0.1702127659574468</v>
      </c>
    </row>
    <row r="52" spans="1:12" ht="13">
      <c r="E52" s="1" t="s">
        <v>76</v>
      </c>
      <c r="F52" s="2"/>
      <c r="G52" s="2"/>
      <c r="H52" s="2">
        <f>H50/G50</f>
        <v>0.84615384615384615</v>
      </c>
      <c r="I52" s="2">
        <f>I50/G50</f>
        <v>0.76923076923076927</v>
      </c>
      <c r="J52" s="2">
        <f>J50/G50</f>
        <v>0.57692307692307687</v>
      </c>
      <c r="K52" s="2">
        <f>K50/G50</f>
        <v>0.30769230769230771</v>
      </c>
    </row>
    <row r="53" spans="1:12" ht="13">
      <c r="E53" s="1" t="s">
        <v>77</v>
      </c>
      <c r="F53" s="2"/>
      <c r="G53" s="2">
        <f>E50/C50</f>
        <v>0.1951219512195122</v>
      </c>
      <c r="H53" s="2">
        <f>E50/D50</f>
        <v>0.7384615384615385</v>
      </c>
    </row>
  </sheetData>
  <hyperlinks>
    <hyperlink ref="E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8"/>
  <sheetViews>
    <sheetView workbookViewId="0">
      <selection activeCell="G3" sqref="G3:K24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125</v>
      </c>
      <c r="B3" s="1"/>
      <c r="C3" s="1">
        <v>5</v>
      </c>
      <c r="D3" s="1">
        <v>3</v>
      </c>
      <c r="E3" s="1">
        <v>3</v>
      </c>
      <c r="F3" s="1">
        <v>3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1" t="s">
        <v>126</v>
      </c>
      <c r="B4" s="1"/>
      <c r="C4" s="1">
        <v>3</v>
      </c>
      <c r="D4" s="1">
        <v>0</v>
      </c>
      <c r="E4" s="1">
        <v>0</v>
      </c>
      <c r="F4" s="1">
        <v>0</v>
      </c>
      <c r="G4" s="1" t="b">
        <f t="shared" ref="G4:G23" si="0">(D4&gt;0)</f>
        <v>0</v>
      </c>
      <c r="H4" s="1" t="b">
        <f t="shared" ref="H4:H23" si="1">(E4&gt;0)</f>
        <v>0</v>
      </c>
      <c r="I4" s="1" t="b">
        <f t="shared" ref="I4:I23" si="2">AND(G4,(D4=E4))</f>
        <v>0</v>
      </c>
      <c r="J4" s="1" t="b">
        <f t="shared" ref="J4:J23" si="3">(F4&gt;0)</f>
        <v>0</v>
      </c>
      <c r="K4" s="1" t="b">
        <f t="shared" ref="K4:K23" si="4">AND(I4,(E4=F4))</f>
        <v>0</v>
      </c>
    </row>
    <row r="5" spans="1:11" ht="15.75" customHeight="1">
      <c r="A5" s="1" t="s">
        <v>127</v>
      </c>
      <c r="B5" s="1"/>
      <c r="C5" s="1">
        <v>4</v>
      </c>
      <c r="D5" s="1">
        <v>1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128</v>
      </c>
      <c r="B6" s="1"/>
      <c r="C6" s="1">
        <v>4</v>
      </c>
      <c r="D6" s="1">
        <v>3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129</v>
      </c>
      <c r="B7" s="1"/>
      <c r="C7" s="1">
        <v>3</v>
      </c>
      <c r="D7" s="1">
        <v>1</v>
      </c>
      <c r="E7" s="1">
        <v>1</v>
      </c>
      <c r="F7" s="1">
        <v>1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1" t="s">
        <v>130</v>
      </c>
      <c r="B8" s="1"/>
      <c r="C8" s="1">
        <v>5</v>
      </c>
      <c r="D8" s="1">
        <v>2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131</v>
      </c>
      <c r="B9" s="1"/>
      <c r="C9" s="1">
        <v>3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132</v>
      </c>
      <c r="B10" s="1"/>
      <c r="C10" s="1">
        <v>4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133</v>
      </c>
      <c r="B11" s="1"/>
      <c r="C11" s="1">
        <v>4</v>
      </c>
      <c r="D11" s="1">
        <v>3</v>
      </c>
      <c r="E11" s="1">
        <v>3</v>
      </c>
      <c r="F11" s="1">
        <v>1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0</v>
      </c>
    </row>
    <row r="12" spans="1:11" ht="15.75" customHeight="1">
      <c r="A12" s="1" t="s">
        <v>134</v>
      </c>
      <c r="B12" s="1"/>
      <c r="C12" s="1">
        <v>4</v>
      </c>
      <c r="D12" s="1">
        <v>4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135</v>
      </c>
      <c r="B13" s="1"/>
      <c r="C13" s="1">
        <v>6</v>
      </c>
      <c r="D13" s="1">
        <v>1</v>
      </c>
      <c r="E13" s="1">
        <v>1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136</v>
      </c>
      <c r="B14" s="1"/>
      <c r="C14" s="1">
        <v>5</v>
      </c>
      <c r="D14" s="1">
        <v>2</v>
      </c>
      <c r="E14" s="1">
        <v>2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137</v>
      </c>
      <c r="B15" s="1"/>
      <c r="C15" s="1">
        <v>6</v>
      </c>
      <c r="D15" s="1">
        <v>3</v>
      </c>
      <c r="E15" s="1">
        <v>3</v>
      </c>
      <c r="F15" s="1">
        <v>1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0</v>
      </c>
    </row>
    <row r="16" spans="1:11" ht="15.75" customHeight="1">
      <c r="A16" s="1" t="s">
        <v>138</v>
      </c>
      <c r="B16" s="1"/>
      <c r="C16" s="1">
        <v>9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139</v>
      </c>
      <c r="B17" s="1"/>
      <c r="C17" s="1">
        <v>8</v>
      </c>
      <c r="D17" s="1">
        <v>1</v>
      </c>
      <c r="E17" s="1">
        <v>1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2" ht="15.75" customHeight="1">
      <c r="A18" s="1" t="s">
        <v>140</v>
      </c>
      <c r="B18" s="1"/>
      <c r="C18" s="1">
        <v>5</v>
      </c>
      <c r="D18" s="1">
        <v>2</v>
      </c>
      <c r="E18" s="1">
        <v>2</v>
      </c>
      <c r="F18" s="1">
        <v>2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A19" s="1" t="s">
        <v>141</v>
      </c>
      <c r="B19" s="1"/>
      <c r="C19" s="1">
        <v>4</v>
      </c>
      <c r="D19" s="1">
        <v>1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142</v>
      </c>
      <c r="B20" s="1"/>
      <c r="C20" s="1">
        <v>7</v>
      </c>
      <c r="D20" s="1">
        <v>3</v>
      </c>
      <c r="E20" s="1">
        <v>3</v>
      </c>
      <c r="F20" s="1">
        <v>2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0</v>
      </c>
    </row>
    <row r="21" spans="1:12" ht="15.75" customHeight="1">
      <c r="A21" s="1" t="s">
        <v>143</v>
      </c>
      <c r="B21" s="1"/>
      <c r="C21" s="1">
        <v>11</v>
      </c>
      <c r="D21" s="1">
        <v>1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144</v>
      </c>
      <c r="B22" s="1"/>
      <c r="C22" s="1">
        <v>6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145</v>
      </c>
      <c r="B23" s="1"/>
      <c r="C23" s="1">
        <v>6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146</v>
      </c>
      <c r="B24" s="1"/>
      <c r="C24" s="1">
        <v>4</v>
      </c>
      <c r="D24" s="1">
        <v>0</v>
      </c>
      <c r="E24" s="1">
        <v>0</v>
      </c>
      <c r="F24" s="1">
        <v>0</v>
      </c>
      <c r="G24" s="1" t="b">
        <f>(D24&gt;0)</f>
        <v>0</v>
      </c>
      <c r="H24" s="1" t="b">
        <f>(E24&gt;0)</f>
        <v>0</v>
      </c>
      <c r="I24" s="1" t="b">
        <f>AND(G24,(D24=E24))</f>
        <v>0</v>
      </c>
      <c r="J24" s="1" t="b">
        <f>(F24&gt;0)</f>
        <v>0</v>
      </c>
      <c r="K24" s="1" t="b">
        <f>AND(I24,(E24=F24))</f>
        <v>0</v>
      </c>
    </row>
    <row r="25" spans="1:12" ht="15.75" customHeight="1">
      <c r="B25" s="1" t="s">
        <v>75</v>
      </c>
      <c r="C25" s="1">
        <f t="shared" ref="C25:F25" si="5">SUM(C2:C24)</f>
        <v>116</v>
      </c>
      <c r="D25" s="1">
        <f t="shared" si="5"/>
        <v>31</v>
      </c>
      <c r="E25" s="1">
        <f t="shared" si="5"/>
        <v>19</v>
      </c>
      <c r="F25" s="1">
        <f t="shared" si="5"/>
        <v>11</v>
      </c>
      <c r="G25" s="1">
        <f t="shared" ref="G25:K25" si="6">COUNTIF(G3:G24,"TRUE")</f>
        <v>15</v>
      </c>
      <c r="H25" s="1">
        <f t="shared" si="6"/>
        <v>9</v>
      </c>
      <c r="I25" s="1">
        <f t="shared" si="6"/>
        <v>9</v>
      </c>
      <c r="J25" s="1">
        <f t="shared" si="6"/>
        <v>7</v>
      </c>
      <c r="K25" s="1">
        <f t="shared" si="6"/>
        <v>4</v>
      </c>
      <c r="L25" s="5">
        <f>COUNTA(E3:E24)</f>
        <v>22</v>
      </c>
    </row>
    <row r="26" spans="1:12" ht="15.75" customHeight="1">
      <c r="E26" s="1" t="s">
        <v>3</v>
      </c>
      <c r="F26" s="2"/>
      <c r="G26" s="2">
        <f>G25/L25</f>
        <v>0.68181818181818177</v>
      </c>
      <c r="H26" s="2">
        <f>H25/L25</f>
        <v>0.40909090909090912</v>
      </c>
      <c r="I26" s="2">
        <f>I25/L25</f>
        <v>0.40909090909090912</v>
      </c>
      <c r="J26" s="2">
        <f>J25/L25</f>
        <v>0.31818181818181818</v>
      </c>
      <c r="K26" s="2">
        <f>K25/L25</f>
        <v>0.18181818181818182</v>
      </c>
    </row>
    <row r="27" spans="1:12" ht="15.75" customHeight="1">
      <c r="E27" s="1" t="s">
        <v>76</v>
      </c>
      <c r="F27" s="2"/>
      <c r="G27" s="2"/>
      <c r="H27" s="2">
        <f>H25/G25</f>
        <v>0.6</v>
      </c>
      <c r="I27" s="2">
        <f>I25/G25</f>
        <v>0.6</v>
      </c>
      <c r="J27" s="2">
        <f>J25/G25</f>
        <v>0.46666666666666667</v>
      </c>
      <c r="K27" s="2">
        <f>K25/G25</f>
        <v>0.26666666666666666</v>
      </c>
    </row>
    <row r="28" spans="1:12" ht="15.75" customHeight="1">
      <c r="E28" s="1" t="s">
        <v>77</v>
      </c>
      <c r="F28" s="2"/>
      <c r="G28" s="2">
        <f>E25/C25</f>
        <v>0.16379310344827586</v>
      </c>
      <c r="H28" s="2">
        <f>E25/D25</f>
        <v>0.61290322580645162</v>
      </c>
    </row>
  </sheetData>
  <hyperlinks>
    <hyperlink ref="E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30"/>
  <sheetViews>
    <sheetView workbookViewId="0">
      <selection activeCell="G3" sqref="G3:K26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147</v>
      </c>
      <c r="B3" s="1"/>
      <c r="C3" s="1">
        <v>3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148</v>
      </c>
      <c r="B4" s="1"/>
      <c r="C4" s="1">
        <v>3</v>
      </c>
      <c r="D4" s="1">
        <v>2</v>
      </c>
      <c r="E4" s="1">
        <v>0</v>
      </c>
      <c r="F4" s="1">
        <v>0</v>
      </c>
      <c r="G4" s="1" t="b">
        <f t="shared" ref="G4:G26" si="0">(D4&gt;0)</f>
        <v>1</v>
      </c>
      <c r="H4" s="1" t="b">
        <f t="shared" ref="H4:H26" si="1">(E4&gt;0)</f>
        <v>0</v>
      </c>
      <c r="I4" s="1" t="b">
        <f t="shared" ref="I4:I26" si="2">AND(G4,(D4=E4))</f>
        <v>0</v>
      </c>
      <c r="J4" s="1" t="b">
        <f t="shared" ref="J4:J26" si="3">(F4&gt;0)</f>
        <v>0</v>
      </c>
      <c r="K4" s="1" t="b">
        <f t="shared" ref="K4:K26" si="4">AND(I4,(E4=F4))</f>
        <v>0</v>
      </c>
    </row>
    <row r="5" spans="1:11" ht="15.75" customHeight="1">
      <c r="A5" s="1" t="s">
        <v>149</v>
      </c>
      <c r="B5" s="1"/>
      <c r="C5" s="1">
        <v>4</v>
      </c>
      <c r="D5" s="1">
        <v>1</v>
      </c>
      <c r="E5" s="1">
        <v>1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1" ht="15.75" customHeight="1">
      <c r="A6" s="1" t="s">
        <v>150</v>
      </c>
      <c r="B6" s="1"/>
      <c r="C6" s="1">
        <v>4</v>
      </c>
      <c r="D6" s="1">
        <v>4</v>
      </c>
      <c r="E6" s="1">
        <v>3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0</v>
      </c>
      <c r="J6" s="1" t="b">
        <f t="shared" si="3"/>
        <v>1</v>
      </c>
      <c r="K6" s="1" t="b">
        <f t="shared" si="4"/>
        <v>0</v>
      </c>
    </row>
    <row r="7" spans="1:11" ht="15.75" customHeight="1">
      <c r="A7" s="1" t="s">
        <v>151</v>
      </c>
      <c r="B7" s="1"/>
      <c r="C7" s="1">
        <v>4</v>
      </c>
      <c r="D7" s="1">
        <v>2</v>
      </c>
      <c r="E7" s="1">
        <v>2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1" t="s">
        <v>152</v>
      </c>
      <c r="B8" s="1"/>
      <c r="C8" s="1">
        <v>5</v>
      </c>
      <c r="D8" s="1">
        <v>2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0</v>
      </c>
      <c r="J8" s="1" t="b">
        <f t="shared" si="3"/>
        <v>1</v>
      </c>
      <c r="K8" s="1" t="b">
        <f t="shared" si="4"/>
        <v>0</v>
      </c>
    </row>
    <row r="9" spans="1:11" ht="15.75" customHeight="1">
      <c r="A9" s="1" t="s">
        <v>153</v>
      </c>
      <c r="B9" s="1"/>
      <c r="C9" s="1">
        <v>6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154</v>
      </c>
      <c r="B10" s="1"/>
      <c r="C10" s="1">
        <v>4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155</v>
      </c>
      <c r="B11" s="1"/>
      <c r="C11" s="1">
        <v>6</v>
      </c>
      <c r="D11" s="1">
        <v>6</v>
      </c>
      <c r="E11" s="1">
        <v>5</v>
      </c>
      <c r="F11" s="1">
        <v>1</v>
      </c>
      <c r="G11" s="1" t="b">
        <f t="shared" si="0"/>
        <v>1</v>
      </c>
      <c r="H11" s="1" t="b">
        <f t="shared" si="1"/>
        <v>1</v>
      </c>
      <c r="I11" s="1" t="b">
        <f t="shared" si="2"/>
        <v>0</v>
      </c>
      <c r="J11" s="1" t="b">
        <f t="shared" si="3"/>
        <v>1</v>
      </c>
      <c r="K11" s="1" t="b">
        <f t="shared" si="4"/>
        <v>0</v>
      </c>
    </row>
    <row r="12" spans="1:11" ht="15.75" customHeight="1">
      <c r="A12" s="1" t="s">
        <v>156</v>
      </c>
      <c r="B12" s="1"/>
      <c r="C12" s="1">
        <v>6</v>
      </c>
      <c r="D12" s="1">
        <v>1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157</v>
      </c>
      <c r="B13" s="1"/>
      <c r="C13" s="1">
        <v>9</v>
      </c>
      <c r="D13" s="1">
        <v>3</v>
      </c>
      <c r="E13" s="1">
        <v>2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0</v>
      </c>
      <c r="J13" s="1" t="b">
        <f t="shared" si="3"/>
        <v>1</v>
      </c>
      <c r="K13" s="1" t="b">
        <f t="shared" si="4"/>
        <v>0</v>
      </c>
    </row>
    <row r="14" spans="1:11" ht="15.75" customHeight="1">
      <c r="A14" s="1" t="s">
        <v>158</v>
      </c>
      <c r="B14" s="1"/>
      <c r="C14" s="1">
        <v>8</v>
      </c>
      <c r="D14" s="1">
        <v>1</v>
      </c>
      <c r="E14" s="1">
        <v>1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1" t="s">
        <v>159</v>
      </c>
      <c r="B15" s="1"/>
      <c r="C15" s="1">
        <v>4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160</v>
      </c>
      <c r="B16" s="1"/>
      <c r="C16" s="1">
        <v>6</v>
      </c>
      <c r="D16" s="1">
        <v>1</v>
      </c>
      <c r="E16" s="1">
        <v>1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161</v>
      </c>
      <c r="B17" s="1"/>
      <c r="C17" s="1">
        <v>5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162</v>
      </c>
      <c r="B18" s="1"/>
      <c r="C18" s="1">
        <v>5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163</v>
      </c>
      <c r="B19" s="1"/>
      <c r="C19" s="1">
        <v>5</v>
      </c>
      <c r="D19" s="1">
        <v>1</v>
      </c>
      <c r="E19" s="1">
        <v>1</v>
      </c>
      <c r="F19" s="1">
        <v>0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164</v>
      </c>
      <c r="B20" s="1"/>
      <c r="C20" s="1">
        <v>8</v>
      </c>
      <c r="D20" s="1">
        <v>4</v>
      </c>
      <c r="E20" s="1">
        <v>4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165</v>
      </c>
      <c r="B21" s="1"/>
      <c r="C21" s="1">
        <v>8</v>
      </c>
      <c r="D21" s="1">
        <v>3</v>
      </c>
      <c r="E21" s="1">
        <v>3</v>
      </c>
      <c r="F21" s="1">
        <v>1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0</v>
      </c>
    </row>
    <row r="22" spans="1:12" ht="15.75" customHeight="1">
      <c r="A22" s="1" t="s">
        <v>166</v>
      </c>
      <c r="B22" s="1"/>
      <c r="C22" s="1">
        <v>8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167</v>
      </c>
      <c r="B23" s="1"/>
      <c r="C23" s="1">
        <v>6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168</v>
      </c>
      <c r="B24" s="1"/>
      <c r="C24" s="1">
        <v>2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169</v>
      </c>
      <c r="B25" s="1"/>
      <c r="C25" s="1">
        <v>4</v>
      </c>
      <c r="D25" s="1">
        <v>1</v>
      </c>
      <c r="E25" s="1">
        <v>0</v>
      </c>
      <c r="F25" s="1">
        <v>0</v>
      </c>
      <c r="G25" s="1" t="b">
        <f t="shared" si="0"/>
        <v>1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170</v>
      </c>
      <c r="B26" s="1"/>
      <c r="C26" s="1">
        <v>2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B27" s="1" t="s">
        <v>75</v>
      </c>
      <c r="C27" s="1">
        <f t="shared" ref="C27:F27" si="5">SUM(C2:C26)</f>
        <v>125</v>
      </c>
      <c r="D27" s="1">
        <f t="shared" si="5"/>
        <v>32</v>
      </c>
      <c r="E27" s="1">
        <f t="shared" si="5"/>
        <v>24</v>
      </c>
      <c r="F27" s="1">
        <f t="shared" si="5"/>
        <v>9</v>
      </c>
      <c r="G27" s="1">
        <f t="shared" ref="G27:K27" si="6">COUNTIF(G3:G26,"TRUE")</f>
        <v>14</v>
      </c>
      <c r="H27" s="1">
        <f t="shared" si="6"/>
        <v>11</v>
      </c>
      <c r="I27" s="1">
        <f t="shared" si="6"/>
        <v>7</v>
      </c>
      <c r="J27" s="1">
        <f t="shared" si="6"/>
        <v>8</v>
      </c>
      <c r="K27" s="1">
        <f t="shared" si="6"/>
        <v>3</v>
      </c>
      <c r="L27" s="5">
        <f>COUNTA(E3:E26)</f>
        <v>24</v>
      </c>
    </row>
    <row r="28" spans="1:12" ht="15.75" customHeight="1">
      <c r="E28" s="1" t="s">
        <v>3</v>
      </c>
      <c r="F28" s="2"/>
      <c r="G28" s="2">
        <f>G27/L27</f>
        <v>0.58333333333333337</v>
      </c>
      <c r="H28" s="2">
        <f>H27/L27</f>
        <v>0.45833333333333331</v>
      </c>
      <c r="I28" s="2">
        <f>I27/L27</f>
        <v>0.29166666666666669</v>
      </c>
      <c r="J28" s="2">
        <f>J27/L27</f>
        <v>0.33333333333333331</v>
      </c>
      <c r="K28" s="2">
        <f>K27/L27</f>
        <v>0.125</v>
      </c>
    </row>
    <row r="29" spans="1:12" ht="15.75" customHeight="1">
      <c r="E29" s="1" t="s">
        <v>76</v>
      </c>
      <c r="F29" s="2"/>
      <c r="G29" s="2"/>
      <c r="H29" s="2">
        <f>H27/G27</f>
        <v>0.7857142857142857</v>
      </c>
      <c r="I29" s="2">
        <f>I27/G27</f>
        <v>0.5</v>
      </c>
      <c r="J29" s="2">
        <f>J27/G27</f>
        <v>0.5714285714285714</v>
      </c>
      <c r="K29" s="2">
        <f>K27/G27</f>
        <v>0.21428571428571427</v>
      </c>
    </row>
    <row r="30" spans="1:12" ht="15.75" customHeight="1">
      <c r="E30" s="1" t="s">
        <v>77</v>
      </c>
      <c r="F30" s="2"/>
      <c r="G30" s="2">
        <f>E27/C27</f>
        <v>0.192</v>
      </c>
      <c r="H30" s="2">
        <f>E27/D27</f>
        <v>0.75</v>
      </c>
    </row>
  </sheetData>
  <hyperlinks>
    <hyperlink ref="E1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37"/>
  <sheetViews>
    <sheetView workbookViewId="0">
      <selection activeCell="G3" sqref="G3:K33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171</v>
      </c>
      <c r="B3" s="1"/>
      <c r="C3" s="1">
        <v>5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172</v>
      </c>
      <c r="B4" s="1"/>
      <c r="C4" s="1">
        <v>4</v>
      </c>
      <c r="D4" s="1">
        <v>1</v>
      </c>
      <c r="E4" s="1">
        <v>1</v>
      </c>
      <c r="F4" s="1">
        <v>1</v>
      </c>
      <c r="G4" s="1" t="b">
        <f t="shared" ref="G4:G33" si="0">(D4&gt;0)</f>
        <v>1</v>
      </c>
      <c r="H4" s="1" t="b">
        <f t="shared" ref="H4:H33" si="1">(E4&gt;0)</f>
        <v>1</v>
      </c>
      <c r="I4" s="1" t="b">
        <f t="shared" ref="I4:I33" si="2">AND(G4,(D4=E4))</f>
        <v>1</v>
      </c>
      <c r="J4" s="1" t="b">
        <f t="shared" ref="J4:J33" si="3">(F4&gt;0)</f>
        <v>1</v>
      </c>
      <c r="K4" s="1" t="b">
        <f t="shared" ref="K4:K33" si="4">AND(I4,(E4=F4))</f>
        <v>1</v>
      </c>
    </row>
    <row r="5" spans="1:11" ht="15.75" customHeight="1">
      <c r="A5" s="1" t="s">
        <v>173</v>
      </c>
      <c r="B5" s="1"/>
      <c r="C5" s="1">
        <v>3</v>
      </c>
      <c r="D5" s="1">
        <v>2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174</v>
      </c>
      <c r="B6" s="1"/>
      <c r="C6" s="1">
        <v>5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175</v>
      </c>
      <c r="B7" s="1"/>
      <c r="C7" s="1">
        <v>5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176</v>
      </c>
      <c r="B8" s="1"/>
      <c r="C8" s="1">
        <v>4</v>
      </c>
      <c r="D8" s="1">
        <v>1</v>
      </c>
      <c r="E8" s="1">
        <v>1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177</v>
      </c>
      <c r="B9" s="1"/>
      <c r="C9" s="1">
        <v>4</v>
      </c>
      <c r="D9" s="1">
        <v>2</v>
      </c>
      <c r="E9" s="1">
        <v>2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178</v>
      </c>
      <c r="B10" s="1"/>
      <c r="C10" s="1">
        <v>4</v>
      </c>
      <c r="D10" s="1">
        <v>1</v>
      </c>
      <c r="E10" s="1">
        <v>1</v>
      </c>
      <c r="F10" s="1">
        <v>1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1" t="s">
        <v>179</v>
      </c>
      <c r="B11" s="1"/>
      <c r="C11" s="1">
        <v>5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180</v>
      </c>
      <c r="B12" s="1"/>
      <c r="C12" s="1">
        <v>4</v>
      </c>
      <c r="D12" s="1">
        <v>1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181</v>
      </c>
      <c r="B13" s="1"/>
      <c r="C13" s="1">
        <v>6</v>
      </c>
      <c r="D13" s="1">
        <v>1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182</v>
      </c>
      <c r="B14" s="1"/>
      <c r="C14" s="1">
        <v>6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183</v>
      </c>
      <c r="B15" s="1"/>
      <c r="C15" s="1">
        <v>7</v>
      </c>
      <c r="D15" s="1">
        <v>4</v>
      </c>
      <c r="E15" s="1">
        <v>1</v>
      </c>
      <c r="F15" s="1">
        <v>1</v>
      </c>
      <c r="G15" s="1" t="b">
        <f t="shared" si="0"/>
        <v>1</v>
      </c>
      <c r="H15" s="1" t="b">
        <f t="shared" si="1"/>
        <v>1</v>
      </c>
      <c r="I15" s="1" t="b">
        <f t="shared" si="2"/>
        <v>0</v>
      </c>
      <c r="J15" s="1" t="b">
        <f t="shared" si="3"/>
        <v>1</v>
      </c>
      <c r="K15" s="1" t="b">
        <f t="shared" si="4"/>
        <v>0</v>
      </c>
    </row>
    <row r="16" spans="1:11" ht="15.75" customHeight="1">
      <c r="A16" s="1" t="s">
        <v>184</v>
      </c>
      <c r="B16" s="1"/>
      <c r="C16" s="1">
        <v>5</v>
      </c>
      <c r="D16" s="1">
        <v>1</v>
      </c>
      <c r="E16" s="1">
        <v>1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185</v>
      </c>
      <c r="B17" s="1"/>
      <c r="C17" s="1">
        <v>7</v>
      </c>
      <c r="D17" s="1">
        <v>5</v>
      </c>
      <c r="E17" s="1">
        <v>5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0</v>
      </c>
    </row>
    <row r="18" spans="1:12" ht="15.75" customHeight="1">
      <c r="A18" s="1" t="s">
        <v>186</v>
      </c>
      <c r="B18" s="1"/>
      <c r="C18" s="1">
        <v>7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187</v>
      </c>
      <c r="B19" s="1"/>
      <c r="C19" s="1">
        <v>7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188</v>
      </c>
      <c r="B20" s="1"/>
      <c r="C20" s="1">
        <v>6</v>
      </c>
      <c r="D20" s="1">
        <v>4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189</v>
      </c>
      <c r="B21" s="1"/>
      <c r="C21" s="1">
        <v>6</v>
      </c>
      <c r="D21" s="1">
        <v>1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190</v>
      </c>
      <c r="B22" s="1"/>
      <c r="C22" s="1">
        <v>4</v>
      </c>
      <c r="D22" s="1">
        <v>1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191</v>
      </c>
      <c r="B23" s="1"/>
      <c r="C23" s="1">
        <v>6</v>
      </c>
      <c r="D23" s="1">
        <v>1</v>
      </c>
      <c r="E23" s="1">
        <v>1</v>
      </c>
      <c r="F23" s="1">
        <v>1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1</v>
      </c>
    </row>
    <row r="24" spans="1:12" ht="15.75" customHeight="1">
      <c r="A24" s="1" t="s">
        <v>192</v>
      </c>
      <c r="B24" s="1"/>
      <c r="C24" s="1">
        <v>10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193</v>
      </c>
      <c r="B25" s="1"/>
      <c r="C25" s="1">
        <v>6</v>
      </c>
      <c r="D25" s="1">
        <v>1</v>
      </c>
      <c r="E25" s="1">
        <v>0</v>
      </c>
      <c r="F25" s="1">
        <v>0</v>
      </c>
      <c r="G25" s="1" t="b">
        <f t="shared" si="0"/>
        <v>1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194</v>
      </c>
      <c r="B26" s="1"/>
      <c r="C26" s="1">
        <v>4</v>
      </c>
      <c r="D26" s="1">
        <v>3</v>
      </c>
      <c r="E26" s="1">
        <v>3</v>
      </c>
      <c r="F26" s="1">
        <v>2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0</v>
      </c>
    </row>
    <row r="27" spans="1:12" ht="15.75" customHeight="1">
      <c r="A27" s="1" t="s">
        <v>195</v>
      </c>
      <c r="B27" s="1"/>
      <c r="C27" s="1">
        <v>7</v>
      </c>
      <c r="D27" s="1">
        <v>3</v>
      </c>
      <c r="E27" s="1">
        <v>1</v>
      </c>
      <c r="F27" s="1">
        <v>0</v>
      </c>
      <c r="G27" s="1" t="b">
        <f t="shared" si="0"/>
        <v>1</v>
      </c>
      <c r="H27" s="1" t="b">
        <f t="shared" si="1"/>
        <v>1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196</v>
      </c>
      <c r="B28" s="1"/>
      <c r="C28" s="1">
        <v>9</v>
      </c>
      <c r="D28" s="1">
        <v>1</v>
      </c>
      <c r="E28" s="1">
        <v>0</v>
      </c>
      <c r="F28" s="1">
        <v>0</v>
      </c>
      <c r="G28" s="1" t="b">
        <f t="shared" si="0"/>
        <v>1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197</v>
      </c>
      <c r="B29" s="1"/>
      <c r="C29" s="1">
        <v>7</v>
      </c>
      <c r="D29" s="1">
        <v>2</v>
      </c>
      <c r="E29" s="1">
        <v>2</v>
      </c>
      <c r="F29" s="1">
        <v>2</v>
      </c>
      <c r="G29" s="1" t="b">
        <f t="shared" si="0"/>
        <v>1</v>
      </c>
      <c r="H29" s="1" t="b">
        <f t="shared" si="1"/>
        <v>1</v>
      </c>
      <c r="I29" s="1" t="b">
        <f t="shared" si="2"/>
        <v>1</v>
      </c>
      <c r="J29" s="1" t="b">
        <f t="shared" si="3"/>
        <v>1</v>
      </c>
      <c r="K29" s="1" t="b">
        <f t="shared" si="4"/>
        <v>1</v>
      </c>
    </row>
    <row r="30" spans="1:12" ht="15.75" customHeight="1">
      <c r="A30" s="1" t="s">
        <v>198</v>
      </c>
      <c r="B30" s="1"/>
      <c r="C30" s="1">
        <v>4</v>
      </c>
      <c r="D30" s="1">
        <v>3</v>
      </c>
      <c r="E30" s="1">
        <v>1</v>
      </c>
      <c r="F30" s="1">
        <v>1</v>
      </c>
      <c r="G30" s="1" t="b">
        <f t="shared" si="0"/>
        <v>1</v>
      </c>
      <c r="H30" s="1" t="b">
        <f t="shared" si="1"/>
        <v>1</v>
      </c>
      <c r="I30" s="1" t="b">
        <f t="shared" si="2"/>
        <v>0</v>
      </c>
      <c r="J30" s="1" t="b">
        <f t="shared" si="3"/>
        <v>1</v>
      </c>
      <c r="K30" s="1" t="b">
        <f t="shared" si="4"/>
        <v>0</v>
      </c>
    </row>
    <row r="31" spans="1:12" ht="15.75" customHeight="1">
      <c r="A31" s="1" t="s">
        <v>199</v>
      </c>
      <c r="B31" s="1"/>
      <c r="C31" s="1">
        <v>7</v>
      </c>
      <c r="D31" s="1">
        <v>0</v>
      </c>
      <c r="E31" s="1">
        <v>0</v>
      </c>
      <c r="F31" s="1">
        <v>0</v>
      </c>
      <c r="G31" s="1" t="b">
        <f t="shared" si="0"/>
        <v>0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2" ht="15.75" customHeight="1">
      <c r="A32" s="1" t="s">
        <v>200</v>
      </c>
      <c r="B32" s="1"/>
      <c r="C32" s="1">
        <v>5</v>
      </c>
      <c r="D32" s="1">
        <v>0</v>
      </c>
      <c r="E32" s="1">
        <v>0</v>
      </c>
      <c r="F32" s="1">
        <v>0</v>
      </c>
      <c r="G32" s="1" t="b">
        <f t="shared" si="0"/>
        <v>0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  <c r="L32" s="1"/>
    </row>
    <row r="33" spans="1:12" ht="15.75" customHeight="1">
      <c r="A33" s="1" t="s">
        <v>201</v>
      </c>
      <c r="B33" s="1"/>
      <c r="C33" s="1">
        <v>2</v>
      </c>
      <c r="D33" s="1">
        <v>2</v>
      </c>
      <c r="E33" s="1">
        <v>1</v>
      </c>
      <c r="F33" s="1">
        <v>1</v>
      </c>
      <c r="G33" s="1" t="b">
        <f t="shared" si="0"/>
        <v>1</v>
      </c>
      <c r="H33" s="1" t="b">
        <f t="shared" si="1"/>
        <v>1</v>
      </c>
      <c r="I33" s="1" t="b">
        <f t="shared" si="2"/>
        <v>0</v>
      </c>
      <c r="J33" s="1" t="b">
        <f t="shared" si="3"/>
        <v>1</v>
      </c>
      <c r="K33" s="1" t="b">
        <f t="shared" si="4"/>
        <v>0</v>
      </c>
      <c r="L33" s="1" t="s">
        <v>74</v>
      </c>
    </row>
    <row r="34" spans="1:12" ht="15.75" customHeight="1">
      <c r="B34" s="1" t="s">
        <v>75</v>
      </c>
      <c r="C34" s="1">
        <f t="shared" ref="C34:F34" si="5">SUM(C2:C33)</f>
        <v>171</v>
      </c>
      <c r="D34" s="1">
        <f t="shared" si="5"/>
        <v>42</v>
      </c>
      <c r="E34" s="1">
        <f t="shared" si="5"/>
        <v>21</v>
      </c>
      <c r="F34" s="1">
        <f t="shared" si="5"/>
        <v>11</v>
      </c>
      <c r="G34" s="1">
        <f t="shared" ref="G34:K34" si="6">COUNTIF(G3:G33,"TRUE")</f>
        <v>22</v>
      </c>
      <c r="H34" s="1">
        <f t="shared" si="6"/>
        <v>13</v>
      </c>
      <c r="I34" s="1">
        <f t="shared" si="6"/>
        <v>9</v>
      </c>
      <c r="J34" s="1">
        <f t="shared" si="6"/>
        <v>9</v>
      </c>
      <c r="K34" s="1">
        <f t="shared" si="6"/>
        <v>4</v>
      </c>
      <c r="L34" s="5">
        <f>COUNTA(E3:E33)</f>
        <v>31</v>
      </c>
    </row>
    <row r="35" spans="1:12" ht="15.75" customHeight="1">
      <c r="E35" s="1" t="s">
        <v>3</v>
      </c>
      <c r="F35" s="2"/>
      <c r="G35" s="2">
        <f>G34/L34</f>
        <v>0.70967741935483875</v>
      </c>
      <c r="H35" s="2">
        <f>H34/L34</f>
        <v>0.41935483870967744</v>
      </c>
      <c r="I35" s="2">
        <f>I34/L34</f>
        <v>0.29032258064516131</v>
      </c>
      <c r="J35" s="2">
        <f>J34/L34</f>
        <v>0.29032258064516131</v>
      </c>
      <c r="K35" s="2">
        <f>K34/L34</f>
        <v>0.12903225806451613</v>
      </c>
    </row>
    <row r="36" spans="1:12" ht="15.75" customHeight="1">
      <c r="E36" s="1" t="s">
        <v>76</v>
      </c>
      <c r="F36" s="2"/>
      <c r="G36" s="2"/>
      <c r="H36" s="2">
        <f>H34/G34</f>
        <v>0.59090909090909094</v>
      </c>
      <c r="I36" s="2">
        <f>I34/G34</f>
        <v>0.40909090909090912</v>
      </c>
      <c r="J36" s="2">
        <f>J34/G34</f>
        <v>0.40909090909090912</v>
      </c>
      <c r="K36" s="2">
        <f>K34/G34</f>
        <v>0.18181818181818182</v>
      </c>
    </row>
    <row r="37" spans="1:12" ht="15.75" customHeight="1">
      <c r="E37" s="1" t="s">
        <v>77</v>
      </c>
      <c r="F37" s="2"/>
      <c r="G37" s="2">
        <f>E34/C34</f>
        <v>0.12280701754385964</v>
      </c>
      <c r="H37" s="2">
        <f>E34/D34</f>
        <v>0.5</v>
      </c>
    </row>
  </sheetData>
  <hyperlinks>
    <hyperlink ref="E1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22"/>
  <sheetViews>
    <sheetView workbookViewId="0">
      <selection activeCell="G3" sqref="G3:K1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202</v>
      </c>
      <c r="B3" s="1"/>
      <c r="C3" s="1">
        <v>6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203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18" si="0">(D4&gt;0)</f>
        <v>0</v>
      </c>
      <c r="H4" s="1" t="b">
        <f t="shared" ref="H4:H18" si="1">(E4&gt;0)</f>
        <v>0</v>
      </c>
      <c r="I4" s="1" t="b">
        <f t="shared" ref="I4:I18" si="2">AND(G4,(D4=E4))</f>
        <v>0</v>
      </c>
      <c r="J4" s="1" t="b">
        <f t="shared" ref="J4:J18" si="3">(F4&gt;0)</f>
        <v>0</v>
      </c>
      <c r="K4" s="1" t="b">
        <f t="shared" ref="K4:K18" si="4">AND(I4,(E4=F4))</f>
        <v>0</v>
      </c>
    </row>
    <row r="5" spans="1:11" ht="15.75" customHeight="1">
      <c r="A5" s="1" t="s">
        <v>204</v>
      </c>
      <c r="B5" s="1"/>
      <c r="C5" s="1">
        <v>5</v>
      </c>
      <c r="D5" s="1">
        <v>2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205</v>
      </c>
      <c r="B6" s="1"/>
      <c r="C6" s="1">
        <v>6</v>
      </c>
      <c r="D6" s="1">
        <v>2</v>
      </c>
      <c r="E6" s="1">
        <v>2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206</v>
      </c>
      <c r="B7" s="1"/>
      <c r="C7" s="1">
        <v>3</v>
      </c>
      <c r="D7" s="1">
        <v>1</v>
      </c>
      <c r="E7" s="1">
        <v>1</v>
      </c>
      <c r="F7" s="1">
        <v>1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1" t="s">
        <v>207</v>
      </c>
      <c r="B8" s="1"/>
      <c r="C8" s="1">
        <v>3</v>
      </c>
      <c r="D8" s="1">
        <v>1</v>
      </c>
      <c r="E8" s="1">
        <v>1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208</v>
      </c>
      <c r="B9" s="1"/>
      <c r="C9" s="1">
        <v>9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209</v>
      </c>
      <c r="B10" s="1"/>
      <c r="C10" s="1">
        <v>5</v>
      </c>
      <c r="D10" s="1">
        <v>1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210</v>
      </c>
      <c r="B11" s="1"/>
      <c r="C11" s="1">
        <v>8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211</v>
      </c>
      <c r="B12" s="1"/>
      <c r="C12" s="1">
        <v>4</v>
      </c>
      <c r="D12" s="1">
        <v>4</v>
      </c>
      <c r="E12" s="1">
        <v>2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212</v>
      </c>
      <c r="B13" s="1"/>
      <c r="C13" s="1">
        <v>6</v>
      </c>
      <c r="D13" s="1">
        <v>4</v>
      </c>
      <c r="E13" s="1">
        <v>1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0</v>
      </c>
      <c r="J13" s="1" t="b">
        <f t="shared" si="3"/>
        <v>1</v>
      </c>
      <c r="K13" s="1" t="b">
        <f t="shared" si="4"/>
        <v>0</v>
      </c>
    </row>
    <row r="14" spans="1:11" ht="15.75" customHeight="1">
      <c r="A14" s="1" t="s">
        <v>213</v>
      </c>
      <c r="B14" s="1"/>
      <c r="C14" s="1">
        <v>8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214</v>
      </c>
      <c r="B15" s="1"/>
      <c r="C15" s="1">
        <v>4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215</v>
      </c>
      <c r="B16" s="1"/>
      <c r="C16" s="1">
        <v>6</v>
      </c>
      <c r="D16" s="1">
        <v>1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216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217</v>
      </c>
      <c r="B18" s="1"/>
      <c r="C18" s="1">
        <v>5</v>
      </c>
      <c r="D18" s="1">
        <v>1</v>
      </c>
      <c r="E18" s="1">
        <v>1</v>
      </c>
      <c r="F18" s="1">
        <v>1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B19" s="1" t="s">
        <v>75</v>
      </c>
      <c r="C19" s="1">
        <f t="shared" ref="C19:F19" si="5">SUM(C2:C18)</f>
        <v>88</v>
      </c>
      <c r="D19" s="1">
        <f t="shared" si="5"/>
        <v>17</v>
      </c>
      <c r="E19" s="1">
        <f t="shared" si="5"/>
        <v>8</v>
      </c>
      <c r="F19" s="1">
        <f t="shared" si="5"/>
        <v>3</v>
      </c>
      <c r="G19" s="1">
        <f t="shared" ref="G19:K19" si="6">COUNTIF(G3:G18,"TRUE")</f>
        <v>9</v>
      </c>
      <c r="H19" s="1">
        <f t="shared" si="6"/>
        <v>6</v>
      </c>
      <c r="I19" s="1">
        <f t="shared" si="6"/>
        <v>4</v>
      </c>
      <c r="J19" s="1">
        <f t="shared" si="6"/>
        <v>3</v>
      </c>
      <c r="K19" s="1">
        <f t="shared" si="6"/>
        <v>2</v>
      </c>
      <c r="L19" s="5">
        <f>COUNTA(E3:E18)</f>
        <v>16</v>
      </c>
    </row>
    <row r="20" spans="1:12" ht="15.75" customHeight="1">
      <c r="E20" s="1" t="s">
        <v>3</v>
      </c>
      <c r="F20" s="2"/>
      <c r="G20" s="2">
        <f>G19/L19</f>
        <v>0.5625</v>
      </c>
      <c r="H20" s="2">
        <f>H19/L19</f>
        <v>0.375</v>
      </c>
      <c r="I20" s="2">
        <f>I19/L19</f>
        <v>0.25</v>
      </c>
      <c r="J20" s="2">
        <f>J19/L19</f>
        <v>0.1875</v>
      </c>
      <c r="K20" s="2">
        <f>K19/L19</f>
        <v>0.125</v>
      </c>
    </row>
    <row r="21" spans="1:12" ht="15.75" customHeight="1">
      <c r="E21" s="1" t="s">
        <v>76</v>
      </c>
      <c r="F21" s="2"/>
      <c r="G21" s="2"/>
      <c r="H21" s="2">
        <f>H19/G19</f>
        <v>0.66666666666666663</v>
      </c>
      <c r="I21" s="2">
        <f>I19/G19</f>
        <v>0.44444444444444442</v>
      </c>
      <c r="J21" s="2">
        <f>J19/G19</f>
        <v>0.33333333333333331</v>
      </c>
      <c r="K21" s="2">
        <f>K19/G19</f>
        <v>0.22222222222222221</v>
      </c>
    </row>
    <row r="22" spans="1:12" ht="15.75" customHeight="1">
      <c r="E22" s="1" t="s">
        <v>77</v>
      </c>
      <c r="F22" s="2"/>
      <c r="G22" s="2">
        <f>E19/C19</f>
        <v>9.0909090909090912E-2</v>
      </c>
      <c r="H22" s="2">
        <f>E19/D19</f>
        <v>0.47058823529411764</v>
      </c>
    </row>
  </sheetData>
  <hyperlinks>
    <hyperlink ref="E1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26"/>
  <sheetViews>
    <sheetView workbookViewId="0">
      <selection activeCell="G3" sqref="G3:K2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218</v>
      </c>
      <c r="B3" s="1"/>
      <c r="C3" s="1">
        <v>3</v>
      </c>
      <c r="D3" s="1">
        <v>3</v>
      </c>
      <c r="E3" s="1">
        <v>0</v>
      </c>
      <c r="F3" s="1">
        <v>0</v>
      </c>
      <c r="G3" s="1" t="b">
        <f>(D3&gt;0)</f>
        <v>1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219</v>
      </c>
      <c r="B4" s="1"/>
      <c r="C4" s="1">
        <v>4</v>
      </c>
      <c r="D4" s="1">
        <v>2</v>
      </c>
      <c r="E4" s="1">
        <v>2</v>
      </c>
      <c r="F4" s="1">
        <v>2</v>
      </c>
      <c r="G4" s="1" t="b">
        <f t="shared" ref="G4:G22" si="0">(D4&gt;0)</f>
        <v>1</v>
      </c>
      <c r="H4" s="1" t="b">
        <f t="shared" ref="H4:H22" si="1">(E4&gt;0)</f>
        <v>1</v>
      </c>
      <c r="I4" s="1" t="b">
        <f t="shared" ref="I4:I22" si="2">AND(G4,(D4=E4))</f>
        <v>1</v>
      </c>
      <c r="J4" s="1" t="b">
        <f t="shared" ref="J4:J22" si="3">(F4&gt;0)</f>
        <v>1</v>
      </c>
      <c r="K4" s="1" t="b">
        <f t="shared" ref="K4:K22" si="4">AND(I4,(E4=F4))</f>
        <v>1</v>
      </c>
    </row>
    <row r="5" spans="1:11" ht="15.75" customHeight="1">
      <c r="A5" s="1" t="s">
        <v>220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221</v>
      </c>
      <c r="B6" s="1"/>
      <c r="C6" s="1">
        <v>5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222</v>
      </c>
      <c r="B7" s="1"/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223</v>
      </c>
      <c r="B8" s="1"/>
      <c r="C8" s="1">
        <v>3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224</v>
      </c>
      <c r="B9" s="1"/>
      <c r="C9" s="1">
        <v>2</v>
      </c>
      <c r="D9" s="1">
        <v>1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225</v>
      </c>
      <c r="B10" s="1"/>
      <c r="C10" s="1">
        <v>3</v>
      </c>
      <c r="D10" s="1">
        <v>1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226</v>
      </c>
      <c r="B11" s="1"/>
      <c r="C11" s="1">
        <v>5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227</v>
      </c>
      <c r="B12" s="1"/>
      <c r="C12" s="1">
        <v>3</v>
      </c>
      <c r="D12" s="1">
        <v>3</v>
      </c>
      <c r="E12" s="1">
        <v>3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228</v>
      </c>
      <c r="B13" s="1"/>
      <c r="C13" s="1">
        <v>5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229</v>
      </c>
      <c r="B14" s="1"/>
      <c r="C14" s="1">
        <v>7</v>
      </c>
      <c r="D14" s="1">
        <v>1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230</v>
      </c>
      <c r="B15" s="1"/>
      <c r="C15" s="1">
        <v>5</v>
      </c>
      <c r="D15" s="1">
        <v>4</v>
      </c>
      <c r="E15" s="1">
        <v>1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231</v>
      </c>
      <c r="B16" s="1"/>
      <c r="C16" s="1">
        <v>8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232</v>
      </c>
      <c r="B17" s="1"/>
      <c r="C17" s="1">
        <v>8</v>
      </c>
      <c r="D17" s="1">
        <v>1</v>
      </c>
      <c r="E17" s="1">
        <v>1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2" ht="15.75" customHeight="1">
      <c r="A18" s="1" t="s">
        <v>233</v>
      </c>
      <c r="B18" s="1"/>
      <c r="C18" s="1">
        <v>10</v>
      </c>
      <c r="D18" s="1">
        <v>2</v>
      </c>
      <c r="E18" s="1">
        <v>0</v>
      </c>
      <c r="F18" s="1">
        <v>0</v>
      </c>
      <c r="G18" s="1" t="b">
        <f t="shared" si="0"/>
        <v>1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234</v>
      </c>
      <c r="B19" s="1"/>
      <c r="C19" s="1">
        <v>7</v>
      </c>
      <c r="D19" s="1">
        <v>3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235</v>
      </c>
      <c r="B20" s="1"/>
      <c r="C20" s="1">
        <v>5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236</v>
      </c>
      <c r="B21" s="1"/>
      <c r="C21" s="1">
        <v>6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237</v>
      </c>
      <c r="B22" s="1"/>
      <c r="C22" s="1">
        <v>2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B23" s="1" t="s">
        <v>75</v>
      </c>
      <c r="C23" s="1">
        <f t="shared" ref="C23:F23" si="5">SUM(C2:C22)</f>
        <v>99</v>
      </c>
      <c r="D23" s="1">
        <f t="shared" si="5"/>
        <v>22</v>
      </c>
      <c r="E23" s="1">
        <f t="shared" si="5"/>
        <v>7</v>
      </c>
      <c r="F23" s="1">
        <f t="shared" si="5"/>
        <v>3</v>
      </c>
      <c r="G23" s="1">
        <f t="shared" ref="G23:K23" si="6">COUNTIF(G3:G22,"TRUE")</f>
        <v>11</v>
      </c>
      <c r="H23" s="1">
        <f t="shared" si="6"/>
        <v>4</v>
      </c>
      <c r="I23" s="1">
        <f t="shared" si="6"/>
        <v>3</v>
      </c>
      <c r="J23" s="1">
        <f t="shared" si="6"/>
        <v>2</v>
      </c>
      <c r="K23" s="1">
        <f t="shared" si="6"/>
        <v>2</v>
      </c>
      <c r="L23" s="5">
        <f>COUNTA(E3:E22)</f>
        <v>20</v>
      </c>
    </row>
    <row r="24" spans="1:12" ht="15.75" customHeight="1">
      <c r="E24" s="1" t="s">
        <v>3</v>
      </c>
      <c r="F24" s="2"/>
      <c r="G24" s="2">
        <f>G23/L23</f>
        <v>0.55000000000000004</v>
      </c>
      <c r="H24" s="2">
        <f>H23/L23</f>
        <v>0.2</v>
      </c>
      <c r="I24" s="2">
        <f>I23/L23</f>
        <v>0.15</v>
      </c>
      <c r="J24" s="2">
        <f>J23/L23</f>
        <v>0.1</v>
      </c>
      <c r="K24" s="2">
        <f>K23/L23</f>
        <v>0.1</v>
      </c>
    </row>
    <row r="25" spans="1:12" ht="15.75" customHeight="1">
      <c r="E25" s="1" t="s">
        <v>76</v>
      </c>
      <c r="F25" s="2"/>
      <c r="G25" s="2"/>
      <c r="H25" s="2">
        <f>H23/G23</f>
        <v>0.36363636363636365</v>
      </c>
      <c r="I25" s="2">
        <f>I23/G23</f>
        <v>0.27272727272727271</v>
      </c>
      <c r="J25" s="2">
        <f>J23/G23</f>
        <v>0.18181818181818182</v>
      </c>
      <c r="K25" s="2">
        <f>K23/G23</f>
        <v>0.18181818181818182</v>
      </c>
    </row>
    <row r="26" spans="1:12" ht="15.75" customHeight="1">
      <c r="E26" s="1" t="s">
        <v>77</v>
      </c>
      <c r="F26" s="2"/>
      <c r="G26" s="2">
        <f>E23/C23</f>
        <v>7.0707070707070704E-2</v>
      </c>
      <c r="H26" s="2">
        <f>E23/D23</f>
        <v>0.31818181818181818</v>
      </c>
    </row>
  </sheetData>
  <hyperlinks>
    <hyperlink ref="E1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20"/>
  <sheetViews>
    <sheetView workbookViewId="0">
      <selection activeCell="G3" sqref="G3:K16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238</v>
      </c>
      <c r="B3" s="1"/>
      <c r="C3" s="1">
        <v>3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239</v>
      </c>
      <c r="B4" s="1"/>
      <c r="C4" s="1">
        <v>4</v>
      </c>
      <c r="D4" s="1">
        <v>3</v>
      </c>
      <c r="E4" s="1">
        <v>3</v>
      </c>
      <c r="F4" s="1">
        <v>0</v>
      </c>
      <c r="G4" s="1" t="b">
        <f t="shared" ref="G4:G16" si="0">(D4&gt;0)</f>
        <v>1</v>
      </c>
      <c r="H4" s="1" t="b">
        <f t="shared" ref="H4:H16" si="1">(E4&gt;0)</f>
        <v>1</v>
      </c>
      <c r="I4" s="1" t="b">
        <f t="shared" ref="I4:I16" si="2">AND(G4,(D4=E4))</f>
        <v>1</v>
      </c>
      <c r="J4" s="1" t="b">
        <f t="shared" ref="J4:J16" si="3">(F4&gt;0)</f>
        <v>0</v>
      </c>
      <c r="K4" s="1" t="b">
        <f t="shared" ref="K4:K16" si="4">AND(I4,(E4=F4))</f>
        <v>0</v>
      </c>
    </row>
    <row r="5" spans="1:11" ht="15.75" customHeight="1">
      <c r="A5" s="1" t="s">
        <v>240</v>
      </c>
      <c r="B5" s="1"/>
      <c r="C5" s="1">
        <v>7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241</v>
      </c>
      <c r="B6" s="1"/>
      <c r="C6" s="1">
        <v>6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242</v>
      </c>
      <c r="B7" s="1"/>
      <c r="C7" s="1">
        <v>8</v>
      </c>
      <c r="D7" s="1">
        <v>3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243</v>
      </c>
      <c r="B8" s="1"/>
      <c r="C8" s="1">
        <v>5</v>
      </c>
      <c r="D8" s="1">
        <v>2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244</v>
      </c>
      <c r="B9" s="1"/>
      <c r="C9" s="1">
        <v>7</v>
      </c>
      <c r="D9" s="1">
        <v>2</v>
      </c>
      <c r="E9" s="1">
        <v>2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245</v>
      </c>
      <c r="B10" s="1"/>
      <c r="C10" s="1">
        <v>6</v>
      </c>
      <c r="D10" s="1">
        <v>2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246</v>
      </c>
      <c r="B11" s="1"/>
      <c r="C11" s="1">
        <v>8</v>
      </c>
      <c r="D11" s="1">
        <v>4</v>
      </c>
      <c r="E11" s="1">
        <v>4</v>
      </c>
      <c r="F11" s="1">
        <v>2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0</v>
      </c>
    </row>
    <row r="12" spans="1:11" ht="15.75" customHeight="1">
      <c r="A12" s="1" t="s">
        <v>247</v>
      </c>
      <c r="B12" s="1"/>
      <c r="C12" s="1">
        <v>4</v>
      </c>
      <c r="D12" s="1">
        <v>3</v>
      </c>
      <c r="E12" s="1">
        <v>3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248</v>
      </c>
      <c r="B13" s="1"/>
      <c r="C13" s="1">
        <v>6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249</v>
      </c>
      <c r="B14" s="1"/>
      <c r="C14" s="1">
        <v>6</v>
      </c>
      <c r="D14" s="1">
        <v>5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250</v>
      </c>
      <c r="B15" s="1"/>
      <c r="C15" s="1">
        <v>5</v>
      </c>
      <c r="D15" s="1">
        <v>1</v>
      </c>
      <c r="E15" s="1">
        <v>0</v>
      </c>
      <c r="F15" s="1">
        <v>0</v>
      </c>
      <c r="G15" s="1" t="b">
        <f t="shared" si="0"/>
        <v>1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251</v>
      </c>
      <c r="B16" s="1"/>
      <c r="C16" s="1">
        <v>7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2:12" ht="15.75" customHeight="1">
      <c r="B17" s="1" t="s">
        <v>75</v>
      </c>
      <c r="C17" s="1">
        <f t="shared" ref="C17:F17" si="5">SUM(C2:C16)</f>
        <v>82</v>
      </c>
      <c r="D17" s="1">
        <f t="shared" si="5"/>
        <v>25</v>
      </c>
      <c r="E17" s="1">
        <f t="shared" si="5"/>
        <v>12</v>
      </c>
      <c r="F17" s="1">
        <f t="shared" si="5"/>
        <v>2</v>
      </c>
      <c r="G17" s="1">
        <f t="shared" ref="G17:K17" si="6">COUNTIF(G3:G16,"TRUE")</f>
        <v>9</v>
      </c>
      <c r="H17" s="1">
        <f t="shared" si="6"/>
        <v>4</v>
      </c>
      <c r="I17" s="1">
        <f t="shared" si="6"/>
        <v>4</v>
      </c>
      <c r="J17" s="1">
        <f t="shared" si="6"/>
        <v>1</v>
      </c>
      <c r="K17" s="1">
        <f t="shared" si="6"/>
        <v>0</v>
      </c>
      <c r="L17" s="5">
        <f>COUNTA(E3:E16)</f>
        <v>14</v>
      </c>
    </row>
    <row r="18" spans="2:12" ht="15.75" customHeight="1">
      <c r="E18" s="1" t="s">
        <v>3</v>
      </c>
      <c r="F18" s="2"/>
      <c r="G18" s="2">
        <f>G17/L17</f>
        <v>0.6428571428571429</v>
      </c>
      <c r="H18" s="2">
        <f>H17/L17</f>
        <v>0.2857142857142857</v>
      </c>
      <c r="I18" s="2">
        <f>I17/L17</f>
        <v>0.2857142857142857</v>
      </c>
      <c r="J18" s="2">
        <f>J17/L17</f>
        <v>7.1428571428571425E-2</v>
      </c>
      <c r="K18" s="2">
        <f>K17/L17</f>
        <v>0</v>
      </c>
    </row>
    <row r="19" spans="2:12" ht="15.75" customHeight="1">
      <c r="E19" s="1" t="s">
        <v>76</v>
      </c>
      <c r="F19" s="2"/>
      <c r="G19" s="2"/>
      <c r="H19" s="2">
        <f>H17/G17</f>
        <v>0.44444444444444442</v>
      </c>
      <c r="I19" s="2">
        <f>I17/G17</f>
        <v>0.44444444444444442</v>
      </c>
      <c r="J19" s="2">
        <f>J17/G17</f>
        <v>0.1111111111111111</v>
      </c>
      <c r="K19" s="2">
        <f>K17/G17</f>
        <v>0</v>
      </c>
    </row>
    <row r="20" spans="2:12" ht="15.75" customHeight="1">
      <c r="E20" s="1" t="s">
        <v>77</v>
      </c>
      <c r="F20" s="2"/>
      <c r="G20" s="2">
        <f>E17/C17</f>
        <v>0.14634146341463414</v>
      </c>
      <c r="H20" s="2">
        <f>E17/D17</f>
        <v>0.48</v>
      </c>
    </row>
  </sheetData>
  <hyperlinks>
    <hyperlink ref="E1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41"/>
  <sheetViews>
    <sheetView workbookViewId="0">
      <selection activeCell="G3" sqref="G3:K37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252</v>
      </c>
      <c r="B3" s="1"/>
      <c r="C3" s="1">
        <v>11</v>
      </c>
      <c r="D3" s="1">
        <v>6</v>
      </c>
      <c r="E3" s="1">
        <v>6</v>
      </c>
      <c r="F3" s="1">
        <v>1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0</v>
      </c>
    </row>
    <row r="4" spans="1:11" ht="15.75" customHeight="1">
      <c r="A4" s="1" t="s">
        <v>253</v>
      </c>
      <c r="B4" s="1"/>
      <c r="C4" s="1">
        <v>5</v>
      </c>
      <c r="D4" s="1">
        <v>1</v>
      </c>
      <c r="E4" s="1">
        <v>1</v>
      </c>
      <c r="F4" s="1">
        <v>0</v>
      </c>
      <c r="G4" s="1" t="b">
        <f t="shared" ref="G4:G37" si="0">(D4&gt;0)</f>
        <v>1</v>
      </c>
      <c r="H4" s="1" t="b">
        <f t="shared" ref="H4:H37" si="1">(E4&gt;0)</f>
        <v>1</v>
      </c>
      <c r="I4" s="1" t="b">
        <f t="shared" ref="I4:I37" si="2">AND(G4,(D4=E4))</f>
        <v>1</v>
      </c>
      <c r="J4" s="1" t="b">
        <f t="shared" ref="J4:J37" si="3">(F4&gt;0)</f>
        <v>0</v>
      </c>
      <c r="K4" s="1" t="b">
        <f t="shared" ref="K4:K37" si="4">AND(I4,(E4=F4))</f>
        <v>0</v>
      </c>
    </row>
    <row r="5" spans="1:11" ht="15.75" customHeight="1">
      <c r="A5" s="1" t="s">
        <v>254</v>
      </c>
      <c r="B5" s="1"/>
      <c r="C5" s="1">
        <v>4</v>
      </c>
      <c r="D5" s="1">
        <v>1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255</v>
      </c>
      <c r="B6" s="1"/>
      <c r="C6" s="1">
        <v>4</v>
      </c>
      <c r="D6" s="1">
        <v>4</v>
      </c>
      <c r="E6" s="1">
        <v>4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256</v>
      </c>
      <c r="B7" s="1"/>
      <c r="C7" s="1">
        <v>3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257</v>
      </c>
      <c r="B8" s="1"/>
      <c r="C8" s="1">
        <v>3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258</v>
      </c>
      <c r="B9" s="1"/>
      <c r="C9" s="1">
        <v>4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259</v>
      </c>
      <c r="B10" s="1"/>
      <c r="C10" s="1">
        <v>5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260</v>
      </c>
      <c r="B11" s="1"/>
      <c r="C11" s="1">
        <v>4</v>
      </c>
      <c r="D11" s="1">
        <v>2</v>
      </c>
      <c r="E11" s="1">
        <v>2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261</v>
      </c>
      <c r="B12" s="1"/>
      <c r="C12" s="1">
        <v>6</v>
      </c>
      <c r="D12" s="1">
        <v>2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262</v>
      </c>
      <c r="B13" s="1"/>
      <c r="C13" s="1">
        <v>6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263</v>
      </c>
      <c r="B14" s="1"/>
      <c r="C14" s="1">
        <v>6</v>
      </c>
      <c r="D14" s="1">
        <v>6</v>
      </c>
      <c r="E14" s="1">
        <v>6</v>
      </c>
      <c r="F14" s="1">
        <v>2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0</v>
      </c>
    </row>
    <row r="15" spans="1:11" ht="15.75" customHeight="1">
      <c r="A15" s="1" t="s">
        <v>264</v>
      </c>
      <c r="B15" s="1"/>
      <c r="C15" s="1">
        <v>6</v>
      </c>
      <c r="D15" s="1">
        <v>1</v>
      </c>
      <c r="E15" s="1">
        <v>0</v>
      </c>
      <c r="F15" s="1">
        <v>0</v>
      </c>
      <c r="G15" s="1" t="b">
        <f t="shared" si="0"/>
        <v>1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265</v>
      </c>
      <c r="B16" s="1"/>
      <c r="C16" s="1">
        <v>5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266</v>
      </c>
      <c r="B17" s="1"/>
      <c r="C17" s="1">
        <v>5</v>
      </c>
      <c r="D17" s="1">
        <v>1</v>
      </c>
      <c r="E17" s="1">
        <v>1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267</v>
      </c>
      <c r="B18" s="1"/>
      <c r="C18" s="1">
        <v>7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268</v>
      </c>
      <c r="B19" s="1"/>
      <c r="C19" s="1">
        <v>6</v>
      </c>
      <c r="D19" s="1">
        <v>4</v>
      </c>
      <c r="E19" s="1">
        <v>4</v>
      </c>
      <c r="F19" s="1">
        <v>0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269</v>
      </c>
      <c r="B20" s="1"/>
      <c r="C20" s="1">
        <v>4</v>
      </c>
      <c r="D20" s="1">
        <v>1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270</v>
      </c>
      <c r="B21" s="1"/>
      <c r="C21" s="1">
        <v>5</v>
      </c>
      <c r="D21" s="1">
        <v>1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271</v>
      </c>
      <c r="B22" s="1"/>
      <c r="C22" s="1">
        <v>8</v>
      </c>
      <c r="D22" s="1">
        <v>6</v>
      </c>
      <c r="E22" s="1">
        <v>1</v>
      </c>
      <c r="F22" s="1">
        <v>0</v>
      </c>
      <c r="G22" s="1" t="b">
        <f t="shared" si="0"/>
        <v>1</v>
      </c>
      <c r="H22" s="1" t="b">
        <f t="shared" si="1"/>
        <v>1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272</v>
      </c>
      <c r="B23" s="1"/>
      <c r="C23" s="1">
        <v>6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273</v>
      </c>
      <c r="B24" s="1"/>
      <c r="C24" s="1">
        <v>7</v>
      </c>
      <c r="D24" s="1">
        <v>4</v>
      </c>
      <c r="E24" s="1">
        <v>0</v>
      </c>
      <c r="F24" s="1">
        <v>0</v>
      </c>
      <c r="G24" s="1" t="b">
        <f t="shared" si="0"/>
        <v>1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274</v>
      </c>
      <c r="B25" s="1"/>
      <c r="C25" s="1">
        <v>6</v>
      </c>
      <c r="D25" s="1">
        <v>2</v>
      </c>
      <c r="E25" s="1">
        <v>1</v>
      </c>
      <c r="F25" s="1">
        <v>1</v>
      </c>
      <c r="G25" s="1" t="b">
        <f t="shared" si="0"/>
        <v>1</v>
      </c>
      <c r="H25" s="1" t="b">
        <f t="shared" si="1"/>
        <v>1</v>
      </c>
      <c r="I25" s="1" t="b">
        <f t="shared" si="2"/>
        <v>0</v>
      </c>
      <c r="J25" s="1" t="b">
        <f t="shared" si="3"/>
        <v>1</v>
      </c>
      <c r="K25" s="1" t="b">
        <f t="shared" si="4"/>
        <v>0</v>
      </c>
    </row>
    <row r="26" spans="1:12" ht="15.75" customHeight="1">
      <c r="A26" s="1" t="s">
        <v>275</v>
      </c>
      <c r="B26" s="1"/>
      <c r="C26" s="1">
        <v>4</v>
      </c>
      <c r="D26" s="1">
        <v>1</v>
      </c>
      <c r="E26" s="1">
        <v>0</v>
      </c>
      <c r="F26" s="1">
        <v>0</v>
      </c>
      <c r="G26" s="1" t="b">
        <f t="shared" si="0"/>
        <v>1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276</v>
      </c>
      <c r="B27" s="1"/>
      <c r="C27" s="1">
        <v>6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277</v>
      </c>
      <c r="B28" s="1"/>
      <c r="C28" s="1">
        <v>4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278</v>
      </c>
      <c r="B29" s="1"/>
      <c r="C29" s="1">
        <v>4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279</v>
      </c>
      <c r="B30" s="1"/>
      <c r="C30" s="1">
        <v>5</v>
      </c>
      <c r="D30" s="1">
        <v>0</v>
      </c>
      <c r="E30" s="1">
        <v>0</v>
      </c>
      <c r="F30" s="1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1" t="s">
        <v>280</v>
      </c>
      <c r="B31" s="1"/>
      <c r="C31" s="1">
        <v>6</v>
      </c>
      <c r="D31" s="1">
        <v>0</v>
      </c>
      <c r="E31" s="1">
        <v>0</v>
      </c>
      <c r="F31" s="1">
        <v>0</v>
      </c>
      <c r="G31" s="1" t="b">
        <f t="shared" si="0"/>
        <v>0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2" ht="15.75" customHeight="1">
      <c r="A32" s="1" t="s">
        <v>281</v>
      </c>
      <c r="B32" s="1"/>
      <c r="C32" s="1">
        <v>5</v>
      </c>
      <c r="D32" s="1">
        <v>2</v>
      </c>
      <c r="E32" s="1">
        <v>2</v>
      </c>
      <c r="F32" s="1">
        <v>0</v>
      </c>
      <c r="G32" s="1" t="b">
        <f t="shared" si="0"/>
        <v>1</v>
      </c>
      <c r="H32" s="1" t="b">
        <f t="shared" si="1"/>
        <v>1</v>
      </c>
      <c r="I32" s="1" t="b">
        <f t="shared" si="2"/>
        <v>1</v>
      </c>
      <c r="J32" s="1" t="b">
        <f t="shared" si="3"/>
        <v>0</v>
      </c>
      <c r="K32" s="1" t="b">
        <f t="shared" si="4"/>
        <v>0</v>
      </c>
      <c r="L32" s="1"/>
    </row>
    <row r="33" spans="1:12" ht="15.75" customHeight="1">
      <c r="A33" s="1" t="s">
        <v>282</v>
      </c>
      <c r="B33" s="1"/>
      <c r="C33" s="1">
        <v>5</v>
      </c>
      <c r="D33" s="1">
        <v>1</v>
      </c>
      <c r="E33" s="1">
        <v>1</v>
      </c>
      <c r="F33" s="1">
        <v>1</v>
      </c>
      <c r="G33" s="1" t="b">
        <f t="shared" si="0"/>
        <v>1</v>
      </c>
      <c r="H33" s="1" t="b">
        <f t="shared" si="1"/>
        <v>1</v>
      </c>
      <c r="I33" s="1" t="b">
        <f t="shared" si="2"/>
        <v>1</v>
      </c>
      <c r="J33" s="1" t="b">
        <f t="shared" si="3"/>
        <v>1</v>
      </c>
      <c r="K33" s="1" t="b">
        <f t="shared" si="4"/>
        <v>1</v>
      </c>
      <c r="L33" s="1"/>
    </row>
    <row r="34" spans="1:12" ht="15.75" customHeight="1">
      <c r="A34" s="1" t="s">
        <v>283</v>
      </c>
      <c r="B34" s="1"/>
      <c r="C34" s="1">
        <v>4</v>
      </c>
      <c r="D34" s="1">
        <v>3</v>
      </c>
      <c r="E34" s="1">
        <v>1</v>
      </c>
      <c r="F34" s="1">
        <v>0</v>
      </c>
      <c r="G34" s="1" t="b">
        <f t="shared" si="0"/>
        <v>1</v>
      </c>
      <c r="H34" s="1" t="b">
        <f t="shared" si="1"/>
        <v>1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  <c r="L34" s="1"/>
    </row>
    <row r="35" spans="1:12" ht="15.75" customHeight="1">
      <c r="A35" s="1" t="s">
        <v>284</v>
      </c>
      <c r="B35" s="1"/>
      <c r="C35" s="1">
        <v>8</v>
      </c>
      <c r="D35" s="1">
        <v>2</v>
      </c>
      <c r="E35" s="1">
        <v>2</v>
      </c>
      <c r="F35" s="1">
        <v>0</v>
      </c>
      <c r="G35" s="1" t="b">
        <f t="shared" si="0"/>
        <v>1</v>
      </c>
      <c r="H35" s="1" t="b">
        <f t="shared" si="1"/>
        <v>1</v>
      </c>
      <c r="I35" s="1" t="b">
        <f t="shared" si="2"/>
        <v>1</v>
      </c>
      <c r="J35" s="1" t="b">
        <f t="shared" si="3"/>
        <v>0</v>
      </c>
      <c r="K35" s="1" t="b">
        <f t="shared" si="4"/>
        <v>0</v>
      </c>
      <c r="L35" s="1"/>
    </row>
    <row r="36" spans="1:12" ht="15.75" customHeight="1">
      <c r="A36" s="1" t="s">
        <v>285</v>
      </c>
      <c r="B36" s="1"/>
      <c r="C36" s="1">
        <v>8</v>
      </c>
      <c r="D36" s="1">
        <v>0</v>
      </c>
      <c r="E36" s="1">
        <v>0</v>
      </c>
      <c r="F36" s="1">
        <v>0</v>
      </c>
      <c r="G36" s="1" t="b">
        <f t="shared" si="0"/>
        <v>0</v>
      </c>
      <c r="H36" s="1" t="b">
        <f t="shared" si="1"/>
        <v>0</v>
      </c>
      <c r="I36" s="1" t="b">
        <f t="shared" si="2"/>
        <v>0</v>
      </c>
      <c r="J36" s="1" t="b">
        <f t="shared" si="3"/>
        <v>0</v>
      </c>
      <c r="K36" s="1" t="b">
        <f t="shared" si="4"/>
        <v>0</v>
      </c>
      <c r="L36" s="1"/>
    </row>
    <row r="37" spans="1:12" ht="15.75" customHeight="1">
      <c r="A37" s="1" t="s">
        <v>286</v>
      </c>
      <c r="B37" s="1"/>
      <c r="C37" s="1">
        <v>2</v>
      </c>
      <c r="D37" s="1">
        <v>2</v>
      </c>
      <c r="E37" s="1">
        <v>2</v>
      </c>
      <c r="F37" s="1">
        <v>0</v>
      </c>
      <c r="G37" s="1" t="b">
        <f t="shared" si="0"/>
        <v>1</v>
      </c>
      <c r="H37" s="1" t="b">
        <f t="shared" si="1"/>
        <v>1</v>
      </c>
      <c r="I37" s="1" t="b">
        <f t="shared" si="2"/>
        <v>1</v>
      </c>
      <c r="J37" s="1" t="b">
        <f t="shared" si="3"/>
        <v>0</v>
      </c>
      <c r="K37" s="1" t="b">
        <f t="shared" si="4"/>
        <v>0</v>
      </c>
      <c r="L37" s="1"/>
    </row>
    <row r="38" spans="1:12" ht="15.75" customHeight="1">
      <c r="B38" s="1" t="s">
        <v>75</v>
      </c>
      <c r="C38" s="1">
        <f t="shared" ref="C38:F38" si="5">SUM(C2:C37)</f>
        <v>187</v>
      </c>
      <c r="D38" s="1">
        <f t="shared" si="5"/>
        <v>53</v>
      </c>
      <c r="E38" s="1">
        <f t="shared" si="5"/>
        <v>35</v>
      </c>
      <c r="F38" s="1">
        <f t="shared" si="5"/>
        <v>5</v>
      </c>
      <c r="G38" s="1">
        <f t="shared" ref="G38:K38" si="6">COUNTIF(G3:G37,"TRUE")</f>
        <v>21</v>
      </c>
      <c r="H38" s="1">
        <f t="shared" si="6"/>
        <v>15</v>
      </c>
      <c r="I38" s="1">
        <f t="shared" si="6"/>
        <v>12</v>
      </c>
      <c r="J38" s="1">
        <f t="shared" si="6"/>
        <v>4</v>
      </c>
      <c r="K38" s="1">
        <f t="shared" si="6"/>
        <v>1</v>
      </c>
      <c r="L38" s="5">
        <f>COUNTA(E3:E37)</f>
        <v>35</v>
      </c>
    </row>
    <row r="39" spans="1:12" ht="15.75" customHeight="1">
      <c r="E39" s="1" t="s">
        <v>3</v>
      </c>
      <c r="F39" s="2"/>
      <c r="G39" s="2">
        <f>G38/L38</f>
        <v>0.6</v>
      </c>
      <c r="H39" s="2">
        <f>H38/L38</f>
        <v>0.42857142857142855</v>
      </c>
      <c r="I39" s="2">
        <f>I38/L38</f>
        <v>0.34285714285714286</v>
      </c>
      <c r="J39" s="2">
        <f>J38/L38</f>
        <v>0.11428571428571428</v>
      </c>
      <c r="K39" s="2">
        <f>K38/L38</f>
        <v>2.8571428571428571E-2</v>
      </c>
    </row>
    <row r="40" spans="1:12" ht="15.75" customHeight="1">
      <c r="E40" s="1" t="s">
        <v>76</v>
      </c>
      <c r="F40" s="2"/>
      <c r="G40" s="2"/>
      <c r="H40" s="2">
        <f>H38/G38</f>
        <v>0.7142857142857143</v>
      </c>
      <c r="I40" s="2">
        <f>I38/G38</f>
        <v>0.5714285714285714</v>
      </c>
      <c r="J40" s="2">
        <f>J38/G38</f>
        <v>0.19047619047619047</v>
      </c>
      <c r="K40" s="2">
        <f>K38/G38</f>
        <v>4.7619047619047616E-2</v>
      </c>
    </row>
    <row r="41" spans="1:12" ht="15.75" customHeight="1">
      <c r="E41" s="1" t="s">
        <v>77</v>
      </c>
      <c r="F41" s="2"/>
      <c r="G41" s="2">
        <f>E38/C38</f>
        <v>0.18716577540106952</v>
      </c>
      <c r="H41" s="2">
        <f>E38/D38</f>
        <v>0.660377358490566</v>
      </c>
    </row>
  </sheetData>
  <hyperlinks>
    <hyperlink ref="E1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22"/>
  <sheetViews>
    <sheetView workbookViewId="0">
      <selection activeCell="G3" sqref="G3:K1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287</v>
      </c>
      <c r="B3" s="1"/>
      <c r="C3" s="1">
        <v>5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288</v>
      </c>
      <c r="B4" s="1"/>
      <c r="C4" s="1">
        <v>5</v>
      </c>
      <c r="D4" s="1">
        <v>1</v>
      </c>
      <c r="E4" s="1">
        <v>1</v>
      </c>
      <c r="F4" s="1">
        <v>1</v>
      </c>
      <c r="G4" s="1" t="b">
        <f t="shared" ref="G4:G18" si="0">(D4&gt;0)</f>
        <v>1</v>
      </c>
      <c r="H4" s="1" t="b">
        <f t="shared" ref="H4:H18" si="1">(E4&gt;0)</f>
        <v>1</v>
      </c>
      <c r="I4" s="1" t="b">
        <f t="shared" ref="I4:I18" si="2">AND(G4,(D4=E4))</f>
        <v>1</v>
      </c>
      <c r="J4" s="1" t="b">
        <f t="shared" ref="J4:J18" si="3">(F4&gt;0)</f>
        <v>1</v>
      </c>
      <c r="K4" s="1" t="b">
        <f t="shared" ref="K4:K18" si="4">AND(I4,(E4=F4))</f>
        <v>1</v>
      </c>
    </row>
    <row r="5" spans="1:11" ht="15.75" customHeight="1">
      <c r="A5" s="1" t="s">
        <v>289</v>
      </c>
      <c r="B5" s="1"/>
      <c r="C5" s="1">
        <v>5</v>
      </c>
      <c r="D5" s="1">
        <v>2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290</v>
      </c>
      <c r="B6" s="1"/>
      <c r="C6" s="1">
        <v>5</v>
      </c>
      <c r="D6" s="1">
        <v>1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291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292</v>
      </c>
      <c r="B8" s="1"/>
      <c r="C8" s="1">
        <v>5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293</v>
      </c>
      <c r="B9" s="1"/>
      <c r="C9" s="1">
        <v>5</v>
      </c>
      <c r="D9" s="1">
        <v>3</v>
      </c>
      <c r="E9" s="1">
        <v>3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0</v>
      </c>
    </row>
    <row r="10" spans="1:11" ht="15.75" customHeight="1">
      <c r="A10" s="1" t="s">
        <v>294</v>
      </c>
      <c r="B10" s="1"/>
      <c r="C10" s="1">
        <v>6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295</v>
      </c>
      <c r="B11" s="1"/>
      <c r="C11" s="1">
        <v>5</v>
      </c>
      <c r="D11" s="1">
        <v>4</v>
      </c>
      <c r="E11" s="1">
        <v>4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296</v>
      </c>
      <c r="B12" s="1"/>
      <c r="C12" s="1">
        <v>7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297</v>
      </c>
      <c r="B13" s="1"/>
      <c r="C13" s="1">
        <v>8</v>
      </c>
      <c r="D13" s="1">
        <v>3</v>
      </c>
      <c r="E13" s="1">
        <v>1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298</v>
      </c>
      <c r="B14" s="1"/>
      <c r="C14" s="1">
        <v>6</v>
      </c>
      <c r="D14" s="1">
        <v>3</v>
      </c>
      <c r="E14" s="1">
        <v>3</v>
      </c>
      <c r="F14" s="1">
        <v>2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0</v>
      </c>
    </row>
    <row r="15" spans="1:11" ht="15.75" customHeight="1">
      <c r="A15" s="1" t="s">
        <v>299</v>
      </c>
      <c r="B15" s="1"/>
      <c r="C15" s="1">
        <v>6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300</v>
      </c>
      <c r="B16" s="1"/>
      <c r="C16" s="1">
        <v>5</v>
      </c>
      <c r="D16" s="1">
        <v>3</v>
      </c>
      <c r="E16" s="1">
        <v>2</v>
      </c>
      <c r="F16" s="1">
        <v>2</v>
      </c>
      <c r="G16" s="1" t="b">
        <f t="shared" si="0"/>
        <v>1</v>
      </c>
      <c r="H16" s="1" t="b">
        <f t="shared" si="1"/>
        <v>1</v>
      </c>
      <c r="I16" s="1" t="b">
        <f t="shared" si="2"/>
        <v>0</v>
      </c>
      <c r="J16" s="1" t="b">
        <f t="shared" si="3"/>
        <v>1</v>
      </c>
      <c r="K16" s="1" t="b">
        <f t="shared" si="4"/>
        <v>0</v>
      </c>
    </row>
    <row r="17" spans="1:12" ht="15.75" customHeight="1">
      <c r="A17" s="1" t="s">
        <v>301</v>
      </c>
      <c r="B17" s="1"/>
      <c r="C17" s="1">
        <v>2</v>
      </c>
      <c r="D17" s="1">
        <v>2</v>
      </c>
      <c r="E17" s="1">
        <v>0</v>
      </c>
      <c r="F17" s="1">
        <v>0</v>
      </c>
      <c r="G17" s="1" t="b">
        <f t="shared" si="0"/>
        <v>1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302</v>
      </c>
      <c r="B18" s="1"/>
      <c r="C18" s="1">
        <v>2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B19" s="1" t="s">
        <v>75</v>
      </c>
      <c r="C19" s="1">
        <f t="shared" ref="C19:F19" si="5">SUM(C2:C18)</f>
        <v>82</v>
      </c>
      <c r="D19" s="1">
        <f t="shared" si="5"/>
        <v>22</v>
      </c>
      <c r="E19" s="1">
        <f t="shared" si="5"/>
        <v>14</v>
      </c>
      <c r="F19" s="1">
        <f t="shared" si="5"/>
        <v>6</v>
      </c>
      <c r="G19" s="1">
        <f t="shared" ref="G19:K19" si="6">COUNTIF(G3:G18,"TRUE")</f>
        <v>9</v>
      </c>
      <c r="H19" s="1">
        <f t="shared" si="6"/>
        <v>6</v>
      </c>
      <c r="I19" s="1">
        <f t="shared" si="6"/>
        <v>4</v>
      </c>
      <c r="J19" s="1">
        <f t="shared" si="6"/>
        <v>4</v>
      </c>
      <c r="K19" s="1">
        <f t="shared" si="6"/>
        <v>1</v>
      </c>
      <c r="L19" s="5">
        <f>COUNTA(E3:E18)</f>
        <v>16</v>
      </c>
    </row>
    <row r="20" spans="1:12" ht="15.75" customHeight="1">
      <c r="E20" s="1" t="s">
        <v>3</v>
      </c>
      <c r="F20" s="2"/>
      <c r="G20" s="2">
        <f>G19/L19</f>
        <v>0.5625</v>
      </c>
      <c r="H20" s="2">
        <f>H19/L19</f>
        <v>0.375</v>
      </c>
      <c r="I20" s="2">
        <f>I19/L19</f>
        <v>0.25</v>
      </c>
      <c r="J20" s="2">
        <f>J19/L19</f>
        <v>0.25</v>
      </c>
      <c r="K20" s="2">
        <f>K19/L19</f>
        <v>6.25E-2</v>
      </c>
    </row>
    <row r="21" spans="1:12" ht="15.75" customHeight="1">
      <c r="E21" s="1" t="s">
        <v>76</v>
      </c>
      <c r="F21" s="2"/>
      <c r="G21" s="2"/>
      <c r="H21" s="2">
        <f>H19/G19</f>
        <v>0.66666666666666663</v>
      </c>
      <c r="I21" s="2">
        <f>I19/G19</f>
        <v>0.44444444444444442</v>
      </c>
      <c r="J21" s="2">
        <f>J19/G19</f>
        <v>0.44444444444444442</v>
      </c>
      <c r="K21" s="2">
        <f>K19/G19</f>
        <v>0.1111111111111111</v>
      </c>
    </row>
    <row r="22" spans="1:12" ht="15.75" customHeight="1">
      <c r="E22" s="1" t="s">
        <v>77</v>
      </c>
      <c r="F22" s="2"/>
      <c r="G22" s="2">
        <f>E19/C19</f>
        <v>0.17073170731707318</v>
      </c>
      <c r="H22" s="2">
        <f>E19/D19</f>
        <v>0.63636363636363635</v>
      </c>
    </row>
  </sheetData>
  <hyperlinks>
    <hyperlink ref="E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30"/>
  <sheetViews>
    <sheetView workbookViewId="0">
      <selection activeCell="G3" sqref="G3:K26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303</v>
      </c>
      <c r="B3" s="1"/>
      <c r="C3" s="1">
        <v>6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304</v>
      </c>
      <c r="B4" s="1"/>
      <c r="C4" s="1">
        <v>4</v>
      </c>
      <c r="D4" s="1">
        <v>1</v>
      </c>
      <c r="E4" s="1">
        <v>1</v>
      </c>
      <c r="F4" s="1">
        <v>0</v>
      </c>
      <c r="G4" s="1" t="b">
        <f t="shared" ref="G4:G26" si="0">(D4&gt;0)</f>
        <v>1</v>
      </c>
      <c r="H4" s="1" t="b">
        <f t="shared" ref="H4:H26" si="1">(E4&gt;0)</f>
        <v>1</v>
      </c>
      <c r="I4" s="1" t="b">
        <f t="shared" ref="I4:I26" si="2">AND(G4,(D4=E4))</f>
        <v>1</v>
      </c>
      <c r="J4" s="1" t="b">
        <f t="shared" ref="J4:J26" si="3">(F4&gt;0)</f>
        <v>0</v>
      </c>
      <c r="K4" s="1" t="b">
        <f t="shared" ref="K4:K26" si="4">AND(I4,(E4=F4))</f>
        <v>0</v>
      </c>
    </row>
    <row r="5" spans="1:11" ht="15.75" customHeight="1">
      <c r="A5" s="1" t="s">
        <v>305</v>
      </c>
      <c r="B5" s="1"/>
      <c r="C5" s="1">
        <v>4</v>
      </c>
      <c r="D5" s="1">
        <v>1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306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307</v>
      </c>
      <c r="B7" s="1"/>
      <c r="C7" s="1">
        <v>7</v>
      </c>
      <c r="D7" s="1">
        <v>6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308</v>
      </c>
      <c r="B8" s="1"/>
      <c r="C8" s="1">
        <v>5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309</v>
      </c>
      <c r="B9" s="1"/>
      <c r="C9" s="1">
        <v>6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310</v>
      </c>
      <c r="B10" s="1"/>
      <c r="C10" s="1">
        <v>5</v>
      </c>
      <c r="D10" s="1">
        <v>4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311</v>
      </c>
      <c r="B11" s="1"/>
      <c r="C11" s="1">
        <v>6</v>
      </c>
      <c r="D11" s="1">
        <v>2</v>
      </c>
      <c r="E11" s="1">
        <v>2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312</v>
      </c>
      <c r="B12" s="1"/>
      <c r="C12" s="1">
        <v>6</v>
      </c>
      <c r="D12" s="1">
        <v>2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313</v>
      </c>
      <c r="B13" s="1"/>
      <c r="C13" s="1">
        <v>7</v>
      </c>
      <c r="D13" s="1">
        <v>1</v>
      </c>
      <c r="E13" s="1">
        <v>1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314</v>
      </c>
      <c r="B14" s="1"/>
      <c r="C14" s="1">
        <v>7</v>
      </c>
      <c r="D14" s="1">
        <v>3</v>
      </c>
      <c r="E14" s="1">
        <v>1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0</v>
      </c>
      <c r="J14" s="1" t="b">
        <f t="shared" si="3"/>
        <v>1</v>
      </c>
      <c r="K14" s="1" t="b">
        <f t="shared" si="4"/>
        <v>0</v>
      </c>
    </row>
    <row r="15" spans="1:11" ht="15.75" customHeight="1">
      <c r="A15" s="1" t="s">
        <v>315</v>
      </c>
      <c r="B15" s="1"/>
      <c r="C15" s="1">
        <v>7</v>
      </c>
      <c r="D15" s="1">
        <v>4</v>
      </c>
      <c r="E15" s="1">
        <v>4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316</v>
      </c>
      <c r="B16" s="1"/>
      <c r="C16" s="1">
        <v>5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317</v>
      </c>
      <c r="B17" s="1"/>
      <c r="C17" s="1">
        <v>4</v>
      </c>
      <c r="D17" s="1">
        <v>2</v>
      </c>
      <c r="E17" s="1">
        <v>1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0</v>
      </c>
      <c r="J17" s="1" t="b">
        <f t="shared" si="3"/>
        <v>1</v>
      </c>
      <c r="K17" s="1" t="b">
        <f t="shared" si="4"/>
        <v>0</v>
      </c>
    </row>
    <row r="18" spans="1:12" ht="15.75" customHeight="1">
      <c r="A18" s="1" t="s">
        <v>318</v>
      </c>
      <c r="B18" s="1"/>
      <c r="C18" s="1">
        <v>6</v>
      </c>
      <c r="D18" s="1">
        <v>3</v>
      </c>
      <c r="E18" s="1">
        <v>3</v>
      </c>
      <c r="F18" s="1">
        <v>1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0</v>
      </c>
    </row>
    <row r="19" spans="1:12" ht="15.75" customHeight="1">
      <c r="A19" s="1" t="s">
        <v>319</v>
      </c>
      <c r="B19" s="1"/>
      <c r="C19" s="1">
        <v>4</v>
      </c>
      <c r="D19" s="1">
        <v>1</v>
      </c>
      <c r="E19" s="1">
        <v>1</v>
      </c>
      <c r="F19" s="1">
        <v>1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2" ht="15.75" customHeight="1">
      <c r="A20" s="1" t="s">
        <v>320</v>
      </c>
      <c r="B20" s="1"/>
      <c r="C20" s="1">
        <v>5</v>
      </c>
      <c r="D20" s="1">
        <v>1</v>
      </c>
      <c r="E20" s="1">
        <v>1</v>
      </c>
      <c r="F20" s="1">
        <v>1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2" ht="15.75" customHeight="1">
      <c r="A21" s="1" t="s">
        <v>321</v>
      </c>
      <c r="B21" s="1"/>
      <c r="C21" s="1">
        <v>6</v>
      </c>
      <c r="D21" s="1">
        <v>1</v>
      </c>
      <c r="E21" s="1">
        <v>1</v>
      </c>
      <c r="F21" s="1">
        <v>1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2" ht="15.75" customHeight="1">
      <c r="A22" s="1" t="s">
        <v>322</v>
      </c>
      <c r="B22" s="1"/>
      <c r="C22" s="1">
        <v>6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323</v>
      </c>
      <c r="B23" s="1"/>
      <c r="C23" s="1">
        <v>6</v>
      </c>
      <c r="D23" s="1">
        <v>3</v>
      </c>
      <c r="E23" s="1">
        <v>1</v>
      </c>
      <c r="F23" s="1">
        <v>0</v>
      </c>
      <c r="G23" s="1" t="b">
        <f t="shared" si="0"/>
        <v>1</v>
      </c>
      <c r="H23" s="1" t="b">
        <f t="shared" si="1"/>
        <v>1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324</v>
      </c>
      <c r="B24" s="1"/>
      <c r="C24" s="1">
        <v>7</v>
      </c>
      <c r="D24" s="1">
        <v>3</v>
      </c>
      <c r="E24" s="1">
        <v>0</v>
      </c>
      <c r="F24" s="1">
        <v>0</v>
      </c>
      <c r="G24" s="1" t="b">
        <f t="shared" si="0"/>
        <v>1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325</v>
      </c>
      <c r="B25" s="1"/>
      <c r="C25" s="1">
        <v>6</v>
      </c>
      <c r="D25" s="1">
        <v>1</v>
      </c>
      <c r="E25" s="1">
        <v>0</v>
      </c>
      <c r="F25" s="1">
        <v>0</v>
      </c>
      <c r="G25" s="1" t="b">
        <f t="shared" si="0"/>
        <v>1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326</v>
      </c>
      <c r="B26" s="1"/>
      <c r="C26" s="1">
        <v>1</v>
      </c>
      <c r="D26" s="1">
        <v>1</v>
      </c>
      <c r="E26" s="1">
        <v>0</v>
      </c>
      <c r="F26" s="1">
        <v>0</v>
      </c>
      <c r="G26" s="1" t="b">
        <f t="shared" si="0"/>
        <v>1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B27" s="1" t="s">
        <v>75</v>
      </c>
      <c r="C27" s="1">
        <f t="shared" ref="C27:F27" si="5">SUM(C2:C26)</f>
        <v>130</v>
      </c>
      <c r="D27" s="1">
        <f t="shared" si="5"/>
        <v>40</v>
      </c>
      <c r="E27" s="1">
        <f t="shared" si="5"/>
        <v>18</v>
      </c>
      <c r="F27" s="1">
        <f t="shared" si="5"/>
        <v>6</v>
      </c>
      <c r="G27" s="1">
        <f t="shared" ref="G27:K27" si="6">COUNTIF(G3:G26,"TRUE")</f>
        <v>18</v>
      </c>
      <c r="H27" s="1">
        <f t="shared" si="6"/>
        <v>12</v>
      </c>
      <c r="I27" s="1">
        <f t="shared" si="6"/>
        <v>9</v>
      </c>
      <c r="J27" s="1">
        <f t="shared" si="6"/>
        <v>6</v>
      </c>
      <c r="K27" s="1">
        <f t="shared" si="6"/>
        <v>3</v>
      </c>
      <c r="L27" s="5">
        <f>COUNTA(E3:E26)</f>
        <v>24</v>
      </c>
    </row>
    <row r="28" spans="1:12" ht="15.75" customHeight="1">
      <c r="E28" s="1" t="s">
        <v>3</v>
      </c>
      <c r="F28" s="2"/>
      <c r="G28" s="2">
        <f>G27/L27</f>
        <v>0.75</v>
      </c>
      <c r="H28" s="2">
        <f>H27/L27</f>
        <v>0.5</v>
      </c>
      <c r="I28" s="2">
        <f>I27/L27</f>
        <v>0.375</v>
      </c>
      <c r="J28" s="2">
        <f>J27/L27</f>
        <v>0.25</v>
      </c>
      <c r="K28" s="2">
        <f>K27/L27</f>
        <v>0.125</v>
      </c>
    </row>
    <row r="29" spans="1:12" ht="15.75" customHeight="1">
      <c r="E29" s="1" t="s">
        <v>76</v>
      </c>
      <c r="F29" s="2"/>
      <c r="G29" s="2"/>
      <c r="H29" s="2">
        <f>H27/G27</f>
        <v>0.66666666666666663</v>
      </c>
      <c r="I29" s="2">
        <f>I27/G27</f>
        <v>0.5</v>
      </c>
      <c r="J29" s="2">
        <f>J27/G27</f>
        <v>0.33333333333333331</v>
      </c>
      <c r="K29" s="2">
        <f>K27/G27</f>
        <v>0.16666666666666666</v>
      </c>
    </row>
    <row r="30" spans="1:12" ht="15.75" customHeight="1">
      <c r="E30" s="1" t="s">
        <v>77</v>
      </c>
      <c r="F30" s="2"/>
      <c r="G30" s="2">
        <f>E27/C27</f>
        <v>0.13846153846153847</v>
      </c>
      <c r="H30" s="2">
        <f>E27/D27</f>
        <v>0.45</v>
      </c>
    </row>
  </sheetData>
  <hyperlinks>
    <hyperlink ref="E1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31"/>
  <sheetViews>
    <sheetView workbookViewId="0">
      <selection activeCell="G3" sqref="G3:K27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18.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7" t="s">
        <v>327</v>
      </c>
      <c r="B3" s="7"/>
      <c r="C3" s="8">
        <v>4</v>
      </c>
      <c r="D3" s="8">
        <v>3</v>
      </c>
      <c r="E3" s="8">
        <v>0</v>
      </c>
      <c r="F3" s="8">
        <v>0</v>
      </c>
      <c r="G3" s="1" t="b">
        <f>(D3&gt;0)</f>
        <v>1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7" t="s">
        <v>328</v>
      </c>
      <c r="B4" s="7"/>
      <c r="C4" s="8">
        <v>5</v>
      </c>
      <c r="D4" s="8">
        <v>0</v>
      </c>
      <c r="E4" s="8">
        <v>0</v>
      </c>
      <c r="F4" s="8">
        <v>0</v>
      </c>
      <c r="G4" s="1" t="b">
        <f t="shared" ref="G4:G26" si="0">(D4&gt;0)</f>
        <v>0</v>
      </c>
      <c r="H4" s="1" t="b">
        <f t="shared" ref="H4:H26" si="1">(E4&gt;0)</f>
        <v>0</v>
      </c>
      <c r="I4" s="1" t="b">
        <f t="shared" ref="I4:I26" si="2">AND(G4,(D4=E4))</f>
        <v>0</v>
      </c>
      <c r="J4" s="1" t="b">
        <f t="shared" ref="J4:J26" si="3">(F4&gt;0)</f>
        <v>0</v>
      </c>
      <c r="K4" s="1" t="b">
        <f t="shared" ref="K4:K26" si="4">AND(I4,(E4=F4))</f>
        <v>0</v>
      </c>
    </row>
    <row r="5" spans="1:11" ht="15.75" customHeight="1">
      <c r="A5" s="7" t="s">
        <v>329</v>
      </c>
      <c r="B5" s="7"/>
      <c r="C5" s="8">
        <v>9</v>
      </c>
      <c r="D5" s="8">
        <v>0</v>
      </c>
      <c r="E5" s="8">
        <v>0</v>
      </c>
      <c r="F5" s="8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7" t="s">
        <v>330</v>
      </c>
      <c r="B6" s="7"/>
      <c r="C6" s="8">
        <v>3</v>
      </c>
      <c r="D6" s="8">
        <v>0</v>
      </c>
      <c r="E6" s="8">
        <v>0</v>
      </c>
      <c r="F6" s="8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7" t="s">
        <v>331</v>
      </c>
      <c r="B7" s="7"/>
      <c r="C7" s="8">
        <v>7</v>
      </c>
      <c r="D7" s="8">
        <v>0</v>
      </c>
      <c r="E7" s="8">
        <v>0</v>
      </c>
      <c r="F7" s="8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7" t="s">
        <v>332</v>
      </c>
      <c r="B8" s="7"/>
      <c r="C8" s="8">
        <v>5</v>
      </c>
      <c r="D8" s="8">
        <v>0</v>
      </c>
      <c r="E8" s="8">
        <v>0</v>
      </c>
      <c r="F8" s="8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7" t="s">
        <v>333</v>
      </c>
      <c r="B9" s="7"/>
      <c r="C9" s="8">
        <v>5</v>
      </c>
      <c r="D9" s="8">
        <v>0</v>
      </c>
      <c r="E9" s="8">
        <v>0</v>
      </c>
      <c r="F9" s="8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7" t="s">
        <v>334</v>
      </c>
      <c r="B10" s="7"/>
      <c r="C10" s="8">
        <v>3</v>
      </c>
      <c r="D10" s="8">
        <v>1</v>
      </c>
      <c r="E10" s="8">
        <v>0</v>
      </c>
      <c r="F10" s="8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7" t="s">
        <v>335</v>
      </c>
      <c r="B11" s="7"/>
      <c r="C11" s="8">
        <v>3</v>
      </c>
      <c r="D11" s="8">
        <v>1</v>
      </c>
      <c r="E11" s="8">
        <v>1</v>
      </c>
      <c r="F11" s="8">
        <v>1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7" t="s">
        <v>336</v>
      </c>
      <c r="B12" s="7"/>
      <c r="C12" s="8">
        <v>4</v>
      </c>
      <c r="D12" s="8">
        <v>2</v>
      </c>
      <c r="E12" s="8">
        <v>1</v>
      </c>
      <c r="F12" s="8">
        <v>1</v>
      </c>
      <c r="G12" s="1" t="b">
        <f t="shared" si="0"/>
        <v>1</v>
      </c>
      <c r="H12" s="1" t="b">
        <f t="shared" si="1"/>
        <v>1</v>
      </c>
      <c r="I12" s="1" t="b">
        <f t="shared" si="2"/>
        <v>0</v>
      </c>
      <c r="J12" s="1" t="b">
        <f t="shared" si="3"/>
        <v>1</v>
      </c>
      <c r="K12" s="1" t="b">
        <f t="shared" si="4"/>
        <v>0</v>
      </c>
    </row>
    <row r="13" spans="1:11" ht="15.75" customHeight="1">
      <c r="A13" s="7" t="s">
        <v>337</v>
      </c>
      <c r="B13" s="7"/>
      <c r="C13" s="8">
        <v>5</v>
      </c>
      <c r="D13" s="8">
        <v>1</v>
      </c>
      <c r="E13" s="8">
        <v>1</v>
      </c>
      <c r="F13" s="8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7" t="s">
        <v>338</v>
      </c>
      <c r="B14" s="7"/>
      <c r="C14" s="8">
        <v>5</v>
      </c>
      <c r="D14" s="8">
        <v>0</v>
      </c>
      <c r="E14" s="8">
        <v>0</v>
      </c>
      <c r="F14" s="8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7" t="s">
        <v>339</v>
      </c>
      <c r="B15" s="7"/>
      <c r="C15" s="8">
        <v>6</v>
      </c>
      <c r="D15" s="8">
        <v>0</v>
      </c>
      <c r="E15" s="8">
        <v>0</v>
      </c>
      <c r="F15" s="8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7" t="s">
        <v>340</v>
      </c>
      <c r="B16" s="7"/>
      <c r="C16" s="8">
        <v>10</v>
      </c>
      <c r="D16" s="8">
        <v>2</v>
      </c>
      <c r="E16" s="8">
        <v>2</v>
      </c>
      <c r="F16" s="8">
        <v>2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7" t="s">
        <v>341</v>
      </c>
      <c r="B17" s="7"/>
      <c r="C17" s="8">
        <v>4</v>
      </c>
      <c r="D17" s="8">
        <v>1</v>
      </c>
      <c r="E17" s="8">
        <v>1</v>
      </c>
      <c r="F17" s="8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7" t="s">
        <v>342</v>
      </c>
      <c r="B18" s="7"/>
      <c r="C18" s="8">
        <v>5</v>
      </c>
      <c r="D18" s="8">
        <v>1</v>
      </c>
      <c r="E18" s="8">
        <v>0</v>
      </c>
      <c r="F18" s="8">
        <v>0</v>
      </c>
      <c r="G18" s="1" t="b">
        <f t="shared" si="0"/>
        <v>1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7" t="s">
        <v>343</v>
      </c>
      <c r="B19" s="7"/>
      <c r="C19" s="8">
        <v>5</v>
      </c>
      <c r="D19" s="8">
        <v>0</v>
      </c>
      <c r="E19" s="8">
        <v>0</v>
      </c>
      <c r="F19" s="8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7" t="s">
        <v>344</v>
      </c>
      <c r="B20" s="7"/>
      <c r="C20" s="8">
        <v>8</v>
      </c>
      <c r="D20" s="8">
        <v>4</v>
      </c>
      <c r="E20" s="8">
        <v>4</v>
      </c>
      <c r="F20" s="8">
        <v>1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0</v>
      </c>
    </row>
    <row r="21" spans="1:12" ht="15.75" customHeight="1">
      <c r="A21" s="7" t="s">
        <v>345</v>
      </c>
      <c r="B21" s="7"/>
      <c r="C21" s="8">
        <v>6</v>
      </c>
      <c r="D21" s="8">
        <v>4</v>
      </c>
      <c r="E21" s="8">
        <v>0</v>
      </c>
      <c r="F21" s="8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7" t="s">
        <v>346</v>
      </c>
      <c r="B22" s="7"/>
      <c r="C22" s="8">
        <v>5</v>
      </c>
      <c r="D22" s="8">
        <v>3</v>
      </c>
      <c r="E22" s="8">
        <v>3</v>
      </c>
      <c r="F22" s="8">
        <v>3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2" ht="15.75" customHeight="1">
      <c r="A23" s="7" t="s">
        <v>347</v>
      </c>
      <c r="B23" s="7"/>
      <c r="C23" s="8">
        <v>4</v>
      </c>
      <c r="D23" s="8">
        <v>0</v>
      </c>
      <c r="E23" s="8">
        <v>0</v>
      </c>
      <c r="F23" s="8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7" t="s">
        <v>348</v>
      </c>
      <c r="B24" s="7"/>
      <c r="C24" s="8">
        <v>8</v>
      </c>
      <c r="D24" s="8">
        <v>0</v>
      </c>
      <c r="E24" s="8">
        <v>0</v>
      </c>
      <c r="F24" s="8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7" t="s">
        <v>349</v>
      </c>
      <c r="B25" s="7"/>
      <c r="C25" s="8">
        <v>6</v>
      </c>
      <c r="D25" s="8">
        <v>2</v>
      </c>
      <c r="E25" s="8">
        <v>2</v>
      </c>
      <c r="F25" s="8">
        <v>1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0</v>
      </c>
    </row>
    <row r="26" spans="1:12" ht="15.75" customHeight="1">
      <c r="A26" s="7" t="s">
        <v>350</v>
      </c>
      <c r="B26" s="7"/>
      <c r="C26" s="8">
        <v>6</v>
      </c>
      <c r="D26" s="8">
        <v>0</v>
      </c>
      <c r="E26" s="8">
        <v>0</v>
      </c>
      <c r="F26" s="8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7" t="s">
        <v>351</v>
      </c>
      <c r="B27" s="7"/>
      <c r="C27" s="8">
        <v>2</v>
      </c>
      <c r="D27" s="8">
        <v>1</v>
      </c>
      <c r="E27" s="8">
        <v>0</v>
      </c>
      <c r="F27" s="8">
        <v>0</v>
      </c>
      <c r="G27" s="1" t="b">
        <f>(D27&gt;0)</f>
        <v>1</v>
      </c>
      <c r="H27" s="1" t="b">
        <f>(E27&gt;0)</f>
        <v>0</v>
      </c>
      <c r="I27" s="1" t="b">
        <f>AND(G27,(D27=E27))</f>
        <v>0</v>
      </c>
      <c r="J27" s="1" t="b">
        <f>(F27&gt;0)</f>
        <v>0</v>
      </c>
      <c r="K27" s="1" t="b">
        <f>AND(I27,(E27=F27))</f>
        <v>0</v>
      </c>
    </row>
    <row r="28" spans="1:12" ht="15.75" customHeight="1">
      <c r="B28" s="1" t="s">
        <v>75</v>
      </c>
      <c r="C28" s="1">
        <f t="shared" ref="C28:F28" si="5">SUM(C2:C27)</f>
        <v>133</v>
      </c>
      <c r="D28" s="1">
        <f t="shared" si="5"/>
        <v>26</v>
      </c>
      <c r="E28" s="1">
        <f t="shared" si="5"/>
        <v>15</v>
      </c>
      <c r="F28" s="1">
        <f t="shared" si="5"/>
        <v>9</v>
      </c>
      <c r="G28" s="1">
        <f t="shared" ref="G28:K28" si="6">COUNTIF(G3:G27,"TRUE")</f>
        <v>13</v>
      </c>
      <c r="H28" s="1">
        <f t="shared" si="6"/>
        <v>8</v>
      </c>
      <c r="I28" s="1">
        <f t="shared" si="6"/>
        <v>7</v>
      </c>
      <c r="J28" s="1">
        <f t="shared" si="6"/>
        <v>6</v>
      </c>
      <c r="K28" s="1">
        <f t="shared" si="6"/>
        <v>3</v>
      </c>
      <c r="L28" s="5">
        <f>COUNTA(E3:E27)</f>
        <v>25</v>
      </c>
    </row>
    <row r="29" spans="1:12" ht="15.75" customHeight="1">
      <c r="E29" s="1" t="s">
        <v>3</v>
      </c>
      <c r="F29" s="2"/>
      <c r="G29" s="2">
        <f>G28/L28</f>
        <v>0.52</v>
      </c>
      <c r="H29" s="2">
        <f>H28/L28</f>
        <v>0.32</v>
      </c>
      <c r="I29" s="2">
        <f>I28/L28</f>
        <v>0.28000000000000003</v>
      </c>
      <c r="J29" s="2">
        <f>J28/L28</f>
        <v>0.24</v>
      </c>
      <c r="K29" s="2">
        <f>K28/L28</f>
        <v>0.12</v>
      </c>
    </row>
    <row r="30" spans="1:12" ht="15.75" customHeight="1">
      <c r="E30" s="1" t="s">
        <v>76</v>
      </c>
      <c r="F30" s="2"/>
      <c r="G30" s="2"/>
      <c r="H30" s="2">
        <f>H28/G28</f>
        <v>0.61538461538461542</v>
      </c>
      <c r="I30" s="2">
        <f>I28/G28</f>
        <v>0.53846153846153844</v>
      </c>
      <c r="J30" s="2">
        <f>J28/G28</f>
        <v>0.46153846153846156</v>
      </c>
      <c r="K30" s="2">
        <f>K28/G28</f>
        <v>0.23076923076923078</v>
      </c>
    </row>
    <row r="31" spans="1:12" ht="15.75" customHeight="1">
      <c r="E31" s="1" t="s">
        <v>77</v>
      </c>
      <c r="F31" s="2"/>
      <c r="G31" s="2">
        <f>E28/C28</f>
        <v>0.11278195488721804</v>
      </c>
      <c r="H31" s="2">
        <f>E28/D28</f>
        <v>0.57692307692307687</v>
      </c>
    </row>
  </sheetData>
  <hyperlinks>
    <hyperlink ref="E1" r:id="rId1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Vaidyanathan</cp:lastModifiedBy>
  <dcterms:modified xsi:type="dcterms:W3CDTF">2025-06-11T20:47:41Z</dcterms:modified>
</cp:coreProperties>
</file>